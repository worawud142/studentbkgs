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worawut/Library/CloudStorage/GoogleDrive-mungthisanwork@gmail.com/Other computers/My Computer/งานโรงเรียนบ้านขัวก่าย/ปพ.ส่งรร/2568/"/>
    </mc:Choice>
  </mc:AlternateContent>
  <xr:revisionPtr revIDLastSave="0" documentId="13_ncr:1_{E3BCB4FD-08EB-0849-8908-ADC7F481F933}" xr6:coauthVersionLast="47" xr6:coauthVersionMax="47" xr10:uidLastSave="{00000000-0000-0000-0000-000000000000}"/>
  <bookViews>
    <workbookView xWindow="5820" yWindow="500" windowWidth="38400" windowHeight="20020" tabRatio="922" activeTab="12" xr2:uid="{00000000-000D-0000-FFFF-FFFF00000000}"/>
  </bookViews>
  <sheets>
    <sheet name="ปก" sheetId="21" r:id="rId1"/>
    <sheet name="ข้อมูลนร.2-3" sheetId="20" r:id="rId2"/>
    <sheet name="เวลาเรียน4-16" sheetId="1" r:id="rId3"/>
    <sheet name="ไทย17-20" sheetId="26" r:id="rId4"/>
    <sheet name="คณิต21-24" sheetId="5" r:id="rId5"/>
    <sheet name="วิทย์25-28" sheetId="6" r:id="rId6"/>
    <sheet name="สังคม29-32" sheetId="7" r:id="rId7"/>
    <sheet name="ประวัติ33-36" sheetId="8" r:id="rId8"/>
    <sheet name="สุขศึกษา37-40" sheetId="9" r:id="rId9"/>
    <sheet name="ศิลปะ41-44" sheetId="10" r:id="rId10"/>
    <sheet name="การงาน45-48" sheetId="11" r:id="rId11"/>
    <sheet name="อังกฤษ49-52" sheetId="12" r:id="rId12"/>
    <sheet name="ทุจริต53-56" sheetId="13" r:id="rId13"/>
    <sheet name="คอมฯ" sheetId="23" r:id="rId14"/>
    <sheet name="ดนตรี" sheetId="24" r:id="rId15"/>
    <sheet name="คุณลักษณะ อ่านฯ57" sheetId="15" r:id="rId16"/>
    <sheet name="พัฒนาผู้เรียน58" sheetId="17" r:id="rId17"/>
    <sheet name="เกรดรวม59-60" sheetId="14" r:id="rId18"/>
    <sheet name="คำอธิบายการใช้ 61" sheetId="18" r:id="rId19"/>
    <sheet name="คำอธิบายการใช้ 62" sheetId="19" r:id="rId20"/>
  </sheets>
  <definedNames>
    <definedName name="_xlnm.Print_Titles" localSheetId="2">'เวลาเรียน4-16'!$A:$B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9" i="5" l="1"/>
  <c r="M19" i="5"/>
  <c r="B7" i="1" l="1"/>
  <c r="B8" i="1"/>
  <c r="B9" i="1"/>
  <c r="B10" i="1"/>
  <c r="B11" i="26" s="1"/>
  <c r="B11" i="1"/>
  <c r="B12" i="26" s="1"/>
  <c r="B12" i="1"/>
  <c r="B13" i="26" s="1"/>
  <c r="B13" i="1"/>
  <c r="B14" i="1"/>
  <c r="B15" i="26" s="1"/>
  <c r="B15" i="1"/>
  <c r="B16" i="26" s="1"/>
  <c r="B16" i="1"/>
  <c r="B17" i="26" s="1"/>
  <c r="B17" i="1"/>
  <c r="B18" i="1"/>
  <c r="B8" i="26"/>
  <c r="B9" i="26"/>
  <c r="B19" i="26"/>
  <c r="B10" i="26"/>
  <c r="B14" i="26"/>
  <c r="B18" i="26"/>
  <c r="AB19" i="26" l="1"/>
  <c r="AD19" i="26" s="1"/>
  <c r="AH19" i="26" s="1"/>
  <c r="M19" i="26"/>
  <c r="O19" i="26" s="1"/>
  <c r="AG19" i="26" s="1"/>
  <c r="AB18" i="26"/>
  <c r="AD18" i="26" s="1"/>
  <c r="AH18" i="26" s="1"/>
  <c r="M18" i="26"/>
  <c r="O18" i="26" s="1"/>
  <c r="AG18" i="26" s="1"/>
  <c r="AB17" i="26"/>
  <c r="AD17" i="26" s="1"/>
  <c r="AH17" i="26" s="1"/>
  <c r="O17" i="26"/>
  <c r="AG17" i="26" s="1"/>
  <c r="M17" i="26"/>
  <c r="AF16" i="26"/>
  <c r="AB16" i="26"/>
  <c r="AD16" i="26" s="1"/>
  <c r="AH16" i="26" s="1"/>
  <c r="M16" i="26"/>
  <c r="O16" i="26" s="1"/>
  <c r="AG16" i="26" s="1"/>
  <c r="Q16" i="26"/>
  <c r="AB15" i="26"/>
  <c r="AD15" i="26" s="1"/>
  <c r="AH15" i="26" s="1"/>
  <c r="M15" i="26"/>
  <c r="O15" i="26" s="1"/>
  <c r="AG15" i="26" s="1"/>
  <c r="AB14" i="26"/>
  <c r="AD14" i="26" s="1"/>
  <c r="AH14" i="26" s="1"/>
  <c r="M14" i="26"/>
  <c r="O14" i="26" s="1"/>
  <c r="AG14" i="26" s="1"/>
  <c r="AB13" i="26"/>
  <c r="AD13" i="26" s="1"/>
  <c r="AH13" i="26" s="1"/>
  <c r="M13" i="26"/>
  <c r="O13" i="26" s="1"/>
  <c r="AG13" i="26" s="1"/>
  <c r="AB12" i="26"/>
  <c r="AD12" i="26" s="1"/>
  <c r="AH12" i="26" s="1"/>
  <c r="M12" i="26"/>
  <c r="O12" i="26" s="1"/>
  <c r="AG12" i="26" s="1"/>
  <c r="AB11" i="26"/>
  <c r="AD11" i="26" s="1"/>
  <c r="AH11" i="26" s="1"/>
  <c r="M11" i="26"/>
  <c r="O11" i="26" s="1"/>
  <c r="AG11" i="26" s="1"/>
  <c r="AB10" i="26"/>
  <c r="AD10" i="26" s="1"/>
  <c r="AH10" i="26" s="1"/>
  <c r="M10" i="26"/>
  <c r="O10" i="26" s="1"/>
  <c r="AG10" i="26" s="1"/>
  <c r="AB9" i="26"/>
  <c r="AD9" i="26" s="1"/>
  <c r="AH9" i="26" s="1"/>
  <c r="M9" i="26"/>
  <c r="O9" i="26" s="1"/>
  <c r="AG9" i="26" s="1"/>
  <c r="AB8" i="26"/>
  <c r="AD8" i="26" s="1"/>
  <c r="AH8" i="26" s="1"/>
  <c r="M8" i="26"/>
  <c r="O8" i="26" s="1"/>
  <c r="AG8" i="26" s="1"/>
  <c r="Q8" i="26"/>
  <c r="AB7" i="26"/>
  <c r="AD7" i="26" s="1"/>
  <c r="AH7" i="26" s="1"/>
  <c r="M7" i="26"/>
  <c r="O7" i="26" s="1"/>
  <c r="AG7" i="26" s="1"/>
  <c r="AD6" i="26"/>
  <c r="M6" i="26"/>
  <c r="O6" i="26" s="1"/>
  <c r="AE3" i="26"/>
  <c r="P3" i="26"/>
  <c r="AF8" i="26"/>
  <c r="B9" i="8"/>
  <c r="B10" i="8"/>
  <c r="B11" i="8"/>
  <c r="AF12" i="26"/>
  <c r="B13" i="8"/>
  <c r="AF14" i="26"/>
  <c r="AF15" i="26"/>
  <c r="B17" i="8"/>
  <c r="AF18" i="26"/>
  <c r="Q19" i="26"/>
  <c r="B8" i="8"/>
  <c r="B16" i="8"/>
  <c r="L5" i="14"/>
  <c r="AI9" i="26" l="1"/>
  <c r="AI13" i="26"/>
  <c r="C12" i="14" s="1"/>
  <c r="AI11" i="26"/>
  <c r="AI15" i="26"/>
  <c r="AI7" i="26"/>
  <c r="AJ7" i="26"/>
  <c r="C6" i="14"/>
  <c r="AJ13" i="26"/>
  <c r="AJ9" i="26"/>
  <c r="C8" i="14"/>
  <c r="AI10" i="26"/>
  <c r="AJ11" i="26"/>
  <c r="C10" i="14"/>
  <c r="AJ15" i="26"/>
  <c r="C14" i="14"/>
  <c r="AI16" i="26"/>
  <c r="Q11" i="26"/>
  <c r="AF11" i="26"/>
  <c r="Q13" i="26"/>
  <c r="AF13" i="26"/>
  <c r="B15" i="8"/>
  <c r="AF19" i="26"/>
  <c r="B19" i="8"/>
  <c r="Q10" i="26"/>
  <c r="Q14" i="26"/>
  <c r="B14" i="8"/>
  <c r="Q12" i="26"/>
  <c r="Q17" i="26"/>
  <c r="AF17" i="26"/>
  <c r="B18" i="8"/>
  <c r="B12" i="8"/>
  <c r="Q9" i="26"/>
  <c r="AF9" i="26"/>
  <c r="Q15" i="26"/>
  <c r="Q18" i="26"/>
  <c r="AF10" i="26"/>
  <c r="AI8" i="26"/>
  <c r="AI14" i="26"/>
  <c r="AI12" i="26"/>
  <c r="AI19" i="26"/>
  <c r="AI17" i="26"/>
  <c r="AI18" i="26"/>
  <c r="AF19" i="24"/>
  <c r="AB19" i="24"/>
  <c r="AD19" i="24" s="1"/>
  <c r="AH19" i="24" s="1"/>
  <c r="M19" i="24"/>
  <c r="O19" i="24" s="1"/>
  <c r="AG19" i="24" s="1"/>
  <c r="B19" i="24"/>
  <c r="Q19" i="24" s="1"/>
  <c r="AF18" i="24"/>
  <c r="AB18" i="24"/>
  <c r="AD18" i="24" s="1"/>
  <c r="AH18" i="24" s="1"/>
  <c r="M18" i="24"/>
  <c r="O18" i="24" s="1"/>
  <c r="AG18" i="24" s="1"/>
  <c r="B18" i="24"/>
  <c r="Q18" i="24" s="1"/>
  <c r="AF17" i="24"/>
  <c r="AB17" i="24"/>
  <c r="AD17" i="24" s="1"/>
  <c r="AH17" i="24" s="1"/>
  <c r="M17" i="24"/>
  <c r="O17" i="24" s="1"/>
  <c r="AG17" i="24" s="1"/>
  <c r="B17" i="24"/>
  <c r="Q17" i="24" s="1"/>
  <c r="AF16" i="24"/>
  <c r="AB16" i="24"/>
  <c r="AD16" i="24" s="1"/>
  <c r="AH16" i="24" s="1"/>
  <c r="M16" i="24"/>
  <c r="O16" i="24" s="1"/>
  <c r="AG16" i="24" s="1"/>
  <c r="B16" i="24"/>
  <c r="Q16" i="24" s="1"/>
  <c r="AF15" i="24"/>
  <c r="AB15" i="24"/>
  <c r="AD15" i="24" s="1"/>
  <c r="AH15" i="24" s="1"/>
  <c r="M15" i="24"/>
  <c r="O15" i="24" s="1"/>
  <c r="AG15" i="24" s="1"/>
  <c r="B15" i="24"/>
  <c r="Q15" i="24" s="1"/>
  <c r="AF14" i="24"/>
  <c r="AB14" i="24"/>
  <c r="AD14" i="24" s="1"/>
  <c r="AH14" i="24" s="1"/>
  <c r="M14" i="24"/>
  <c r="O14" i="24" s="1"/>
  <c r="AG14" i="24" s="1"/>
  <c r="B14" i="24"/>
  <c r="Q14" i="24" s="1"/>
  <c r="AF13" i="24"/>
  <c r="AB13" i="24"/>
  <c r="AD13" i="24" s="1"/>
  <c r="AH13" i="24" s="1"/>
  <c r="M13" i="24"/>
  <c r="O13" i="24" s="1"/>
  <c r="AG13" i="24" s="1"/>
  <c r="B13" i="24"/>
  <c r="Q13" i="24" s="1"/>
  <c r="AF12" i="24"/>
  <c r="AB12" i="24"/>
  <c r="AD12" i="24" s="1"/>
  <c r="AH12" i="24" s="1"/>
  <c r="M12" i="24"/>
  <c r="O12" i="24" s="1"/>
  <c r="AG12" i="24" s="1"/>
  <c r="B12" i="24"/>
  <c r="Q12" i="24" s="1"/>
  <c r="AB11" i="24"/>
  <c r="AD11" i="24" s="1"/>
  <c r="AH11" i="24" s="1"/>
  <c r="M11" i="24"/>
  <c r="O11" i="24" s="1"/>
  <c r="AG11" i="24" s="1"/>
  <c r="AB10" i="24"/>
  <c r="AD10" i="24" s="1"/>
  <c r="AH10" i="24" s="1"/>
  <c r="M10" i="24"/>
  <c r="O10" i="24" s="1"/>
  <c r="AG10" i="24" s="1"/>
  <c r="AB9" i="24"/>
  <c r="AD9" i="24" s="1"/>
  <c r="AH9" i="24" s="1"/>
  <c r="M9" i="24"/>
  <c r="O9" i="24" s="1"/>
  <c r="AG9" i="24" s="1"/>
  <c r="AB8" i="24"/>
  <c r="AD8" i="24" s="1"/>
  <c r="AH8" i="24" s="1"/>
  <c r="M8" i="24"/>
  <c r="O8" i="24" s="1"/>
  <c r="AG8" i="24" s="1"/>
  <c r="AB7" i="24"/>
  <c r="AD7" i="24" s="1"/>
  <c r="AH7" i="24" s="1"/>
  <c r="M7" i="24"/>
  <c r="O7" i="24" s="1"/>
  <c r="AG7" i="24" s="1"/>
  <c r="AB6" i="24"/>
  <c r="AD6" i="24" s="1"/>
  <c r="M6" i="24"/>
  <c r="O6" i="24" s="1"/>
  <c r="AE3" i="24"/>
  <c r="P3" i="24"/>
  <c r="AF19" i="23"/>
  <c r="AB19" i="23"/>
  <c r="AD19" i="23" s="1"/>
  <c r="AH19" i="23" s="1"/>
  <c r="M19" i="23"/>
  <c r="O19" i="23" s="1"/>
  <c r="AG19" i="23" s="1"/>
  <c r="B19" i="23"/>
  <c r="Q19" i="23" s="1"/>
  <c r="AF18" i="23"/>
  <c r="AB18" i="23"/>
  <c r="AD18" i="23" s="1"/>
  <c r="AH18" i="23" s="1"/>
  <c r="M18" i="23"/>
  <c r="O18" i="23" s="1"/>
  <c r="AG18" i="23" s="1"/>
  <c r="B18" i="23"/>
  <c r="Q18" i="23" s="1"/>
  <c r="AF17" i="23"/>
  <c r="AB17" i="23"/>
  <c r="AD17" i="23" s="1"/>
  <c r="AH17" i="23" s="1"/>
  <c r="M17" i="23"/>
  <c r="O17" i="23" s="1"/>
  <c r="AG17" i="23" s="1"/>
  <c r="B17" i="23"/>
  <c r="Q17" i="23" s="1"/>
  <c r="AF16" i="23"/>
  <c r="AB16" i="23"/>
  <c r="AD16" i="23" s="1"/>
  <c r="AH16" i="23" s="1"/>
  <c r="M16" i="23"/>
  <c r="O16" i="23" s="1"/>
  <c r="AG16" i="23" s="1"/>
  <c r="B16" i="23"/>
  <c r="Q16" i="23" s="1"/>
  <c r="AF15" i="23"/>
  <c r="AB15" i="23"/>
  <c r="AD15" i="23" s="1"/>
  <c r="AH15" i="23" s="1"/>
  <c r="M15" i="23"/>
  <c r="O15" i="23" s="1"/>
  <c r="AG15" i="23" s="1"/>
  <c r="B15" i="23"/>
  <c r="Q15" i="23" s="1"/>
  <c r="AF14" i="23"/>
  <c r="AB14" i="23"/>
  <c r="AD14" i="23" s="1"/>
  <c r="AH14" i="23" s="1"/>
  <c r="M14" i="23"/>
  <c r="O14" i="23" s="1"/>
  <c r="AG14" i="23" s="1"/>
  <c r="B14" i="23"/>
  <c r="Q14" i="23" s="1"/>
  <c r="AF13" i="23"/>
  <c r="AB13" i="23"/>
  <c r="AD13" i="23" s="1"/>
  <c r="AH13" i="23" s="1"/>
  <c r="M13" i="23"/>
  <c r="O13" i="23" s="1"/>
  <c r="AG13" i="23" s="1"/>
  <c r="B13" i="23"/>
  <c r="Q13" i="23" s="1"/>
  <c r="AF12" i="23"/>
  <c r="AB12" i="23"/>
  <c r="AD12" i="23" s="1"/>
  <c r="AH12" i="23" s="1"/>
  <c r="M12" i="23"/>
  <c r="O12" i="23" s="1"/>
  <c r="AG12" i="23" s="1"/>
  <c r="B12" i="23"/>
  <c r="Q12" i="23" s="1"/>
  <c r="AB11" i="23"/>
  <c r="AD11" i="23" s="1"/>
  <c r="AH11" i="23" s="1"/>
  <c r="M11" i="23"/>
  <c r="O11" i="23" s="1"/>
  <c r="AG11" i="23" s="1"/>
  <c r="AB10" i="23"/>
  <c r="AD10" i="23" s="1"/>
  <c r="AH10" i="23" s="1"/>
  <c r="M10" i="23"/>
  <c r="O10" i="23" s="1"/>
  <c r="AG10" i="23" s="1"/>
  <c r="AB9" i="23"/>
  <c r="AD9" i="23" s="1"/>
  <c r="AH9" i="23" s="1"/>
  <c r="M9" i="23"/>
  <c r="O9" i="23" s="1"/>
  <c r="AG9" i="23" s="1"/>
  <c r="AB8" i="23"/>
  <c r="AD8" i="23" s="1"/>
  <c r="AH8" i="23" s="1"/>
  <c r="M8" i="23"/>
  <c r="O8" i="23" s="1"/>
  <c r="AG8" i="23" s="1"/>
  <c r="AB7" i="23"/>
  <c r="AD7" i="23" s="1"/>
  <c r="AH7" i="23" s="1"/>
  <c r="M7" i="23"/>
  <c r="O7" i="23" s="1"/>
  <c r="AG7" i="23" s="1"/>
  <c r="AB6" i="23"/>
  <c r="AD6" i="23" s="1"/>
  <c r="M6" i="23"/>
  <c r="O6" i="23" s="1"/>
  <c r="AE3" i="23"/>
  <c r="P3" i="23"/>
  <c r="HD11" i="1"/>
  <c r="HD12" i="1"/>
  <c r="HD13" i="1"/>
  <c r="HD14" i="1"/>
  <c r="HD15" i="1"/>
  <c r="HD16" i="1"/>
  <c r="HD17" i="1"/>
  <c r="HD18" i="1"/>
  <c r="HC11" i="1"/>
  <c r="HC12" i="1"/>
  <c r="HC13" i="1"/>
  <c r="HC14" i="1"/>
  <c r="HC15" i="1"/>
  <c r="HC16" i="1"/>
  <c r="HC17" i="1"/>
  <c r="HC18" i="1"/>
  <c r="HB11" i="1"/>
  <c r="HA11" i="1" s="1"/>
  <c r="PL11" i="1" s="1"/>
  <c r="HB12" i="1"/>
  <c r="HB13" i="1"/>
  <c r="HA13" i="1" s="1"/>
  <c r="PL13" i="1" s="1"/>
  <c r="HB14" i="1"/>
  <c r="HB15" i="1"/>
  <c r="HB16" i="1"/>
  <c r="HB17" i="1"/>
  <c r="HB18" i="1"/>
  <c r="HA15" i="1"/>
  <c r="PL15" i="1" s="1"/>
  <c r="FU11" i="1"/>
  <c r="FU12" i="1"/>
  <c r="FU13" i="1"/>
  <c r="FU14" i="1"/>
  <c r="FU15" i="1"/>
  <c r="FU16" i="1"/>
  <c r="FU17" i="1"/>
  <c r="FU18" i="1"/>
  <c r="FT11" i="1"/>
  <c r="FT12" i="1"/>
  <c r="FT13" i="1"/>
  <c r="FT14" i="1"/>
  <c r="FT15" i="1"/>
  <c r="FT16" i="1"/>
  <c r="FT17" i="1"/>
  <c r="FT18" i="1"/>
  <c r="FS11" i="1"/>
  <c r="FS12" i="1"/>
  <c r="FR12" i="1" s="1"/>
  <c r="PK12" i="1" s="1"/>
  <c r="FS13" i="1"/>
  <c r="FS14" i="1"/>
  <c r="FS15" i="1"/>
  <c r="FS16" i="1"/>
  <c r="FR16" i="1" s="1"/>
  <c r="PK16" i="1" s="1"/>
  <c r="FS17" i="1"/>
  <c r="FS18" i="1"/>
  <c r="EL11" i="1"/>
  <c r="EL12" i="1"/>
  <c r="EL13" i="1"/>
  <c r="EL14" i="1"/>
  <c r="EL15" i="1"/>
  <c r="EL16" i="1"/>
  <c r="EL17" i="1"/>
  <c r="EL18" i="1"/>
  <c r="EK11" i="1"/>
  <c r="EK12" i="1"/>
  <c r="EK13" i="1"/>
  <c r="EK14" i="1"/>
  <c r="EK15" i="1"/>
  <c r="EK16" i="1"/>
  <c r="EK17" i="1"/>
  <c r="EK18" i="1"/>
  <c r="EJ11" i="1"/>
  <c r="EJ12" i="1"/>
  <c r="EJ13" i="1"/>
  <c r="EJ14" i="1"/>
  <c r="EJ15" i="1"/>
  <c r="EJ16" i="1"/>
  <c r="EJ17" i="1"/>
  <c r="EI17" i="1" s="1"/>
  <c r="PJ17" i="1" s="1"/>
  <c r="EJ18" i="1"/>
  <c r="DC11" i="1"/>
  <c r="DC12" i="1"/>
  <c r="DC13" i="1"/>
  <c r="DC14" i="1"/>
  <c r="DC15" i="1"/>
  <c r="DC16" i="1"/>
  <c r="DC17" i="1"/>
  <c r="DC18" i="1"/>
  <c r="DB11" i="1"/>
  <c r="DB12" i="1"/>
  <c r="DB13" i="1"/>
  <c r="DB14" i="1"/>
  <c r="DB15" i="1"/>
  <c r="DB16" i="1"/>
  <c r="DB17" i="1"/>
  <c r="DB18" i="1"/>
  <c r="DA11" i="1"/>
  <c r="DA12" i="1"/>
  <c r="DA13" i="1"/>
  <c r="DA14" i="1"/>
  <c r="DA15" i="1"/>
  <c r="DA16" i="1"/>
  <c r="DA17" i="1"/>
  <c r="DA18" i="1"/>
  <c r="AI9" i="24" l="1"/>
  <c r="AJ9" i="24"/>
  <c r="M8" i="14"/>
  <c r="AI12" i="24"/>
  <c r="AI15" i="24"/>
  <c r="AJ18" i="26"/>
  <c r="C17" i="14"/>
  <c r="AJ14" i="26"/>
  <c r="C13" i="14"/>
  <c r="AJ19" i="26"/>
  <c r="C18" i="14"/>
  <c r="AJ16" i="26"/>
  <c r="C15" i="14"/>
  <c r="AJ12" i="26"/>
  <c r="C11" i="14"/>
  <c r="AJ10" i="26"/>
  <c r="C9" i="14"/>
  <c r="AJ17" i="26"/>
  <c r="C16" i="14"/>
  <c r="AJ8" i="26"/>
  <c r="C7" i="14"/>
  <c r="FR15" i="1"/>
  <c r="PK15" i="1" s="1"/>
  <c r="HA17" i="1"/>
  <c r="PL17" i="1" s="1"/>
  <c r="CZ17" i="1"/>
  <c r="PI17" i="1" s="1"/>
  <c r="HA12" i="1"/>
  <c r="PL12" i="1" s="1"/>
  <c r="CZ16" i="1"/>
  <c r="PI16" i="1" s="1"/>
  <c r="EI16" i="1"/>
  <c r="PJ16" i="1" s="1"/>
  <c r="EI12" i="1"/>
  <c r="PJ12" i="1" s="1"/>
  <c r="FR11" i="1"/>
  <c r="PK11" i="1" s="1"/>
  <c r="CZ13" i="1"/>
  <c r="PI13" i="1" s="1"/>
  <c r="HA16" i="1"/>
  <c r="PL16" i="1" s="1"/>
  <c r="CZ15" i="1"/>
  <c r="PI15" i="1" s="1"/>
  <c r="EI11" i="1"/>
  <c r="PJ11" i="1" s="1"/>
  <c r="CZ11" i="1"/>
  <c r="PI11" i="1" s="1"/>
  <c r="CZ12" i="1"/>
  <c r="PI12" i="1" s="1"/>
  <c r="AI16" i="24"/>
  <c r="EI13" i="1"/>
  <c r="PJ13" i="1" s="1"/>
  <c r="FR17" i="1"/>
  <c r="PK17" i="1" s="1"/>
  <c r="FR13" i="1"/>
  <c r="PK13" i="1" s="1"/>
  <c r="AI10" i="24"/>
  <c r="AI19" i="24"/>
  <c r="AI17" i="23"/>
  <c r="AI13" i="23"/>
  <c r="AI19" i="23"/>
  <c r="AI15" i="23"/>
  <c r="AI10" i="23"/>
  <c r="AI8" i="23"/>
  <c r="AI7" i="24"/>
  <c r="AI8" i="24"/>
  <c r="AI13" i="24"/>
  <c r="AI14" i="24"/>
  <c r="AI11" i="24"/>
  <c r="AI17" i="24"/>
  <c r="AI18" i="24"/>
  <c r="AI7" i="23"/>
  <c r="AI12" i="23"/>
  <c r="AI14" i="23"/>
  <c r="AI9" i="23"/>
  <c r="AI11" i="23"/>
  <c r="AI16" i="23"/>
  <c r="AI18" i="23"/>
  <c r="HA18" i="1"/>
  <c r="PL18" i="1" s="1"/>
  <c r="HA14" i="1"/>
  <c r="PL14" i="1" s="1"/>
  <c r="FR18" i="1"/>
  <c r="PK18" i="1" s="1"/>
  <c r="FR14" i="1"/>
  <c r="PK14" i="1" s="1"/>
  <c r="EI15" i="1"/>
  <c r="PJ15" i="1" s="1"/>
  <c r="EI18" i="1"/>
  <c r="PJ18" i="1" s="1"/>
  <c r="EI14" i="1"/>
  <c r="PJ14" i="1" s="1"/>
  <c r="CZ18" i="1"/>
  <c r="PI18" i="1" s="1"/>
  <c r="CZ14" i="1"/>
  <c r="PI14" i="1" s="1"/>
  <c r="AJ14" i="24" l="1"/>
  <c r="M13" i="14"/>
  <c r="AJ18" i="24"/>
  <c r="M17" i="14"/>
  <c r="AJ13" i="24"/>
  <c r="M12" i="14"/>
  <c r="AJ17" i="24"/>
  <c r="M16" i="14"/>
  <c r="AJ8" i="24"/>
  <c r="M7" i="14"/>
  <c r="AJ19" i="24"/>
  <c r="M18" i="14"/>
  <c r="AJ15" i="24"/>
  <c r="M14" i="14"/>
  <c r="AJ11" i="24"/>
  <c r="M10" i="14"/>
  <c r="AJ7" i="24"/>
  <c r="M6" i="14"/>
  <c r="AJ10" i="24"/>
  <c r="M9" i="14"/>
  <c r="AJ16" i="24"/>
  <c r="M15" i="14"/>
  <c r="AJ12" i="24"/>
  <c r="M11" i="14"/>
  <c r="AJ9" i="23"/>
  <c r="N8" i="14"/>
  <c r="AJ8" i="23"/>
  <c r="N7" i="14"/>
  <c r="AJ13" i="23"/>
  <c r="N12" i="14"/>
  <c r="AJ18" i="23"/>
  <c r="N17" i="14"/>
  <c r="AJ14" i="23"/>
  <c r="N13" i="14"/>
  <c r="AJ10" i="23"/>
  <c r="N9" i="14"/>
  <c r="AJ17" i="23"/>
  <c r="N16" i="14"/>
  <c r="AJ16" i="23"/>
  <c r="N15" i="14"/>
  <c r="AJ12" i="23"/>
  <c r="N11" i="14"/>
  <c r="AJ15" i="23"/>
  <c r="N14" i="14"/>
  <c r="AJ11" i="23"/>
  <c r="N10" i="14"/>
  <c r="AJ7" i="23"/>
  <c r="N6" i="14"/>
  <c r="AJ19" i="23"/>
  <c r="N18" i="14"/>
  <c r="AF12" i="8"/>
  <c r="AF13" i="8"/>
  <c r="AF14" i="8"/>
  <c r="AF15" i="8"/>
  <c r="AF16" i="8"/>
  <c r="AF17" i="8"/>
  <c r="AF18" i="8"/>
  <c r="AF19" i="8"/>
  <c r="AB12" i="8"/>
  <c r="AD12" i="8" s="1"/>
  <c r="AH12" i="8" s="1"/>
  <c r="AB13" i="8"/>
  <c r="AD13" i="8" s="1"/>
  <c r="AH13" i="8" s="1"/>
  <c r="AB14" i="8"/>
  <c r="AD14" i="8" s="1"/>
  <c r="AH14" i="8" s="1"/>
  <c r="AB15" i="8"/>
  <c r="AD15" i="8" s="1"/>
  <c r="AH15" i="8" s="1"/>
  <c r="AB16" i="8"/>
  <c r="AD16" i="8" s="1"/>
  <c r="AH16" i="8" s="1"/>
  <c r="AB17" i="8"/>
  <c r="AD17" i="8" s="1"/>
  <c r="AH17" i="8" s="1"/>
  <c r="AB18" i="8"/>
  <c r="AD18" i="8" s="1"/>
  <c r="AH18" i="8" s="1"/>
  <c r="AB19" i="8"/>
  <c r="AD19" i="8" s="1"/>
  <c r="AH19" i="8" s="1"/>
  <c r="Q12" i="8"/>
  <c r="Q16" i="8"/>
  <c r="Q13" i="8"/>
  <c r="Q14" i="8"/>
  <c r="Q15" i="8"/>
  <c r="Q17" i="8"/>
  <c r="Q18" i="8"/>
  <c r="Q19" i="8"/>
  <c r="M12" i="8"/>
  <c r="O12" i="8" s="1"/>
  <c r="AG12" i="8" s="1"/>
  <c r="M13" i="8"/>
  <c r="O13" i="8" s="1"/>
  <c r="AG13" i="8" s="1"/>
  <c r="M14" i="8"/>
  <c r="O14" i="8" s="1"/>
  <c r="AG14" i="8" s="1"/>
  <c r="M15" i="8"/>
  <c r="O15" i="8" s="1"/>
  <c r="AG15" i="8" s="1"/>
  <c r="M16" i="8"/>
  <c r="O16" i="8" s="1"/>
  <c r="AG16" i="8" s="1"/>
  <c r="M17" i="8"/>
  <c r="O17" i="8" s="1"/>
  <c r="AG17" i="8" s="1"/>
  <c r="M18" i="8"/>
  <c r="O18" i="8" s="1"/>
  <c r="AG18" i="8" s="1"/>
  <c r="M19" i="8"/>
  <c r="O19" i="8" s="1"/>
  <c r="AG19" i="8" s="1"/>
  <c r="AB20" i="7"/>
  <c r="AF12" i="7"/>
  <c r="AF13" i="7"/>
  <c r="AF14" i="7"/>
  <c r="AF15" i="7"/>
  <c r="AF16" i="7"/>
  <c r="AF17" i="7"/>
  <c r="AF18" i="7"/>
  <c r="AF19" i="7"/>
  <c r="AB12" i="7"/>
  <c r="AD12" i="7" s="1"/>
  <c r="AH12" i="7" s="1"/>
  <c r="AB13" i="7"/>
  <c r="AD13" i="7" s="1"/>
  <c r="AH13" i="7" s="1"/>
  <c r="AB14" i="7"/>
  <c r="AD14" i="7" s="1"/>
  <c r="AH14" i="7" s="1"/>
  <c r="AB15" i="7"/>
  <c r="AD15" i="7" s="1"/>
  <c r="AH15" i="7" s="1"/>
  <c r="AB16" i="7"/>
  <c r="AD16" i="7" s="1"/>
  <c r="AH16" i="7" s="1"/>
  <c r="AB17" i="7"/>
  <c r="AD17" i="7" s="1"/>
  <c r="AH17" i="7" s="1"/>
  <c r="AB18" i="7"/>
  <c r="AD18" i="7" s="1"/>
  <c r="AH18" i="7" s="1"/>
  <c r="AB19" i="7"/>
  <c r="AD19" i="7" s="1"/>
  <c r="AH19" i="7" s="1"/>
  <c r="M12" i="7"/>
  <c r="O12" i="7" s="1"/>
  <c r="AG12" i="7" s="1"/>
  <c r="M13" i="7"/>
  <c r="O13" i="7" s="1"/>
  <c r="AG13" i="7" s="1"/>
  <c r="M14" i="7"/>
  <c r="O14" i="7" s="1"/>
  <c r="AG14" i="7" s="1"/>
  <c r="M15" i="7"/>
  <c r="O15" i="7" s="1"/>
  <c r="AG15" i="7" s="1"/>
  <c r="M16" i="7"/>
  <c r="O16" i="7" s="1"/>
  <c r="AG16" i="7" s="1"/>
  <c r="M17" i="7"/>
  <c r="O17" i="7" s="1"/>
  <c r="AG17" i="7" s="1"/>
  <c r="M18" i="7"/>
  <c r="O18" i="7" s="1"/>
  <c r="AG18" i="7" s="1"/>
  <c r="M19" i="7"/>
  <c r="O19" i="7" s="1"/>
  <c r="AG19" i="7" s="1"/>
  <c r="B12" i="7"/>
  <c r="Q12" i="7" s="1"/>
  <c r="B13" i="7"/>
  <c r="Q13" i="7" s="1"/>
  <c r="B14" i="7"/>
  <c r="Q14" i="7" s="1"/>
  <c r="B15" i="7"/>
  <c r="Q15" i="7" s="1"/>
  <c r="B16" i="7"/>
  <c r="Q16" i="7" s="1"/>
  <c r="B17" i="7"/>
  <c r="Q17" i="7" s="1"/>
  <c r="B18" i="7"/>
  <c r="Q18" i="7" s="1"/>
  <c r="B19" i="7"/>
  <c r="Q19" i="7" s="1"/>
  <c r="B11" i="14"/>
  <c r="S11" i="14" s="1"/>
  <c r="B12" i="14"/>
  <c r="S12" i="14" s="1"/>
  <c r="B13" i="14"/>
  <c r="S13" i="14" s="1"/>
  <c r="B14" i="14"/>
  <c r="S14" i="14" s="1"/>
  <c r="B15" i="14"/>
  <c r="S15" i="14" s="1"/>
  <c r="B16" i="14"/>
  <c r="S16" i="14" s="1"/>
  <c r="B17" i="14"/>
  <c r="S17" i="14" s="1"/>
  <c r="B18" i="14"/>
  <c r="S18" i="14" s="1"/>
  <c r="B10" i="17"/>
  <c r="P10" i="17" s="1"/>
  <c r="B11" i="17"/>
  <c r="P11" i="17" s="1"/>
  <c r="B12" i="17"/>
  <c r="P12" i="17" s="1"/>
  <c r="B13" i="17"/>
  <c r="P13" i="17" s="1"/>
  <c r="B14" i="17"/>
  <c r="P14" i="17" s="1"/>
  <c r="B15" i="17"/>
  <c r="P15" i="17" s="1"/>
  <c r="B16" i="17"/>
  <c r="P16" i="17" s="1"/>
  <c r="B17" i="17"/>
  <c r="P17" i="17" s="1"/>
  <c r="O17" i="17"/>
  <c r="O16" i="17"/>
  <c r="O15" i="17"/>
  <c r="O14" i="17"/>
  <c r="O13" i="17"/>
  <c r="O12" i="17"/>
  <c r="O11" i="17"/>
  <c r="O10" i="17"/>
  <c r="AA10" i="15"/>
  <c r="AA11" i="15"/>
  <c r="AA12" i="15"/>
  <c r="AA13" i="15"/>
  <c r="AA14" i="15"/>
  <c r="AA15" i="15"/>
  <c r="AA16" i="15"/>
  <c r="AA17" i="15"/>
  <c r="R10" i="15"/>
  <c r="Q11" i="14" s="1"/>
  <c r="AH11" i="14" s="1"/>
  <c r="R11" i="15"/>
  <c r="Q12" i="14" s="1"/>
  <c r="AH12" i="14" s="1"/>
  <c r="R12" i="15"/>
  <c r="Q13" i="14" s="1"/>
  <c r="AH13" i="14" s="1"/>
  <c r="R13" i="15"/>
  <c r="Q14" i="14" s="1"/>
  <c r="AH14" i="14" s="1"/>
  <c r="R14" i="15"/>
  <c r="Q15" i="14" s="1"/>
  <c r="AH15" i="14" s="1"/>
  <c r="R15" i="15"/>
  <c r="Q16" i="14" s="1"/>
  <c r="AH16" i="14" s="1"/>
  <c r="R16" i="15"/>
  <c r="Q17" i="14" s="1"/>
  <c r="AH17" i="14" s="1"/>
  <c r="R17" i="15"/>
  <c r="Q18" i="14" s="1"/>
  <c r="AH18" i="14" s="1"/>
  <c r="K11" i="15"/>
  <c r="P12" i="14" s="1"/>
  <c r="AG12" i="14" s="1"/>
  <c r="K12" i="15"/>
  <c r="P13" i="14" s="1"/>
  <c r="K13" i="15"/>
  <c r="P14" i="14" s="1"/>
  <c r="AG14" i="14" s="1"/>
  <c r="K14" i="15"/>
  <c r="P15" i="14" s="1"/>
  <c r="AG15" i="14" s="1"/>
  <c r="K15" i="15"/>
  <c r="P16" i="14" s="1"/>
  <c r="AG16" i="14" s="1"/>
  <c r="K16" i="15"/>
  <c r="P17" i="14" s="1"/>
  <c r="AG17" i="14" s="1"/>
  <c r="K17" i="15"/>
  <c r="P18" i="14" s="1"/>
  <c r="AG18" i="14" s="1"/>
  <c r="K10" i="15"/>
  <c r="P11" i="14" s="1"/>
  <c r="AG11" i="14" s="1"/>
  <c r="B10" i="15"/>
  <c r="U10" i="15" s="1"/>
  <c r="B11" i="15"/>
  <c r="U11" i="15" s="1"/>
  <c r="B12" i="15"/>
  <c r="U12" i="15" s="1"/>
  <c r="B13" i="15"/>
  <c r="U13" i="15" s="1"/>
  <c r="B14" i="15"/>
  <c r="U14" i="15" s="1"/>
  <c r="B15" i="15"/>
  <c r="U15" i="15" s="1"/>
  <c r="B16" i="15"/>
  <c r="U16" i="15" s="1"/>
  <c r="B17" i="15"/>
  <c r="U17" i="15" s="1"/>
  <c r="AF12" i="13"/>
  <c r="AF13" i="13"/>
  <c r="AF14" i="13"/>
  <c r="AF15" i="13"/>
  <c r="AF16" i="13"/>
  <c r="AF17" i="13"/>
  <c r="AF18" i="13"/>
  <c r="AF19" i="13"/>
  <c r="AB12" i="13"/>
  <c r="AD12" i="13" s="1"/>
  <c r="AH12" i="13" s="1"/>
  <c r="AB13" i="13"/>
  <c r="AD13" i="13" s="1"/>
  <c r="AH13" i="13" s="1"/>
  <c r="AB14" i="13"/>
  <c r="AD14" i="13" s="1"/>
  <c r="AH14" i="13" s="1"/>
  <c r="AB15" i="13"/>
  <c r="AD15" i="13" s="1"/>
  <c r="AH15" i="13" s="1"/>
  <c r="AB16" i="13"/>
  <c r="AD16" i="13" s="1"/>
  <c r="AH16" i="13" s="1"/>
  <c r="AB17" i="13"/>
  <c r="AD17" i="13" s="1"/>
  <c r="AH17" i="13" s="1"/>
  <c r="AB18" i="13"/>
  <c r="AD18" i="13" s="1"/>
  <c r="AH18" i="13" s="1"/>
  <c r="AB19" i="13"/>
  <c r="AD19" i="13" s="1"/>
  <c r="AH19" i="13" s="1"/>
  <c r="M12" i="13"/>
  <c r="O12" i="13" s="1"/>
  <c r="AG12" i="13" s="1"/>
  <c r="M13" i="13"/>
  <c r="O13" i="13" s="1"/>
  <c r="AG13" i="13" s="1"/>
  <c r="M14" i="13"/>
  <c r="O14" i="13" s="1"/>
  <c r="AG14" i="13" s="1"/>
  <c r="M15" i="13"/>
  <c r="O15" i="13" s="1"/>
  <c r="AG15" i="13" s="1"/>
  <c r="M16" i="13"/>
  <c r="O16" i="13" s="1"/>
  <c r="AG16" i="13" s="1"/>
  <c r="M17" i="13"/>
  <c r="O17" i="13" s="1"/>
  <c r="AG17" i="13" s="1"/>
  <c r="M18" i="13"/>
  <c r="O18" i="13" s="1"/>
  <c r="AG18" i="13" s="1"/>
  <c r="M19" i="13"/>
  <c r="O19" i="13" s="1"/>
  <c r="AG19" i="13" s="1"/>
  <c r="B12" i="13"/>
  <c r="Q12" i="13" s="1"/>
  <c r="B13" i="13"/>
  <c r="Q13" i="13" s="1"/>
  <c r="B14" i="13"/>
  <c r="Q14" i="13" s="1"/>
  <c r="B15" i="13"/>
  <c r="Q15" i="13" s="1"/>
  <c r="B16" i="13"/>
  <c r="Q16" i="13" s="1"/>
  <c r="B17" i="13"/>
  <c r="Q17" i="13" s="1"/>
  <c r="B18" i="13"/>
  <c r="Q18" i="13" s="1"/>
  <c r="B19" i="13"/>
  <c r="Q19" i="13" s="1"/>
  <c r="AF12" i="12"/>
  <c r="AF13" i="12"/>
  <c r="AF14" i="12"/>
  <c r="AF15" i="12"/>
  <c r="AF16" i="12"/>
  <c r="AF17" i="12"/>
  <c r="AF18" i="12"/>
  <c r="AF19" i="12"/>
  <c r="AB12" i="12"/>
  <c r="AD12" i="12" s="1"/>
  <c r="AH12" i="12" s="1"/>
  <c r="AB13" i="12"/>
  <c r="AD13" i="12" s="1"/>
  <c r="AH13" i="12" s="1"/>
  <c r="AB14" i="12"/>
  <c r="AD14" i="12" s="1"/>
  <c r="AH14" i="12" s="1"/>
  <c r="AB15" i="12"/>
  <c r="AD15" i="12" s="1"/>
  <c r="AH15" i="12" s="1"/>
  <c r="AB16" i="12"/>
  <c r="AD16" i="12" s="1"/>
  <c r="AH16" i="12" s="1"/>
  <c r="AB17" i="12"/>
  <c r="AD17" i="12" s="1"/>
  <c r="AH17" i="12" s="1"/>
  <c r="AB18" i="12"/>
  <c r="AD18" i="12" s="1"/>
  <c r="AH18" i="12" s="1"/>
  <c r="AB19" i="12"/>
  <c r="AD19" i="12" s="1"/>
  <c r="AH19" i="12" s="1"/>
  <c r="M12" i="12"/>
  <c r="O12" i="12" s="1"/>
  <c r="AG12" i="12" s="1"/>
  <c r="M13" i="12"/>
  <c r="O13" i="12" s="1"/>
  <c r="AG13" i="12" s="1"/>
  <c r="M14" i="12"/>
  <c r="O14" i="12" s="1"/>
  <c r="AG14" i="12" s="1"/>
  <c r="M15" i="12"/>
  <c r="O15" i="12" s="1"/>
  <c r="AG15" i="12" s="1"/>
  <c r="M16" i="12"/>
  <c r="O16" i="12" s="1"/>
  <c r="AG16" i="12" s="1"/>
  <c r="M17" i="12"/>
  <c r="O17" i="12" s="1"/>
  <c r="AG17" i="12" s="1"/>
  <c r="M18" i="12"/>
  <c r="O18" i="12" s="1"/>
  <c r="AG18" i="12" s="1"/>
  <c r="M19" i="12"/>
  <c r="O19" i="12" s="1"/>
  <c r="AG19" i="12" s="1"/>
  <c r="B12" i="12"/>
  <c r="Q12" i="12" s="1"/>
  <c r="B13" i="12"/>
  <c r="Q13" i="12" s="1"/>
  <c r="B14" i="12"/>
  <c r="Q14" i="12" s="1"/>
  <c r="B15" i="12"/>
  <c r="Q15" i="12" s="1"/>
  <c r="B16" i="12"/>
  <c r="Q16" i="12" s="1"/>
  <c r="B17" i="12"/>
  <c r="Q17" i="12" s="1"/>
  <c r="B18" i="12"/>
  <c r="Q18" i="12" s="1"/>
  <c r="B19" i="12"/>
  <c r="Q19" i="12" s="1"/>
  <c r="AF12" i="11"/>
  <c r="AF13" i="11"/>
  <c r="AF14" i="11"/>
  <c r="AF15" i="11"/>
  <c r="AF16" i="11"/>
  <c r="AF17" i="11"/>
  <c r="AF18" i="11"/>
  <c r="AF19" i="11"/>
  <c r="AB12" i="11"/>
  <c r="AD12" i="11" s="1"/>
  <c r="AH12" i="11" s="1"/>
  <c r="AB13" i="11"/>
  <c r="AD13" i="11" s="1"/>
  <c r="AH13" i="11" s="1"/>
  <c r="AB14" i="11"/>
  <c r="AD14" i="11" s="1"/>
  <c r="AH14" i="11" s="1"/>
  <c r="AB15" i="11"/>
  <c r="AD15" i="11" s="1"/>
  <c r="AH15" i="11" s="1"/>
  <c r="AB16" i="11"/>
  <c r="AD16" i="11" s="1"/>
  <c r="AH16" i="11" s="1"/>
  <c r="AB17" i="11"/>
  <c r="AD17" i="11" s="1"/>
  <c r="AH17" i="11" s="1"/>
  <c r="AB18" i="11"/>
  <c r="AD18" i="11" s="1"/>
  <c r="AH18" i="11" s="1"/>
  <c r="AB19" i="11"/>
  <c r="AD19" i="11" s="1"/>
  <c r="AH19" i="11" s="1"/>
  <c r="M12" i="11"/>
  <c r="O12" i="11" s="1"/>
  <c r="AG12" i="11" s="1"/>
  <c r="M13" i="11"/>
  <c r="O13" i="11" s="1"/>
  <c r="AG13" i="11" s="1"/>
  <c r="M14" i="11"/>
  <c r="O14" i="11" s="1"/>
  <c r="AG14" i="11" s="1"/>
  <c r="M15" i="11"/>
  <c r="O15" i="11" s="1"/>
  <c r="AG15" i="11" s="1"/>
  <c r="M16" i="11"/>
  <c r="O16" i="11" s="1"/>
  <c r="AG16" i="11" s="1"/>
  <c r="M17" i="11"/>
  <c r="O17" i="11" s="1"/>
  <c r="AG17" i="11" s="1"/>
  <c r="M18" i="11"/>
  <c r="O18" i="11" s="1"/>
  <c r="AG18" i="11" s="1"/>
  <c r="M19" i="11"/>
  <c r="O19" i="11" s="1"/>
  <c r="AG19" i="11" s="1"/>
  <c r="B12" i="11"/>
  <c r="Q12" i="11" s="1"/>
  <c r="B13" i="11"/>
  <c r="Q13" i="11" s="1"/>
  <c r="B14" i="11"/>
  <c r="Q14" i="11" s="1"/>
  <c r="B15" i="11"/>
  <c r="Q15" i="11" s="1"/>
  <c r="B16" i="11"/>
  <c r="Q16" i="11" s="1"/>
  <c r="B17" i="11"/>
  <c r="Q17" i="11" s="1"/>
  <c r="B18" i="11"/>
  <c r="Q18" i="11" s="1"/>
  <c r="B19" i="11"/>
  <c r="Q19" i="11" s="1"/>
  <c r="AF12" i="10"/>
  <c r="AF13" i="10"/>
  <c r="AF14" i="10"/>
  <c r="AF15" i="10"/>
  <c r="AF16" i="10"/>
  <c r="AF17" i="10"/>
  <c r="AF18" i="10"/>
  <c r="AF19" i="10"/>
  <c r="AB12" i="10"/>
  <c r="AD12" i="10" s="1"/>
  <c r="AH12" i="10" s="1"/>
  <c r="AB13" i="10"/>
  <c r="AD13" i="10" s="1"/>
  <c r="AH13" i="10" s="1"/>
  <c r="AB14" i="10"/>
  <c r="AD14" i="10" s="1"/>
  <c r="AH14" i="10" s="1"/>
  <c r="AB15" i="10"/>
  <c r="AD15" i="10" s="1"/>
  <c r="AH15" i="10" s="1"/>
  <c r="AB16" i="10"/>
  <c r="AD16" i="10" s="1"/>
  <c r="AH16" i="10" s="1"/>
  <c r="AB17" i="10"/>
  <c r="AD17" i="10" s="1"/>
  <c r="AH17" i="10" s="1"/>
  <c r="AB18" i="10"/>
  <c r="AD18" i="10" s="1"/>
  <c r="AH18" i="10" s="1"/>
  <c r="AB19" i="10"/>
  <c r="AD19" i="10" s="1"/>
  <c r="AH19" i="10" s="1"/>
  <c r="M12" i="10"/>
  <c r="O12" i="10" s="1"/>
  <c r="AG12" i="10" s="1"/>
  <c r="M13" i="10"/>
  <c r="O13" i="10" s="1"/>
  <c r="AG13" i="10" s="1"/>
  <c r="M14" i="10"/>
  <c r="O14" i="10" s="1"/>
  <c r="AG14" i="10" s="1"/>
  <c r="M15" i="10"/>
  <c r="O15" i="10" s="1"/>
  <c r="AG15" i="10" s="1"/>
  <c r="M16" i="10"/>
  <c r="O16" i="10" s="1"/>
  <c r="AG16" i="10" s="1"/>
  <c r="M17" i="10"/>
  <c r="O17" i="10" s="1"/>
  <c r="AG17" i="10" s="1"/>
  <c r="M18" i="10"/>
  <c r="O18" i="10" s="1"/>
  <c r="AG18" i="10" s="1"/>
  <c r="M19" i="10"/>
  <c r="O19" i="10" s="1"/>
  <c r="AG19" i="10" s="1"/>
  <c r="B12" i="10"/>
  <c r="Q12" i="10" s="1"/>
  <c r="B13" i="10"/>
  <c r="Q13" i="10" s="1"/>
  <c r="B14" i="10"/>
  <c r="Q14" i="10" s="1"/>
  <c r="B15" i="10"/>
  <c r="Q15" i="10" s="1"/>
  <c r="B16" i="10"/>
  <c r="Q16" i="10" s="1"/>
  <c r="B17" i="10"/>
  <c r="Q17" i="10" s="1"/>
  <c r="B18" i="10"/>
  <c r="Q18" i="10" s="1"/>
  <c r="B19" i="10"/>
  <c r="Q19" i="10" s="1"/>
  <c r="AF12" i="9"/>
  <c r="AF13" i="9"/>
  <c r="AF14" i="9"/>
  <c r="AF15" i="9"/>
  <c r="AF16" i="9"/>
  <c r="AF17" i="9"/>
  <c r="AF18" i="9"/>
  <c r="AF19" i="9"/>
  <c r="AD12" i="9"/>
  <c r="AH12" i="9" s="1"/>
  <c r="AB12" i="9"/>
  <c r="AB13" i="9"/>
  <c r="AD13" i="9" s="1"/>
  <c r="AH13" i="9" s="1"/>
  <c r="AB14" i="9"/>
  <c r="AD14" i="9" s="1"/>
  <c r="AH14" i="9" s="1"/>
  <c r="AB15" i="9"/>
  <c r="AD15" i="9" s="1"/>
  <c r="AH15" i="9" s="1"/>
  <c r="AB16" i="9"/>
  <c r="AD16" i="9" s="1"/>
  <c r="AH16" i="9" s="1"/>
  <c r="AB17" i="9"/>
  <c r="AD17" i="9" s="1"/>
  <c r="AH17" i="9" s="1"/>
  <c r="AB18" i="9"/>
  <c r="AD18" i="9" s="1"/>
  <c r="AH18" i="9" s="1"/>
  <c r="AB19" i="9"/>
  <c r="AD19" i="9" s="1"/>
  <c r="AH19" i="9" s="1"/>
  <c r="M12" i="9"/>
  <c r="O12" i="9" s="1"/>
  <c r="AG12" i="9" s="1"/>
  <c r="M13" i="9"/>
  <c r="O13" i="9" s="1"/>
  <c r="AG13" i="9" s="1"/>
  <c r="M14" i="9"/>
  <c r="O14" i="9" s="1"/>
  <c r="AG14" i="9" s="1"/>
  <c r="M15" i="9"/>
  <c r="O15" i="9" s="1"/>
  <c r="AG15" i="9" s="1"/>
  <c r="M16" i="9"/>
  <c r="O16" i="9" s="1"/>
  <c r="AG16" i="9" s="1"/>
  <c r="M17" i="9"/>
  <c r="O17" i="9" s="1"/>
  <c r="AG17" i="9" s="1"/>
  <c r="M18" i="9"/>
  <c r="O18" i="9" s="1"/>
  <c r="AG18" i="9" s="1"/>
  <c r="M19" i="9"/>
  <c r="O19" i="9" s="1"/>
  <c r="AG19" i="9" s="1"/>
  <c r="B12" i="9"/>
  <c r="Q12" i="9" s="1"/>
  <c r="B13" i="9"/>
  <c r="Q13" i="9" s="1"/>
  <c r="B14" i="9"/>
  <c r="Q14" i="9" s="1"/>
  <c r="B15" i="9"/>
  <c r="Q15" i="9" s="1"/>
  <c r="B16" i="9"/>
  <c r="Q16" i="9" s="1"/>
  <c r="B17" i="9"/>
  <c r="Q17" i="9" s="1"/>
  <c r="B18" i="9"/>
  <c r="Q18" i="9" s="1"/>
  <c r="B19" i="9"/>
  <c r="Q19" i="9" s="1"/>
  <c r="AF19" i="6"/>
  <c r="AB12" i="6"/>
  <c r="AD12" i="6" s="1"/>
  <c r="AB13" i="6"/>
  <c r="AD13" i="6" s="1"/>
  <c r="AB14" i="6"/>
  <c r="AD14" i="6" s="1"/>
  <c r="AB15" i="6"/>
  <c r="AD15" i="6" s="1"/>
  <c r="AB16" i="6"/>
  <c r="AD16" i="6" s="1"/>
  <c r="AB17" i="6"/>
  <c r="AD17" i="6" s="1"/>
  <c r="AB18" i="6"/>
  <c r="AD18" i="6" s="1"/>
  <c r="AB19" i="6"/>
  <c r="AD19" i="6" s="1"/>
  <c r="AH19" i="6" s="1"/>
  <c r="M12" i="6"/>
  <c r="O12" i="6" s="1"/>
  <c r="M13" i="6"/>
  <c r="O13" i="6" s="1"/>
  <c r="M14" i="6"/>
  <c r="O14" i="6" s="1"/>
  <c r="M15" i="6"/>
  <c r="O15" i="6" s="1"/>
  <c r="M16" i="6"/>
  <c r="O16" i="6" s="1"/>
  <c r="M17" i="6"/>
  <c r="O17" i="6" s="1"/>
  <c r="M18" i="6"/>
  <c r="O18" i="6" s="1"/>
  <c r="M19" i="6"/>
  <c r="O19" i="6" s="1"/>
  <c r="AG19" i="6" s="1"/>
  <c r="B12" i="6"/>
  <c r="Q12" i="6" s="1"/>
  <c r="B13" i="6"/>
  <c r="Q13" i="6" s="1"/>
  <c r="B14" i="6"/>
  <c r="Q14" i="6" s="1"/>
  <c r="B15" i="6"/>
  <c r="Q15" i="6" s="1"/>
  <c r="B16" i="6"/>
  <c r="Q16" i="6" s="1"/>
  <c r="B17" i="6"/>
  <c r="Q17" i="6" s="1"/>
  <c r="B18" i="6"/>
  <c r="Q18" i="6" s="1"/>
  <c r="B19" i="6"/>
  <c r="Q19" i="6" s="1"/>
  <c r="AF12" i="5"/>
  <c r="AF13" i="5"/>
  <c r="AF14" i="5"/>
  <c r="AF15" i="5"/>
  <c r="AF16" i="5"/>
  <c r="AF17" i="5"/>
  <c r="AF18" i="5"/>
  <c r="AF19" i="5"/>
  <c r="AB12" i="5"/>
  <c r="AD12" i="5" s="1"/>
  <c r="AH12" i="5" s="1"/>
  <c r="AB13" i="5"/>
  <c r="AD13" i="5" s="1"/>
  <c r="AH13" i="5" s="1"/>
  <c r="AB14" i="5"/>
  <c r="AD14" i="5" s="1"/>
  <c r="AH14" i="5" s="1"/>
  <c r="AB15" i="5"/>
  <c r="AD15" i="5" s="1"/>
  <c r="AH15" i="5" s="1"/>
  <c r="AB16" i="5"/>
  <c r="AD16" i="5" s="1"/>
  <c r="AH16" i="5" s="1"/>
  <c r="AB17" i="5"/>
  <c r="AD17" i="5" s="1"/>
  <c r="AH17" i="5" s="1"/>
  <c r="AB18" i="5"/>
  <c r="AD18" i="5" s="1"/>
  <c r="AH18" i="5" s="1"/>
  <c r="AD19" i="5"/>
  <c r="AH19" i="5" s="1"/>
  <c r="M12" i="5"/>
  <c r="O12" i="5" s="1"/>
  <c r="AG12" i="5" s="1"/>
  <c r="M13" i="5"/>
  <c r="O13" i="5" s="1"/>
  <c r="AG13" i="5" s="1"/>
  <c r="M14" i="5"/>
  <c r="O14" i="5" s="1"/>
  <c r="AG14" i="5" s="1"/>
  <c r="AI14" i="5" s="1"/>
  <c r="M15" i="5"/>
  <c r="O15" i="5" s="1"/>
  <c r="AG15" i="5" s="1"/>
  <c r="M16" i="5"/>
  <c r="O16" i="5" s="1"/>
  <c r="AG16" i="5" s="1"/>
  <c r="M17" i="5"/>
  <c r="O17" i="5" s="1"/>
  <c r="AG17" i="5" s="1"/>
  <c r="M18" i="5"/>
  <c r="O18" i="5" s="1"/>
  <c r="AG18" i="5" s="1"/>
  <c r="O19" i="5"/>
  <c r="AG19" i="5" s="1"/>
  <c r="B12" i="5"/>
  <c r="Q12" i="5" s="1"/>
  <c r="B13" i="5"/>
  <c r="Q13" i="5" s="1"/>
  <c r="B14" i="5"/>
  <c r="Q14" i="5" s="1"/>
  <c r="B15" i="5"/>
  <c r="Q15" i="5" s="1"/>
  <c r="B16" i="5"/>
  <c r="Q16" i="5" s="1"/>
  <c r="B17" i="5"/>
  <c r="Q17" i="5" s="1"/>
  <c r="B18" i="5"/>
  <c r="Q18" i="5" s="1"/>
  <c r="B19" i="5"/>
  <c r="Q19" i="5" s="1"/>
  <c r="AD6" i="14" l="1" a="1"/>
  <c r="AD6" i="14" s="1"/>
  <c r="AE6" i="14" a="1"/>
  <c r="AE6" i="14" s="1"/>
  <c r="AI18" i="5"/>
  <c r="D17" i="14" s="1"/>
  <c r="AI17" i="5"/>
  <c r="D16" i="14" s="1"/>
  <c r="AI13" i="5"/>
  <c r="D12" i="14" s="1"/>
  <c r="AI16" i="5"/>
  <c r="D15" i="14" s="1"/>
  <c r="AI12" i="5"/>
  <c r="AJ12" i="5" s="1"/>
  <c r="AG13" i="14"/>
  <c r="D13" i="14"/>
  <c r="AJ14" i="5"/>
  <c r="AI19" i="5"/>
  <c r="AI15" i="5"/>
  <c r="AJ13" i="5"/>
  <c r="AI19" i="10"/>
  <c r="I18" i="14" s="1"/>
  <c r="Z18" i="14" s="1"/>
  <c r="AI18" i="10"/>
  <c r="I17" i="14" s="1"/>
  <c r="Z17" i="14" s="1"/>
  <c r="AI17" i="10"/>
  <c r="AJ17" i="10" s="1"/>
  <c r="AI16" i="10"/>
  <c r="AJ16" i="10" s="1"/>
  <c r="I15" i="14"/>
  <c r="Z15" i="14" s="1"/>
  <c r="AI15" i="10"/>
  <c r="I14" i="14" s="1"/>
  <c r="Z14" i="14" s="1"/>
  <c r="AI14" i="10"/>
  <c r="AJ14" i="10" s="1"/>
  <c r="I13" i="14"/>
  <c r="Z13" i="14" s="1"/>
  <c r="AI13" i="10"/>
  <c r="AJ13" i="10" s="1"/>
  <c r="AI12" i="10"/>
  <c r="I11" i="14" s="1"/>
  <c r="Z11" i="14" s="1"/>
  <c r="AI19" i="13"/>
  <c r="L18" i="14" s="1"/>
  <c r="AC18" i="14" s="1"/>
  <c r="AI18" i="13"/>
  <c r="L17" i="14" s="1"/>
  <c r="AC17" i="14" s="1"/>
  <c r="AI17" i="13"/>
  <c r="L16" i="14" s="1"/>
  <c r="AC16" i="14" s="1"/>
  <c r="AI16" i="13"/>
  <c r="AJ16" i="13" s="1"/>
  <c r="AI15" i="13"/>
  <c r="AJ15" i="13" s="1"/>
  <c r="AI14" i="13"/>
  <c r="AJ14" i="13" s="1"/>
  <c r="AI13" i="13"/>
  <c r="L12" i="14" s="1"/>
  <c r="AI12" i="13"/>
  <c r="L11" i="14" s="1"/>
  <c r="AJ17" i="13"/>
  <c r="AI19" i="8"/>
  <c r="AJ19" i="8" s="1"/>
  <c r="AI18" i="8"/>
  <c r="AJ18" i="8" s="1"/>
  <c r="AI17" i="8"/>
  <c r="G16" i="14" s="1"/>
  <c r="X16" i="14" s="1"/>
  <c r="AI16" i="8"/>
  <c r="AJ16" i="8" s="1"/>
  <c r="AI15" i="8"/>
  <c r="AJ15" i="8" s="1"/>
  <c r="AI14" i="8"/>
  <c r="AJ14" i="8" s="1"/>
  <c r="AI13" i="8"/>
  <c r="G12" i="14" s="1"/>
  <c r="X12" i="14" s="1"/>
  <c r="AI12" i="8"/>
  <c r="AJ12" i="8" s="1"/>
  <c r="AI12" i="7"/>
  <c r="AJ12" i="7" s="1"/>
  <c r="AI19" i="7"/>
  <c r="AJ19" i="7" s="1"/>
  <c r="AI18" i="7"/>
  <c r="AJ18" i="7" s="1"/>
  <c r="AI17" i="7"/>
  <c r="AJ17" i="7" s="1"/>
  <c r="AI16" i="7"/>
  <c r="AJ16" i="7" s="1"/>
  <c r="AI15" i="7"/>
  <c r="AJ15" i="7" s="1"/>
  <c r="AI14" i="7"/>
  <c r="AJ14" i="7" s="1"/>
  <c r="AI13" i="7"/>
  <c r="AJ13" i="7" s="1"/>
  <c r="F16" i="14"/>
  <c r="W16" i="14" s="1"/>
  <c r="AI19" i="12"/>
  <c r="K18" i="14" s="1"/>
  <c r="AB18" i="14" s="1"/>
  <c r="AI18" i="12"/>
  <c r="K17" i="14" s="1"/>
  <c r="AB17" i="14" s="1"/>
  <c r="AI17" i="12"/>
  <c r="AJ17" i="12" s="1"/>
  <c r="AI16" i="12"/>
  <c r="AJ16" i="12" s="1"/>
  <c r="AI15" i="12"/>
  <c r="AI14" i="12"/>
  <c r="AJ14" i="12" s="1"/>
  <c r="AI13" i="12"/>
  <c r="K12" i="14" s="1"/>
  <c r="AB12" i="14" s="1"/>
  <c r="AI12" i="12"/>
  <c r="AJ12" i="12" s="1"/>
  <c r="K14" i="14"/>
  <c r="AB14" i="14" s="1"/>
  <c r="AJ15" i="12"/>
  <c r="AI19" i="9"/>
  <c r="AJ19" i="9" s="1"/>
  <c r="AI18" i="9"/>
  <c r="H17" i="14" s="1"/>
  <c r="Y17" i="14" s="1"/>
  <c r="AI17" i="9"/>
  <c r="H16" i="14" s="1"/>
  <c r="Y16" i="14" s="1"/>
  <c r="AI16" i="9"/>
  <c r="H15" i="14" s="1"/>
  <c r="Y15" i="14" s="1"/>
  <c r="AI15" i="9"/>
  <c r="H14" i="14" s="1"/>
  <c r="Y14" i="14" s="1"/>
  <c r="AI14" i="9"/>
  <c r="AJ14" i="9" s="1"/>
  <c r="AI13" i="9"/>
  <c r="H12" i="14" s="1"/>
  <c r="Y12" i="14" s="1"/>
  <c r="AI12" i="9"/>
  <c r="AJ12" i="9" s="1"/>
  <c r="AJ18" i="9"/>
  <c r="AI19" i="11"/>
  <c r="AI18" i="11"/>
  <c r="AI17" i="11"/>
  <c r="AI16" i="11"/>
  <c r="AI15" i="11"/>
  <c r="AI14" i="11"/>
  <c r="AI13" i="11"/>
  <c r="AI12" i="11"/>
  <c r="AI19" i="6"/>
  <c r="BS11" i="1"/>
  <c r="BS12" i="1"/>
  <c r="BS13" i="1"/>
  <c r="BS14" i="1"/>
  <c r="BS15" i="1"/>
  <c r="BS16" i="1"/>
  <c r="BS17" i="1"/>
  <c r="BS18" i="1"/>
  <c r="BR11" i="1"/>
  <c r="BQ11" i="1" s="1"/>
  <c r="PH11" i="1" s="1"/>
  <c r="BR12" i="1"/>
  <c r="BR13" i="1"/>
  <c r="BQ13" i="1" s="1"/>
  <c r="PH13" i="1" s="1"/>
  <c r="BR14" i="1"/>
  <c r="BR15" i="1"/>
  <c r="BQ15" i="1" s="1"/>
  <c r="PH15" i="1" s="1"/>
  <c r="BR16" i="1"/>
  <c r="BR17" i="1"/>
  <c r="BQ17" i="1" s="1"/>
  <c r="PH17" i="1" s="1"/>
  <c r="BR18" i="1"/>
  <c r="BQ16" i="1"/>
  <c r="PH16" i="1" s="1"/>
  <c r="AK11" i="1"/>
  <c r="AK12" i="1"/>
  <c r="AK13" i="1"/>
  <c r="AK14" i="1"/>
  <c r="AK15" i="1"/>
  <c r="AK16" i="1"/>
  <c r="AK17" i="1"/>
  <c r="AK18" i="1"/>
  <c r="AJ11" i="1"/>
  <c r="AJ12" i="1"/>
  <c r="AJ13" i="1"/>
  <c r="AJ14" i="1"/>
  <c r="AJ15" i="1"/>
  <c r="AJ16" i="1"/>
  <c r="AJ17" i="1"/>
  <c r="AJ18" i="1"/>
  <c r="AI12" i="1"/>
  <c r="AI13" i="1"/>
  <c r="AI14" i="1"/>
  <c r="AH14" i="1" s="1"/>
  <c r="PG14" i="1" s="1"/>
  <c r="AI15" i="1"/>
  <c r="AI16" i="1"/>
  <c r="AI17" i="1"/>
  <c r="AI18" i="1"/>
  <c r="AI11" i="1"/>
  <c r="T16" i="15"/>
  <c r="T15" i="15"/>
  <c r="T14" i="15"/>
  <c r="T13" i="15"/>
  <c r="T12" i="15"/>
  <c r="T11" i="15"/>
  <c r="T10" i="15"/>
  <c r="AJ19" i="13" l="1"/>
  <c r="L14" i="14"/>
  <c r="G18" i="14"/>
  <c r="X18" i="14" s="1"/>
  <c r="G15" i="14"/>
  <c r="X15" i="14" s="1"/>
  <c r="F18" i="14"/>
  <c r="W18" i="14" s="1"/>
  <c r="F15" i="14"/>
  <c r="W15" i="14" s="1"/>
  <c r="F11" i="14"/>
  <c r="W11" i="14" s="1"/>
  <c r="F12" i="14"/>
  <c r="W12" i="14" s="1"/>
  <c r="F14" i="14"/>
  <c r="W14" i="14" s="1"/>
  <c r="K15" i="14"/>
  <c r="AB15" i="14" s="1"/>
  <c r="AJ19" i="12"/>
  <c r="K11" i="14"/>
  <c r="AB11" i="14" s="1"/>
  <c r="H18" i="14"/>
  <c r="Y18" i="14" s="1"/>
  <c r="AJ18" i="5"/>
  <c r="AJ17" i="5"/>
  <c r="D11" i="14"/>
  <c r="U11" i="14" s="1"/>
  <c r="AJ13" i="13"/>
  <c r="AJ15" i="9"/>
  <c r="G11" i="14"/>
  <c r="X11" i="14" s="1"/>
  <c r="U15" i="14"/>
  <c r="U12" i="14"/>
  <c r="U16" i="14"/>
  <c r="U17" i="14"/>
  <c r="U13" i="14"/>
  <c r="AJ16" i="5"/>
  <c r="AH13" i="1"/>
  <c r="PG13" i="1" s="1"/>
  <c r="AH16" i="1"/>
  <c r="PG16" i="1" s="1"/>
  <c r="AH12" i="1"/>
  <c r="PG12" i="1" s="1"/>
  <c r="AH11" i="1"/>
  <c r="PG11" i="1" s="1"/>
  <c r="AH17" i="1"/>
  <c r="PG17" i="1" s="1"/>
  <c r="AC12" i="14"/>
  <c r="AC14" i="14"/>
  <c r="AC11" i="14"/>
  <c r="T16" i="14"/>
  <c r="T11" i="14"/>
  <c r="J11" i="14"/>
  <c r="AA11" i="14" s="1"/>
  <c r="AJ12" i="11"/>
  <c r="AJ19" i="6"/>
  <c r="E18" i="14"/>
  <c r="AJ13" i="11"/>
  <c r="J12" i="14"/>
  <c r="AA12" i="14" s="1"/>
  <c r="J16" i="14"/>
  <c r="AA16" i="14" s="1"/>
  <c r="AJ17" i="11"/>
  <c r="H11" i="14"/>
  <c r="Y11" i="14" s="1"/>
  <c r="J15" i="14"/>
  <c r="AA15" i="14" s="1"/>
  <c r="AJ16" i="11"/>
  <c r="BQ18" i="1"/>
  <c r="PH18" i="1" s="1"/>
  <c r="AJ14" i="11"/>
  <c r="J13" i="14"/>
  <c r="AA13" i="14" s="1"/>
  <c r="AJ18" i="11"/>
  <c r="J17" i="14"/>
  <c r="AA17" i="14" s="1"/>
  <c r="AJ18" i="12"/>
  <c r="G13" i="14"/>
  <c r="X13" i="14" s="1"/>
  <c r="D14" i="14"/>
  <c r="AJ15" i="5"/>
  <c r="T15" i="14"/>
  <c r="BQ12" i="1"/>
  <c r="PH12" i="1" s="1"/>
  <c r="J14" i="14"/>
  <c r="AA14" i="14" s="1"/>
  <c r="AJ15" i="11"/>
  <c r="J18" i="14"/>
  <c r="AA18" i="14" s="1"/>
  <c r="AJ19" i="11"/>
  <c r="AJ16" i="9"/>
  <c r="L15" i="14"/>
  <c r="AC15" i="14" s="1"/>
  <c r="D18" i="14"/>
  <c r="AJ19" i="5"/>
  <c r="AJ19" i="10"/>
  <c r="AJ18" i="10"/>
  <c r="I16" i="14"/>
  <c r="Z16" i="14" s="1"/>
  <c r="AJ15" i="10"/>
  <c r="I12" i="14"/>
  <c r="Z12" i="14" s="1"/>
  <c r="AJ12" i="10"/>
  <c r="AJ12" i="13"/>
  <c r="AJ18" i="13"/>
  <c r="L13" i="14"/>
  <c r="G17" i="14"/>
  <c r="X17" i="14" s="1"/>
  <c r="AJ17" i="8"/>
  <c r="G14" i="14"/>
  <c r="AJ13" i="8"/>
  <c r="F17" i="14"/>
  <c r="F13" i="14"/>
  <c r="K16" i="14"/>
  <c r="AB16" i="14" s="1"/>
  <c r="K13" i="14"/>
  <c r="AB13" i="14" s="1"/>
  <c r="AJ13" i="12"/>
  <c r="AJ13" i="9"/>
  <c r="AJ17" i="9"/>
  <c r="H13" i="14"/>
  <c r="Y13" i="14" s="1"/>
  <c r="BQ14" i="1"/>
  <c r="PH14" i="1" s="1"/>
  <c r="AH15" i="1"/>
  <c r="PG15" i="1" s="1"/>
  <c r="AH18" i="1"/>
  <c r="PG18" i="1" s="1"/>
  <c r="AB6" i="7"/>
  <c r="AD6" i="7" s="1"/>
  <c r="AB11" i="5"/>
  <c r="AB10" i="5"/>
  <c r="AB9" i="5"/>
  <c r="AB8" i="5"/>
  <c r="AB7" i="5"/>
  <c r="PD18" i="1"/>
  <c r="PE18" i="1"/>
  <c r="PF18" i="1"/>
  <c r="R3" i="14"/>
  <c r="U18" i="14" l="1"/>
  <c r="O18" i="14"/>
  <c r="U14" i="14"/>
  <c r="V18" i="14"/>
  <c r="AC13" i="14"/>
  <c r="T12" i="14"/>
  <c r="PC18" i="1"/>
  <c r="T13" i="14"/>
  <c r="T14" i="14"/>
  <c r="T17" i="14"/>
  <c r="W17" i="14"/>
  <c r="X14" i="14"/>
  <c r="W13" i="14"/>
  <c r="AC5" i="14"/>
  <c r="K5" i="14"/>
  <c r="AB5" i="14" s="1"/>
  <c r="J5" i="14"/>
  <c r="AA5" i="14" s="1"/>
  <c r="I5" i="14"/>
  <c r="Z5" i="14" s="1"/>
  <c r="H5" i="14"/>
  <c r="Y5" i="14" s="1"/>
  <c r="G5" i="14"/>
  <c r="X5" i="14" s="1"/>
  <c r="F5" i="14"/>
  <c r="W5" i="14" s="1"/>
  <c r="E5" i="14"/>
  <c r="V5" i="14" s="1"/>
  <c r="D5" i="14"/>
  <c r="U5" i="14" s="1"/>
  <c r="C5" i="14"/>
  <c r="T5" i="14" s="1"/>
  <c r="T18" i="14" l="1"/>
  <c r="AF18" i="14" s="1"/>
  <c r="PR18" i="1"/>
  <c r="O6" i="17"/>
  <c r="O7" i="17"/>
  <c r="O8" i="17"/>
  <c r="O9" i="17"/>
  <c r="O5" i="17"/>
  <c r="AA5" i="15"/>
  <c r="AA6" i="15"/>
  <c r="AA7" i="15"/>
  <c r="AA8" i="15"/>
  <c r="AA9" i="15"/>
  <c r="AA4" i="15"/>
  <c r="U4" i="15"/>
  <c r="T6" i="15"/>
  <c r="T7" i="15"/>
  <c r="T8" i="15"/>
  <c r="T9" i="15"/>
  <c r="T5" i="15"/>
  <c r="D9" i="15"/>
  <c r="D8" i="15"/>
  <c r="E9" i="15" l="1"/>
  <c r="E8" i="15"/>
  <c r="E7" i="15"/>
  <c r="E6" i="15"/>
  <c r="F9" i="15" l="1"/>
  <c r="F8" i="15"/>
  <c r="F7" i="15"/>
  <c r="G9" i="15" l="1"/>
  <c r="G8" i="15"/>
  <c r="G7" i="15"/>
  <c r="AB6" i="12"/>
  <c r="AB6" i="11"/>
  <c r="AB6" i="10"/>
  <c r="AB6" i="9"/>
  <c r="M6" i="12"/>
  <c r="M6" i="10"/>
  <c r="M6" i="9"/>
  <c r="M6" i="8"/>
  <c r="M6" i="7"/>
  <c r="M6" i="6"/>
  <c r="M6" i="5"/>
  <c r="H9" i="15" l="1"/>
  <c r="H8" i="15"/>
  <c r="H7" i="15"/>
  <c r="H6" i="15"/>
  <c r="H5" i="15"/>
  <c r="AB6" i="13"/>
  <c r="AD6" i="13" s="1"/>
  <c r="M6" i="13"/>
  <c r="O6" i="13" s="1"/>
  <c r="I9" i="15" l="1"/>
  <c r="I8" i="15"/>
  <c r="I7" i="15"/>
  <c r="I6" i="15"/>
  <c r="I5" i="15"/>
  <c r="B6" i="1"/>
  <c r="R9" i="15"/>
  <c r="R8" i="15"/>
  <c r="R7" i="15"/>
  <c r="R6" i="15"/>
  <c r="R5" i="15"/>
  <c r="AF7" i="26" l="1"/>
  <c r="B7" i="26"/>
  <c r="Q7" i="26" s="1"/>
  <c r="B8" i="14"/>
  <c r="S8" i="14" s="1"/>
  <c r="AF9" i="23"/>
  <c r="B9" i="23"/>
  <c r="Q9" i="23" s="1"/>
  <c r="AF9" i="24"/>
  <c r="B9" i="24"/>
  <c r="Q9" i="24" s="1"/>
  <c r="B5" i="17"/>
  <c r="P5" i="17" s="1"/>
  <c r="B7" i="23"/>
  <c r="Q7" i="23" s="1"/>
  <c r="AF7" i="24"/>
  <c r="B7" i="24"/>
  <c r="Q7" i="24" s="1"/>
  <c r="AF7" i="23"/>
  <c r="B6" i="17"/>
  <c r="P6" i="17" s="1"/>
  <c r="B8" i="24"/>
  <c r="Q8" i="24" s="1"/>
  <c r="AF8" i="23"/>
  <c r="B8" i="23"/>
  <c r="Q8" i="23" s="1"/>
  <c r="AF8" i="24"/>
  <c r="B8" i="15"/>
  <c r="U8" i="15" s="1"/>
  <c r="AF10" i="23"/>
  <c r="AF10" i="24"/>
  <c r="B10" i="24"/>
  <c r="Q10" i="24" s="1"/>
  <c r="B10" i="23"/>
  <c r="Q10" i="23" s="1"/>
  <c r="B9" i="15"/>
  <c r="U9" i="15" s="1"/>
  <c r="AF11" i="24"/>
  <c r="B11" i="24"/>
  <c r="Q11" i="24" s="1"/>
  <c r="AF11" i="23"/>
  <c r="B11" i="23"/>
  <c r="Q11" i="23" s="1"/>
  <c r="Q10" i="14"/>
  <c r="AH10" i="14" s="1"/>
  <c r="Q9" i="14"/>
  <c r="AH9" i="14" s="1"/>
  <c r="Q8" i="14"/>
  <c r="AH8" i="14" s="1"/>
  <c r="Q7" i="14"/>
  <c r="AH7" i="14" s="1"/>
  <c r="J9" i="15"/>
  <c r="J8" i="15"/>
  <c r="J7" i="15"/>
  <c r="J6" i="15"/>
  <c r="Q6" i="14"/>
  <c r="AH6" i="14" s="1"/>
  <c r="J5" i="15"/>
  <c r="F26" i="21"/>
  <c r="I26" i="21"/>
  <c r="H26" i="21"/>
  <c r="G26" i="21"/>
  <c r="B5" i="15"/>
  <c r="U5" i="15" s="1"/>
  <c r="B7" i="15"/>
  <c r="U7" i="15" s="1"/>
  <c r="B7" i="17"/>
  <c r="P7" i="17" s="1"/>
  <c r="B6" i="14"/>
  <c r="S6" i="14" s="1"/>
  <c r="B6" i="15"/>
  <c r="U6" i="15" s="1"/>
  <c r="B9" i="14"/>
  <c r="S9" i="14" s="1"/>
  <c r="B8" i="17"/>
  <c r="P8" i="17" s="1"/>
  <c r="B7" i="14"/>
  <c r="S7" i="14" s="1"/>
  <c r="B10" i="14"/>
  <c r="S10" i="14" s="1"/>
  <c r="B9" i="17"/>
  <c r="P9" i="17" s="1"/>
  <c r="K9" i="15" l="1"/>
  <c r="P10" i="14" s="1"/>
  <c r="AG10" i="14" s="1"/>
  <c r="K8" i="15"/>
  <c r="P9" i="14" s="1"/>
  <c r="AG9" i="14" s="1"/>
  <c r="K7" i="15"/>
  <c r="P8" i="14" s="1"/>
  <c r="AG8" i="14" s="1"/>
  <c r="K6" i="15"/>
  <c r="P7" i="14" s="1"/>
  <c r="AG7" i="14" s="1"/>
  <c r="K5" i="15"/>
  <c r="AB11" i="13"/>
  <c r="AD11" i="13" s="1"/>
  <c r="AH11" i="13" s="1"/>
  <c r="M11" i="13"/>
  <c r="O11" i="13" s="1"/>
  <c r="AG11" i="13" s="1"/>
  <c r="B11" i="13"/>
  <c r="Q11" i="13" s="1"/>
  <c r="AF11" i="13"/>
  <c r="AB10" i="13"/>
  <c r="AD10" i="13" s="1"/>
  <c r="AH10" i="13" s="1"/>
  <c r="M10" i="13"/>
  <c r="O10" i="13" s="1"/>
  <c r="AG10" i="13" s="1"/>
  <c r="B10" i="13"/>
  <c r="Q10" i="13" s="1"/>
  <c r="AF10" i="13"/>
  <c r="AB9" i="13"/>
  <c r="AD9" i="13" s="1"/>
  <c r="AH9" i="13" s="1"/>
  <c r="M9" i="13"/>
  <c r="O9" i="13" s="1"/>
  <c r="AG9" i="13" s="1"/>
  <c r="B9" i="13"/>
  <c r="Q9" i="13" s="1"/>
  <c r="AF9" i="13"/>
  <c r="AB8" i="13"/>
  <c r="AD8" i="13" s="1"/>
  <c r="AH8" i="13" s="1"/>
  <c r="M8" i="13"/>
  <c r="O8" i="13" s="1"/>
  <c r="AG8" i="13" s="1"/>
  <c r="B8" i="13"/>
  <c r="Q8" i="13" s="1"/>
  <c r="AF8" i="13"/>
  <c r="AB7" i="13"/>
  <c r="AD7" i="13" s="1"/>
  <c r="AH7" i="13" s="1"/>
  <c r="M7" i="13"/>
  <c r="O7" i="13" s="1"/>
  <c r="AG7" i="13" s="1"/>
  <c r="B7" i="13"/>
  <c r="Q7" i="13" s="1"/>
  <c r="AF7" i="13"/>
  <c r="AE3" i="13"/>
  <c r="P3" i="13"/>
  <c r="AB11" i="12"/>
  <c r="AD11" i="12" s="1"/>
  <c r="AH11" i="12" s="1"/>
  <c r="M11" i="12"/>
  <c r="O11" i="12" s="1"/>
  <c r="AG11" i="12" s="1"/>
  <c r="B11" i="12"/>
  <c r="Q11" i="12" s="1"/>
  <c r="AF11" i="12"/>
  <c r="AB10" i="12"/>
  <c r="AD10" i="12" s="1"/>
  <c r="AH10" i="12" s="1"/>
  <c r="M10" i="12"/>
  <c r="O10" i="12" s="1"/>
  <c r="AG10" i="12" s="1"/>
  <c r="B10" i="12"/>
  <c r="Q10" i="12" s="1"/>
  <c r="AF10" i="12"/>
  <c r="AB9" i="12"/>
  <c r="AD9" i="12" s="1"/>
  <c r="AH9" i="12" s="1"/>
  <c r="M9" i="12"/>
  <c r="O9" i="12" s="1"/>
  <c r="AG9" i="12" s="1"/>
  <c r="B9" i="12"/>
  <c r="Q9" i="12" s="1"/>
  <c r="AF9" i="12"/>
  <c r="AB8" i="12"/>
  <c r="AD8" i="12" s="1"/>
  <c r="AH8" i="12" s="1"/>
  <c r="M8" i="12"/>
  <c r="O8" i="12" s="1"/>
  <c r="AG8" i="12" s="1"/>
  <c r="B8" i="12"/>
  <c r="Q8" i="12" s="1"/>
  <c r="AF8" i="12"/>
  <c r="AB7" i="12"/>
  <c r="AD7" i="12" s="1"/>
  <c r="AH7" i="12" s="1"/>
  <c r="M7" i="12"/>
  <c r="O7" i="12" s="1"/>
  <c r="AG7" i="12" s="1"/>
  <c r="B7" i="12"/>
  <c r="Q7" i="12" s="1"/>
  <c r="AF7" i="12"/>
  <c r="AD6" i="12"/>
  <c r="O6" i="12"/>
  <c r="AE3" i="12"/>
  <c r="P3" i="12"/>
  <c r="AB11" i="11"/>
  <c r="AD11" i="11" s="1"/>
  <c r="AH11" i="11" s="1"/>
  <c r="M11" i="11"/>
  <c r="O11" i="11" s="1"/>
  <c r="AG11" i="11" s="1"/>
  <c r="B11" i="11"/>
  <c r="Q11" i="11" s="1"/>
  <c r="AF11" i="11"/>
  <c r="AB10" i="11"/>
  <c r="AD10" i="11" s="1"/>
  <c r="AH10" i="11" s="1"/>
  <c r="M10" i="11"/>
  <c r="O10" i="11" s="1"/>
  <c r="AG10" i="11" s="1"/>
  <c r="B10" i="11"/>
  <c r="Q10" i="11" s="1"/>
  <c r="AF10" i="11"/>
  <c r="AB9" i="11"/>
  <c r="AD9" i="11" s="1"/>
  <c r="AH9" i="11" s="1"/>
  <c r="M9" i="11"/>
  <c r="O9" i="11" s="1"/>
  <c r="AG9" i="11" s="1"/>
  <c r="B9" i="11"/>
  <c r="Q9" i="11" s="1"/>
  <c r="AF9" i="11"/>
  <c r="AB8" i="11"/>
  <c r="AD8" i="11" s="1"/>
  <c r="AH8" i="11" s="1"/>
  <c r="M8" i="11"/>
  <c r="O8" i="11" s="1"/>
  <c r="AG8" i="11" s="1"/>
  <c r="B8" i="11"/>
  <c r="Q8" i="11" s="1"/>
  <c r="AF8" i="11"/>
  <c r="AB7" i="11"/>
  <c r="AD7" i="11" s="1"/>
  <c r="AH7" i="11" s="1"/>
  <c r="M7" i="11"/>
  <c r="O7" i="11" s="1"/>
  <c r="AG7" i="11" s="1"/>
  <c r="B7" i="11"/>
  <c r="Q7" i="11" s="1"/>
  <c r="AF7" i="11"/>
  <c r="AD6" i="11"/>
  <c r="O6" i="11"/>
  <c r="AE3" i="11"/>
  <c r="P3" i="11"/>
  <c r="AB11" i="10"/>
  <c r="AD11" i="10" s="1"/>
  <c r="AH11" i="10" s="1"/>
  <c r="M11" i="10"/>
  <c r="O11" i="10" s="1"/>
  <c r="AG11" i="10" s="1"/>
  <c r="B11" i="10"/>
  <c r="Q11" i="10" s="1"/>
  <c r="AF11" i="10"/>
  <c r="AB10" i="10"/>
  <c r="AD10" i="10" s="1"/>
  <c r="AH10" i="10" s="1"/>
  <c r="M10" i="10"/>
  <c r="O10" i="10" s="1"/>
  <c r="AG10" i="10" s="1"/>
  <c r="B10" i="10"/>
  <c r="Q10" i="10" s="1"/>
  <c r="AF10" i="10"/>
  <c r="AB9" i="10"/>
  <c r="AD9" i="10" s="1"/>
  <c r="AH9" i="10" s="1"/>
  <c r="M9" i="10"/>
  <c r="O9" i="10" s="1"/>
  <c r="AG9" i="10" s="1"/>
  <c r="B9" i="10"/>
  <c r="Q9" i="10" s="1"/>
  <c r="AF9" i="10"/>
  <c r="AB8" i="10"/>
  <c r="AD8" i="10" s="1"/>
  <c r="AH8" i="10" s="1"/>
  <c r="M8" i="10"/>
  <c r="O8" i="10" s="1"/>
  <c r="AG8" i="10" s="1"/>
  <c r="B8" i="10"/>
  <c r="Q8" i="10" s="1"/>
  <c r="AF8" i="10"/>
  <c r="AB7" i="10"/>
  <c r="AD7" i="10" s="1"/>
  <c r="AH7" i="10" s="1"/>
  <c r="M7" i="10"/>
  <c r="O7" i="10" s="1"/>
  <c r="AG7" i="10" s="1"/>
  <c r="B7" i="10"/>
  <c r="Q7" i="10" s="1"/>
  <c r="AF7" i="10"/>
  <c r="AD6" i="10"/>
  <c r="O6" i="10"/>
  <c r="AE3" i="10"/>
  <c r="P3" i="10"/>
  <c r="AB11" i="9"/>
  <c r="AD11" i="9" s="1"/>
  <c r="AH11" i="9" s="1"/>
  <c r="M11" i="9"/>
  <c r="O11" i="9" s="1"/>
  <c r="AG11" i="9" s="1"/>
  <c r="B11" i="9"/>
  <c r="Q11" i="9" s="1"/>
  <c r="AF11" i="9"/>
  <c r="AB10" i="9"/>
  <c r="AD10" i="9" s="1"/>
  <c r="AH10" i="9" s="1"/>
  <c r="M10" i="9"/>
  <c r="O10" i="9" s="1"/>
  <c r="AG10" i="9" s="1"/>
  <c r="B10" i="9"/>
  <c r="Q10" i="9" s="1"/>
  <c r="AF10" i="9"/>
  <c r="AB9" i="9"/>
  <c r="AD9" i="9" s="1"/>
  <c r="AH9" i="9" s="1"/>
  <c r="M9" i="9"/>
  <c r="O9" i="9" s="1"/>
  <c r="AG9" i="9" s="1"/>
  <c r="B9" i="9"/>
  <c r="Q9" i="9" s="1"/>
  <c r="AF9" i="9"/>
  <c r="AB8" i="9"/>
  <c r="AD8" i="9" s="1"/>
  <c r="AH8" i="9" s="1"/>
  <c r="M8" i="9"/>
  <c r="O8" i="9" s="1"/>
  <c r="AG8" i="9" s="1"/>
  <c r="B8" i="9"/>
  <c r="Q8" i="9" s="1"/>
  <c r="AF8" i="9"/>
  <c r="AB7" i="9"/>
  <c r="AD7" i="9" s="1"/>
  <c r="AH7" i="9" s="1"/>
  <c r="M7" i="9"/>
  <c r="O7" i="9" s="1"/>
  <c r="AG7" i="9" s="1"/>
  <c r="B7" i="9"/>
  <c r="Q7" i="9" s="1"/>
  <c r="AF7" i="9"/>
  <c r="AD6" i="9"/>
  <c r="O6" i="9"/>
  <c r="AE3" i="9"/>
  <c r="P3" i="9"/>
  <c r="AB11" i="8"/>
  <c r="AD11" i="8" s="1"/>
  <c r="AH11" i="8" s="1"/>
  <c r="M11" i="8"/>
  <c r="O11" i="8" s="1"/>
  <c r="AG11" i="8" s="1"/>
  <c r="Q11" i="8"/>
  <c r="AF11" i="8"/>
  <c r="AB10" i="8"/>
  <c r="AD10" i="8" s="1"/>
  <c r="AH10" i="8" s="1"/>
  <c r="M10" i="8"/>
  <c r="O10" i="8" s="1"/>
  <c r="AG10" i="8" s="1"/>
  <c r="Q10" i="8"/>
  <c r="AF10" i="8"/>
  <c r="AB9" i="8"/>
  <c r="AD9" i="8" s="1"/>
  <c r="AH9" i="8" s="1"/>
  <c r="M9" i="8"/>
  <c r="O9" i="8" s="1"/>
  <c r="AG9" i="8" s="1"/>
  <c r="Q9" i="8"/>
  <c r="AF9" i="8"/>
  <c r="AB8" i="8"/>
  <c r="AD8" i="8" s="1"/>
  <c r="AH8" i="8" s="1"/>
  <c r="M8" i="8"/>
  <c r="O8" i="8" s="1"/>
  <c r="AG8" i="8" s="1"/>
  <c r="Q8" i="8"/>
  <c r="AF8" i="8"/>
  <c r="AB7" i="8"/>
  <c r="AD7" i="8" s="1"/>
  <c r="AH7" i="8" s="1"/>
  <c r="M7" i="8"/>
  <c r="O7" i="8" s="1"/>
  <c r="AG7" i="8" s="1"/>
  <c r="B7" i="8"/>
  <c r="Q7" i="8" s="1"/>
  <c r="AF7" i="8"/>
  <c r="AD6" i="8"/>
  <c r="O6" i="8"/>
  <c r="AE3" i="8"/>
  <c r="P3" i="8"/>
  <c r="AB11" i="7"/>
  <c r="AD11" i="7" s="1"/>
  <c r="AH11" i="7" s="1"/>
  <c r="M11" i="7"/>
  <c r="O11" i="7" s="1"/>
  <c r="AG11" i="7" s="1"/>
  <c r="B11" i="7"/>
  <c r="Q11" i="7" s="1"/>
  <c r="AF11" i="7"/>
  <c r="AB10" i="7"/>
  <c r="AD10" i="7" s="1"/>
  <c r="AH10" i="7" s="1"/>
  <c r="M10" i="7"/>
  <c r="O10" i="7" s="1"/>
  <c r="AG10" i="7" s="1"/>
  <c r="B10" i="7"/>
  <c r="Q10" i="7" s="1"/>
  <c r="AF10" i="7"/>
  <c r="AB9" i="7"/>
  <c r="AD9" i="7" s="1"/>
  <c r="AH9" i="7" s="1"/>
  <c r="M9" i="7"/>
  <c r="O9" i="7" s="1"/>
  <c r="AG9" i="7" s="1"/>
  <c r="B9" i="7"/>
  <c r="Q9" i="7" s="1"/>
  <c r="AF9" i="7"/>
  <c r="AB8" i="7"/>
  <c r="AD8" i="7" s="1"/>
  <c r="AH8" i="7" s="1"/>
  <c r="M8" i="7"/>
  <c r="O8" i="7" s="1"/>
  <c r="AG8" i="7" s="1"/>
  <c r="B8" i="7"/>
  <c r="Q8" i="7" s="1"/>
  <c r="AF8" i="7"/>
  <c r="AB7" i="7"/>
  <c r="AD7" i="7" s="1"/>
  <c r="AH7" i="7" s="1"/>
  <c r="M7" i="7"/>
  <c r="O7" i="7" s="1"/>
  <c r="AG7" i="7" s="1"/>
  <c r="B7" i="7"/>
  <c r="Q7" i="7" s="1"/>
  <c r="AF7" i="7"/>
  <c r="O6" i="7"/>
  <c r="AE3" i="7"/>
  <c r="P3" i="7"/>
  <c r="AH18" i="6"/>
  <c r="AG18" i="6"/>
  <c r="AF18" i="6"/>
  <c r="AH17" i="6"/>
  <c r="AG17" i="6"/>
  <c r="AF17" i="6"/>
  <c r="AH16" i="6"/>
  <c r="AG16" i="6"/>
  <c r="AF16" i="6"/>
  <c r="AH15" i="6"/>
  <c r="AG15" i="6"/>
  <c r="AF15" i="6"/>
  <c r="AH14" i="6"/>
  <c r="AG14" i="6"/>
  <c r="AF14" i="6"/>
  <c r="AH13" i="6"/>
  <c r="AG13" i="6"/>
  <c r="AF13" i="6"/>
  <c r="AH12" i="6"/>
  <c r="AG12" i="6"/>
  <c r="AF12" i="6"/>
  <c r="AB11" i="6"/>
  <c r="AD11" i="6" s="1"/>
  <c r="AH11" i="6" s="1"/>
  <c r="M11" i="6"/>
  <c r="O11" i="6" s="1"/>
  <c r="AG11" i="6" s="1"/>
  <c r="B11" i="6"/>
  <c r="Q11" i="6" s="1"/>
  <c r="AF11" i="6"/>
  <c r="AB10" i="6"/>
  <c r="AD10" i="6" s="1"/>
  <c r="AH10" i="6" s="1"/>
  <c r="M10" i="6"/>
  <c r="O10" i="6" s="1"/>
  <c r="AG10" i="6" s="1"/>
  <c r="B10" i="6"/>
  <c r="Q10" i="6" s="1"/>
  <c r="AF10" i="6"/>
  <c r="AB9" i="6"/>
  <c r="AD9" i="6" s="1"/>
  <c r="AH9" i="6" s="1"/>
  <c r="M9" i="6"/>
  <c r="O9" i="6" s="1"/>
  <c r="AG9" i="6" s="1"/>
  <c r="B9" i="6"/>
  <c r="Q9" i="6" s="1"/>
  <c r="AF9" i="6"/>
  <c r="AB8" i="6"/>
  <c r="AD8" i="6" s="1"/>
  <c r="AH8" i="6" s="1"/>
  <c r="M8" i="6"/>
  <c r="O8" i="6" s="1"/>
  <c r="AG8" i="6" s="1"/>
  <c r="B8" i="6"/>
  <c r="Q8" i="6" s="1"/>
  <c r="AF8" i="6"/>
  <c r="AB7" i="6"/>
  <c r="AD7" i="6" s="1"/>
  <c r="AH7" i="6" s="1"/>
  <c r="M7" i="6"/>
  <c r="O7" i="6" s="1"/>
  <c r="AG7" i="6" s="1"/>
  <c r="B7" i="6"/>
  <c r="Q7" i="6" s="1"/>
  <c r="AF7" i="6"/>
  <c r="AD6" i="6"/>
  <c r="O6" i="6"/>
  <c r="AE3" i="6"/>
  <c r="P3" i="6"/>
  <c r="AD11" i="5"/>
  <c r="AH11" i="5" s="1"/>
  <c r="M11" i="5"/>
  <c r="O11" i="5" s="1"/>
  <c r="AG11" i="5" s="1"/>
  <c r="B11" i="5"/>
  <c r="Q11" i="5" s="1"/>
  <c r="AF11" i="5"/>
  <c r="AD10" i="5"/>
  <c r="AH10" i="5" s="1"/>
  <c r="M10" i="5"/>
  <c r="O10" i="5" s="1"/>
  <c r="AG10" i="5" s="1"/>
  <c r="B10" i="5"/>
  <c r="Q10" i="5" s="1"/>
  <c r="AF10" i="5"/>
  <c r="AD9" i="5"/>
  <c r="AH9" i="5" s="1"/>
  <c r="M9" i="5"/>
  <c r="O9" i="5" s="1"/>
  <c r="AG9" i="5" s="1"/>
  <c r="B9" i="5"/>
  <c r="Q9" i="5" s="1"/>
  <c r="AF9" i="5"/>
  <c r="AD8" i="5"/>
  <c r="AH8" i="5" s="1"/>
  <c r="M8" i="5"/>
  <c r="O8" i="5" s="1"/>
  <c r="AG8" i="5" s="1"/>
  <c r="B8" i="5"/>
  <c r="Q8" i="5" s="1"/>
  <c r="AF8" i="5"/>
  <c r="AD7" i="5"/>
  <c r="AH7" i="5" s="1"/>
  <c r="M7" i="5"/>
  <c r="O7" i="5" s="1"/>
  <c r="AG7" i="5" s="1"/>
  <c r="B7" i="5"/>
  <c r="Q7" i="5" s="1"/>
  <c r="AF7" i="5"/>
  <c r="AD6" i="5"/>
  <c r="O6" i="5"/>
  <c r="AE3" i="5"/>
  <c r="P3" i="5"/>
  <c r="PR4" i="1"/>
  <c r="PQ4" i="1"/>
  <c r="PP4" i="1"/>
  <c r="PO4" i="1"/>
  <c r="PN4" i="1"/>
  <c r="PM4" i="1"/>
  <c r="PL4" i="1"/>
  <c r="PK4" i="1"/>
  <c r="PJ4" i="1"/>
  <c r="PI4" i="1"/>
  <c r="PH4" i="1"/>
  <c r="PG4" i="1"/>
  <c r="AI11" i="11" l="1"/>
  <c r="AI7" i="13"/>
  <c r="AJ7" i="13" s="1"/>
  <c r="AI9" i="6"/>
  <c r="AJ9" i="6" s="1"/>
  <c r="AI18" i="6"/>
  <c r="AI10" i="7"/>
  <c r="AJ10" i="7" s="1"/>
  <c r="AI10" i="8"/>
  <c r="AJ10" i="8" s="1"/>
  <c r="AI8" i="11"/>
  <c r="AI9" i="11"/>
  <c r="PS4" i="1"/>
  <c r="AI10" i="12"/>
  <c r="AJ10" i="12" s="1"/>
  <c r="AI9" i="7"/>
  <c r="AJ9" i="7" s="1"/>
  <c r="AI11" i="7"/>
  <c r="AJ11" i="7" s="1"/>
  <c r="D26" i="21"/>
  <c r="C26" i="21"/>
  <c r="A26" i="21"/>
  <c r="B26" i="21"/>
  <c r="P6" i="14"/>
  <c r="AI10" i="5"/>
  <c r="D9" i="14" s="1"/>
  <c r="AI13" i="6"/>
  <c r="E12" i="14" s="1"/>
  <c r="O12" i="14" s="1"/>
  <c r="AI7" i="7"/>
  <c r="AI9" i="8"/>
  <c r="AI11" i="8"/>
  <c r="G10" i="14" s="1"/>
  <c r="AI7" i="8"/>
  <c r="AI7" i="9"/>
  <c r="AI11" i="9"/>
  <c r="AI9" i="9"/>
  <c r="AI7" i="11"/>
  <c r="AI10" i="11"/>
  <c r="AI11" i="13"/>
  <c r="AI8" i="13"/>
  <c r="AI8" i="12"/>
  <c r="AI7" i="12"/>
  <c r="AI11" i="12"/>
  <c r="AI9" i="12"/>
  <c r="AI8" i="10"/>
  <c r="AI11" i="10"/>
  <c r="AI12" i="6"/>
  <c r="E11" i="14" s="1"/>
  <c r="O11" i="14" s="1"/>
  <c r="AI8" i="6"/>
  <c r="AI16" i="6"/>
  <c r="E15" i="14" s="1"/>
  <c r="O15" i="14" s="1"/>
  <c r="AI7" i="6"/>
  <c r="AI14" i="6"/>
  <c r="E13" i="14" s="1"/>
  <c r="O13" i="14" s="1"/>
  <c r="AI15" i="6"/>
  <c r="E14" i="14" s="1"/>
  <c r="O14" i="14" s="1"/>
  <c r="AI7" i="5"/>
  <c r="AI8" i="5"/>
  <c r="AI11" i="5"/>
  <c r="AI9" i="13"/>
  <c r="AI10" i="13"/>
  <c r="AI7" i="10"/>
  <c r="AI9" i="10"/>
  <c r="AI10" i="10"/>
  <c r="AI10" i="9"/>
  <c r="AI8" i="9"/>
  <c r="AI8" i="8"/>
  <c r="AI8" i="7"/>
  <c r="AI10" i="6"/>
  <c r="AI11" i="6"/>
  <c r="AI17" i="6"/>
  <c r="E16" i="14" s="1"/>
  <c r="O16" i="14" s="1"/>
  <c r="AI9" i="5"/>
  <c r="AG6" i="14" l="1"/>
  <c r="AJ10" i="11"/>
  <c r="J9" i="14"/>
  <c r="J8" i="14"/>
  <c r="AJ9" i="11"/>
  <c r="AJ18" i="6"/>
  <c r="E17" i="14"/>
  <c r="O17" i="14" s="1"/>
  <c r="V15" i="14"/>
  <c r="AF15" i="14" s="1"/>
  <c r="V12" i="14"/>
  <c r="AF12" i="14" s="1"/>
  <c r="J7" i="14"/>
  <c r="AA7" i="14" s="1"/>
  <c r="AJ8" i="11"/>
  <c r="V14" i="14"/>
  <c r="AF14" i="14" s="1"/>
  <c r="V16" i="14"/>
  <c r="AF16" i="14" s="1"/>
  <c r="V13" i="14"/>
  <c r="AF13" i="14" s="1"/>
  <c r="V11" i="14"/>
  <c r="AF11" i="14" s="1"/>
  <c r="J10" i="14"/>
  <c r="AJ11" i="11"/>
  <c r="U9" i="14"/>
  <c r="G9" i="14"/>
  <c r="F9" i="14"/>
  <c r="W9" i="14" s="1"/>
  <c r="E8" i="14"/>
  <c r="L6" i="14"/>
  <c r="AC6" i="14" s="1"/>
  <c r="AJ10" i="5"/>
  <c r="K9" i="14"/>
  <c r="AB9" i="14" s="1"/>
  <c r="AJ13" i="6"/>
  <c r="F8" i="14"/>
  <c r="F10" i="14"/>
  <c r="W10" i="14" s="1"/>
  <c r="AJ7" i="7"/>
  <c r="F6" i="14"/>
  <c r="AJ8" i="7"/>
  <c r="F7" i="14"/>
  <c r="W7" i="14" s="1"/>
  <c r="AJ7" i="8"/>
  <c r="G6" i="14"/>
  <c r="AJ11" i="8"/>
  <c r="X10" i="14"/>
  <c r="AJ8" i="8"/>
  <c r="G7" i="14"/>
  <c r="X7" i="14" s="1"/>
  <c r="AJ9" i="8"/>
  <c r="G8" i="14"/>
  <c r="AJ8" i="9"/>
  <c r="H7" i="14"/>
  <c r="Y7" i="14" s="1"/>
  <c r="AJ10" i="9"/>
  <c r="H9" i="14"/>
  <c r="AJ9" i="9"/>
  <c r="H8" i="14"/>
  <c r="AJ7" i="9"/>
  <c r="H6" i="14"/>
  <c r="AJ11" i="9"/>
  <c r="H10" i="14"/>
  <c r="Y10" i="14" s="1"/>
  <c r="AJ7" i="11"/>
  <c r="J6" i="14"/>
  <c r="AA10" i="14"/>
  <c r="AJ8" i="13"/>
  <c r="L7" i="14"/>
  <c r="AJ9" i="13"/>
  <c r="L8" i="14"/>
  <c r="AJ11" i="13"/>
  <c r="L10" i="14"/>
  <c r="AJ10" i="13"/>
  <c r="L9" i="14"/>
  <c r="AJ9" i="12"/>
  <c r="K8" i="14"/>
  <c r="AJ8" i="12"/>
  <c r="K7" i="14"/>
  <c r="AB7" i="14" s="1"/>
  <c r="AJ11" i="12"/>
  <c r="K10" i="14"/>
  <c r="AJ7" i="12"/>
  <c r="K6" i="14"/>
  <c r="AB6" i="14" s="1"/>
  <c r="AJ7" i="10"/>
  <c r="I6" i="14"/>
  <c r="Z6" i="14" s="1"/>
  <c r="AJ8" i="10"/>
  <c r="I7" i="14"/>
  <c r="Z7" i="14" s="1"/>
  <c r="AJ9" i="10"/>
  <c r="I8" i="14"/>
  <c r="AJ10" i="10"/>
  <c r="I9" i="14"/>
  <c r="Z9" i="14" s="1"/>
  <c r="AJ11" i="10"/>
  <c r="I10" i="14"/>
  <c r="Z10" i="14" s="1"/>
  <c r="AJ17" i="6"/>
  <c r="AJ11" i="6"/>
  <c r="E10" i="14"/>
  <c r="AJ10" i="6"/>
  <c r="E9" i="14"/>
  <c r="AJ15" i="6"/>
  <c r="AJ16" i="6"/>
  <c r="AJ12" i="6"/>
  <c r="AJ7" i="6"/>
  <c r="E6" i="14"/>
  <c r="AJ14" i="6"/>
  <c r="AJ8" i="6"/>
  <c r="E7" i="14"/>
  <c r="AJ11" i="5"/>
  <c r="D10" i="14"/>
  <c r="AJ9" i="5"/>
  <c r="D8" i="14"/>
  <c r="AJ8" i="5"/>
  <c r="D7" i="14"/>
  <c r="AJ7" i="5"/>
  <c r="D6" i="14"/>
  <c r="T7" i="14"/>
  <c r="T10" i="14"/>
  <c r="PF17" i="1"/>
  <c r="PE17" i="1"/>
  <c r="PD17" i="1"/>
  <c r="PF16" i="1"/>
  <c r="PE16" i="1"/>
  <c r="PD16" i="1"/>
  <c r="PF15" i="1"/>
  <c r="PE15" i="1"/>
  <c r="PD15" i="1"/>
  <c r="PF14" i="1"/>
  <c r="PE14" i="1"/>
  <c r="PD14" i="1"/>
  <c r="PF13" i="1"/>
  <c r="PE13" i="1"/>
  <c r="PD13" i="1"/>
  <c r="PF12" i="1"/>
  <c r="PE12" i="1"/>
  <c r="PD12" i="1"/>
  <c r="PF11" i="1"/>
  <c r="PE11" i="1"/>
  <c r="PD11" i="1"/>
  <c r="PF10" i="1"/>
  <c r="PE10" i="1"/>
  <c r="PD10" i="1"/>
  <c r="PF9" i="1"/>
  <c r="PE9" i="1"/>
  <c r="PD9" i="1"/>
  <c r="PF8" i="1"/>
  <c r="PE8" i="1"/>
  <c r="PD8" i="1"/>
  <c r="PF7" i="1"/>
  <c r="PE7" i="1"/>
  <c r="PD7" i="1"/>
  <c r="PF6" i="1"/>
  <c r="PE6" i="1"/>
  <c r="PD6" i="1"/>
  <c r="NW18" i="1"/>
  <c r="NV18" i="1"/>
  <c r="NU18" i="1"/>
  <c r="NW17" i="1"/>
  <c r="NV17" i="1"/>
  <c r="NU17" i="1"/>
  <c r="NW16" i="1"/>
  <c r="NV16" i="1"/>
  <c r="NU16" i="1"/>
  <c r="NW15" i="1"/>
  <c r="NV15" i="1"/>
  <c r="NU15" i="1"/>
  <c r="NW14" i="1"/>
  <c r="NV14" i="1"/>
  <c r="NU14" i="1"/>
  <c r="NW13" i="1"/>
  <c r="NV13" i="1"/>
  <c r="NU13" i="1"/>
  <c r="NW12" i="1"/>
  <c r="NV12" i="1"/>
  <c r="NU12" i="1"/>
  <c r="NW11" i="1"/>
  <c r="NV11" i="1"/>
  <c r="NU11" i="1"/>
  <c r="NW10" i="1"/>
  <c r="NV10" i="1"/>
  <c r="NU10" i="1"/>
  <c r="NW9" i="1"/>
  <c r="NV9" i="1"/>
  <c r="NU9" i="1"/>
  <c r="NW8" i="1"/>
  <c r="NV8" i="1"/>
  <c r="NU8" i="1"/>
  <c r="NW7" i="1"/>
  <c r="NV7" i="1"/>
  <c r="NU7" i="1"/>
  <c r="NW6" i="1"/>
  <c r="NV6" i="1"/>
  <c r="NU6" i="1"/>
  <c r="MN18" i="1"/>
  <c r="MM18" i="1"/>
  <c r="ML18" i="1"/>
  <c r="MN17" i="1"/>
  <c r="MM17" i="1"/>
  <c r="ML17" i="1"/>
  <c r="MN16" i="1"/>
  <c r="MM16" i="1"/>
  <c r="ML16" i="1"/>
  <c r="MN15" i="1"/>
  <c r="MM15" i="1"/>
  <c r="ML15" i="1"/>
  <c r="MN14" i="1"/>
  <c r="MM14" i="1"/>
  <c r="ML14" i="1"/>
  <c r="MN13" i="1"/>
  <c r="MM13" i="1"/>
  <c r="ML13" i="1"/>
  <c r="MN12" i="1"/>
  <c r="MM12" i="1"/>
  <c r="ML12" i="1"/>
  <c r="MN11" i="1"/>
  <c r="MM11" i="1"/>
  <c r="ML11" i="1"/>
  <c r="MN10" i="1"/>
  <c r="MM10" i="1"/>
  <c r="ML10" i="1"/>
  <c r="MN9" i="1"/>
  <c r="MM9" i="1"/>
  <c r="ML9" i="1"/>
  <c r="MN8" i="1"/>
  <c r="MM8" i="1"/>
  <c r="ML8" i="1"/>
  <c r="MN7" i="1"/>
  <c r="MM7" i="1"/>
  <c r="ML7" i="1"/>
  <c r="MN6" i="1"/>
  <c r="MM6" i="1"/>
  <c r="ML6" i="1"/>
  <c r="LE18" i="1"/>
  <c r="LD18" i="1"/>
  <c r="LC18" i="1"/>
  <c r="LE17" i="1"/>
  <c r="LD17" i="1"/>
  <c r="LC17" i="1"/>
  <c r="LE16" i="1"/>
  <c r="LD16" i="1"/>
  <c r="LC16" i="1"/>
  <c r="LE15" i="1"/>
  <c r="LD15" i="1"/>
  <c r="LC15" i="1"/>
  <c r="LE14" i="1"/>
  <c r="LD14" i="1"/>
  <c r="LC14" i="1"/>
  <c r="LE13" i="1"/>
  <c r="LD13" i="1"/>
  <c r="LC13" i="1"/>
  <c r="LE12" i="1"/>
  <c r="LD12" i="1"/>
  <c r="LC12" i="1"/>
  <c r="LE11" i="1"/>
  <c r="LD11" i="1"/>
  <c r="LC11" i="1"/>
  <c r="LE10" i="1"/>
  <c r="LD10" i="1"/>
  <c r="LC10" i="1"/>
  <c r="LE9" i="1"/>
  <c r="LD9" i="1"/>
  <c r="LC9" i="1"/>
  <c r="LE8" i="1"/>
  <c r="LD8" i="1"/>
  <c r="LC8" i="1"/>
  <c r="LE7" i="1"/>
  <c r="LD7" i="1"/>
  <c r="LC7" i="1"/>
  <c r="LE6" i="1"/>
  <c r="LD6" i="1"/>
  <c r="LC6" i="1"/>
  <c r="JV18" i="1"/>
  <c r="JU18" i="1"/>
  <c r="JT18" i="1"/>
  <c r="JV17" i="1"/>
  <c r="JU17" i="1"/>
  <c r="JT17" i="1"/>
  <c r="JV16" i="1"/>
  <c r="JU16" i="1"/>
  <c r="JT16" i="1"/>
  <c r="JV15" i="1"/>
  <c r="JU15" i="1"/>
  <c r="JT15" i="1"/>
  <c r="JV14" i="1"/>
  <c r="JU14" i="1"/>
  <c r="JT14" i="1"/>
  <c r="JV13" i="1"/>
  <c r="JU13" i="1"/>
  <c r="JT13" i="1"/>
  <c r="JV12" i="1"/>
  <c r="JU12" i="1"/>
  <c r="JT12" i="1"/>
  <c r="JV11" i="1"/>
  <c r="JU11" i="1"/>
  <c r="JT11" i="1"/>
  <c r="JV10" i="1"/>
  <c r="JU10" i="1"/>
  <c r="JT10" i="1"/>
  <c r="JV9" i="1"/>
  <c r="JU9" i="1"/>
  <c r="JT9" i="1"/>
  <c r="JV8" i="1"/>
  <c r="JU8" i="1"/>
  <c r="JT8" i="1"/>
  <c r="JV7" i="1"/>
  <c r="JU7" i="1"/>
  <c r="JT7" i="1"/>
  <c r="JV6" i="1"/>
  <c r="JU6" i="1"/>
  <c r="JT6" i="1"/>
  <c r="IM18" i="1"/>
  <c r="IL18" i="1"/>
  <c r="IK18" i="1"/>
  <c r="IM17" i="1"/>
  <c r="IL17" i="1"/>
  <c r="IK17" i="1"/>
  <c r="IM16" i="1"/>
  <c r="IL16" i="1"/>
  <c r="IK16" i="1"/>
  <c r="IM15" i="1"/>
  <c r="IL15" i="1"/>
  <c r="IK15" i="1"/>
  <c r="IM14" i="1"/>
  <c r="IL14" i="1"/>
  <c r="IK14" i="1"/>
  <c r="IM13" i="1"/>
  <c r="IL13" i="1"/>
  <c r="IK13" i="1"/>
  <c r="IM12" i="1"/>
  <c r="IL12" i="1"/>
  <c r="IK12" i="1"/>
  <c r="IM11" i="1"/>
  <c r="IL11" i="1"/>
  <c r="IK11" i="1"/>
  <c r="IM10" i="1"/>
  <c r="IL10" i="1"/>
  <c r="IK10" i="1"/>
  <c r="IM9" i="1"/>
  <c r="IL9" i="1"/>
  <c r="IK9" i="1"/>
  <c r="IM8" i="1"/>
  <c r="IL8" i="1"/>
  <c r="IK8" i="1"/>
  <c r="IM7" i="1"/>
  <c r="IL7" i="1"/>
  <c r="IK7" i="1"/>
  <c r="IM6" i="1"/>
  <c r="IL6" i="1"/>
  <c r="IK6" i="1"/>
  <c r="HD10" i="1"/>
  <c r="HC10" i="1"/>
  <c r="HB10" i="1"/>
  <c r="HD9" i="1"/>
  <c r="HC9" i="1"/>
  <c r="HB9" i="1"/>
  <c r="HD8" i="1"/>
  <c r="HC8" i="1"/>
  <c r="HB8" i="1"/>
  <c r="HD7" i="1"/>
  <c r="HC7" i="1"/>
  <c r="HB7" i="1"/>
  <c r="HD6" i="1"/>
  <c r="HC6" i="1"/>
  <c r="HB6" i="1"/>
  <c r="FU10" i="1"/>
  <c r="FT10" i="1"/>
  <c r="FS10" i="1"/>
  <c r="FU9" i="1"/>
  <c r="FT9" i="1"/>
  <c r="FS9" i="1"/>
  <c r="FU8" i="1"/>
  <c r="FT8" i="1"/>
  <c r="FS8" i="1"/>
  <c r="FU7" i="1"/>
  <c r="FT7" i="1"/>
  <c r="FS7" i="1"/>
  <c r="FU6" i="1"/>
  <c r="FT6" i="1"/>
  <c r="FS6" i="1"/>
  <c r="EL34" i="1"/>
  <c r="EK34" i="1"/>
  <c r="EJ34" i="1"/>
  <c r="EL33" i="1"/>
  <c r="EK33" i="1"/>
  <c r="EJ33" i="1"/>
  <c r="EL32" i="1"/>
  <c r="EK32" i="1"/>
  <c r="EJ32" i="1"/>
  <c r="EL31" i="1"/>
  <c r="EK31" i="1"/>
  <c r="EJ31" i="1"/>
  <c r="EL30" i="1"/>
  <c r="EK30" i="1"/>
  <c r="EJ30" i="1"/>
  <c r="EL29" i="1"/>
  <c r="EK29" i="1"/>
  <c r="EJ29" i="1"/>
  <c r="EL28" i="1"/>
  <c r="EK28" i="1"/>
  <c r="EJ28" i="1"/>
  <c r="EL10" i="1"/>
  <c r="EK10" i="1"/>
  <c r="EJ10" i="1"/>
  <c r="EL9" i="1"/>
  <c r="EK9" i="1"/>
  <c r="EJ9" i="1"/>
  <c r="EL8" i="1"/>
  <c r="EK8" i="1"/>
  <c r="EJ8" i="1"/>
  <c r="EL7" i="1"/>
  <c r="EK7" i="1"/>
  <c r="EJ7" i="1"/>
  <c r="EL6" i="1"/>
  <c r="EK6" i="1"/>
  <c r="EJ6" i="1"/>
  <c r="DC34" i="1"/>
  <c r="DB34" i="1"/>
  <c r="DA34" i="1"/>
  <c r="DC33" i="1"/>
  <c r="DB33" i="1"/>
  <c r="DA33" i="1"/>
  <c r="DC32" i="1"/>
  <c r="DB32" i="1"/>
  <c r="DA32" i="1"/>
  <c r="DC31" i="1"/>
  <c r="DB31" i="1"/>
  <c r="DA31" i="1"/>
  <c r="DC30" i="1"/>
  <c r="DB30" i="1"/>
  <c r="DA30" i="1"/>
  <c r="DC29" i="1"/>
  <c r="DB29" i="1"/>
  <c r="DA29" i="1"/>
  <c r="DC28" i="1"/>
  <c r="DB28" i="1"/>
  <c r="DA28" i="1"/>
  <c r="DC10" i="1"/>
  <c r="DB10" i="1"/>
  <c r="DA10" i="1"/>
  <c r="DC9" i="1"/>
  <c r="DB9" i="1"/>
  <c r="DA9" i="1"/>
  <c r="DC8" i="1"/>
  <c r="DB8" i="1"/>
  <c r="DA8" i="1"/>
  <c r="DC7" i="1"/>
  <c r="DB7" i="1"/>
  <c r="DA7" i="1"/>
  <c r="DC6" i="1"/>
  <c r="DB6" i="1"/>
  <c r="DA6" i="1"/>
  <c r="BT10" i="1"/>
  <c r="BS10" i="1"/>
  <c r="BR10" i="1"/>
  <c r="BT9" i="1"/>
  <c r="BS9" i="1"/>
  <c r="BR9" i="1"/>
  <c r="BT8" i="1"/>
  <c r="BS8" i="1"/>
  <c r="BR8" i="1"/>
  <c r="BT7" i="1"/>
  <c r="BS7" i="1"/>
  <c r="BR7" i="1"/>
  <c r="BT6" i="1"/>
  <c r="BS6" i="1"/>
  <c r="BR6" i="1"/>
  <c r="AK10" i="1"/>
  <c r="AJ10" i="1"/>
  <c r="AI10" i="1"/>
  <c r="AK9" i="1"/>
  <c r="AJ9" i="1"/>
  <c r="AI9" i="1"/>
  <c r="AK8" i="1"/>
  <c r="AJ8" i="1"/>
  <c r="AI8" i="1"/>
  <c r="AK7" i="1"/>
  <c r="AJ7" i="1"/>
  <c r="AI7" i="1"/>
  <c r="AK6" i="1"/>
  <c r="AJ6" i="1"/>
  <c r="AI6" i="1"/>
  <c r="O6" i="14" l="1"/>
  <c r="O9" i="14"/>
  <c r="U8" i="14"/>
  <c r="O8" i="14"/>
  <c r="U7" i="14"/>
  <c r="O7" i="14"/>
  <c r="U10" i="14"/>
  <c r="O10" i="14"/>
  <c r="AC10" i="14"/>
  <c r="AC7" i="14"/>
  <c r="V6" i="14"/>
  <c r="U6" i="14"/>
  <c r="V7" i="14"/>
  <c r="V9" i="14"/>
  <c r="V17" i="14"/>
  <c r="AF17" i="14" s="1"/>
  <c r="T8" i="14"/>
  <c r="V8" i="14"/>
  <c r="V10" i="14"/>
  <c r="AC9" i="14"/>
  <c r="AC8" i="14"/>
  <c r="AB10" i="14"/>
  <c r="AB8" i="14"/>
  <c r="AA9" i="14"/>
  <c r="AA8" i="14"/>
  <c r="Z8" i="14"/>
  <c r="H19" i="21" s="1"/>
  <c r="Y9" i="14"/>
  <c r="Y8" i="14"/>
  <c r="X9" i="14"/>
  <c r="X8" i="14"/>
  <c r="W8" i="14"/>
  <c r="T6" i="14"/>
  <c r="T9" i="14"/>
  <c r="W6" i="14"/>
  <c r="F35" i="14"/>
  <c r="X6" i="14"/>
  <c r="G35" i="14"/>
  <c r="H35" i="14"/>
  <c r="Y6" i="14"/>
  <c r="AA6" i="14"/>
  <c r="J35" i="14"/>
  <c r="L35" i="14"/>
  <c r="K35" i="14"/>
  <c r="I35" i="14"/>
  <c r="E35" i="14"/>
  <c r="D35" i="14"/>
  <c r="C35" i="14"/>
  <c r="CZ6" i="1"/>
  <c r="PI6" i="1" s="1"/>
  <c r="NT6" i="1"/>
  <c r="PQ6" i="1" s="1"/>
  <c r="NT10" i="1"/>
  <c r="PQ10" i="1" s="1"/>
  <c r="NT12" i="1"/>
  <c r="PQ12" i="1" s="1"/>
  <c r="NT13" i="1"/>
  <c r="PQ13" i="1" s="1"/>
  <c r="PC16" i="1"/>
  <c r="EI28" i="1"/>
  <c r="BQ8" i="1"/>
  <c r="PH8" i="1" s="1"/>
  <c r="BQ7" i="1"/>
  <c r="PH7" i="1" s="1"/>
  <c r="FR10" i="1"/>
  <c r="PK10" i="1" s="1"/>
  <c r="HA8" i="1"/>
  <c r="PL8" i="1" s="1"/>
  <c r="HA10" i="1"/>
  <c r="PL10" i="1" s="1"/>
  <c r="LB10" i="1"/>
  <c r="PO10" i="1" s="1"/>
  <c r="LB11" i="1"/>
  <c r="PO11" i="1" s="1"/>
  <c r="LB15" i="1"/>
  <c r="PO15" i="1" s="1"/>
  <c r="AH9" i="1"/>
  <c r="PG9" i="1" s="1"/>
  <c r="CZ28" i="1"/>
  <c r="IJ14" i="1"/>
  <c r="PM14" i="1" s="1"/>
  <c r="JS12" i="1"/>
  <c r="PN12" i="1" s="1"/>
  <c r="JS16" i="1"/>
  <c r="PN16" i="1" s="1"/>
  <c r="NT14" i="1"/>
  <c r="PQ14" i="1" s="1"/>
  <c r="NT15" i="1"/>
  <c r="PQ15" i="1" s="1"/>
  <c r="LB6" i="1"/>
  <c r="PO6" i="1" s="1"/>
  <c r="LB8" i="1"/>
  <c r="PO8" i="1" s="1"/>
  <c r="LB9" i="1"/>
  <c r="PO9" i="1" s="1"/>
  <c r="MK12" i="1"/>
  <c r="PP12" i="1" s="1"/>
  <c r="MK16" i="1"/>
  <c r="PP16" i="1" s="1"/>
  <c r="EI8" i="1"/>
  <c r="PJ8" i="1" s="1"/>
  <c r="CZ29" i="1"/>
  <c r="CZ30" i="1"/>
  <c r="CZ34" i="1"/>
  <c r="FR6" i="1"/>
  <c r="PK6" i="1" s="1"/>
  <c r="FR8" i="1"/>
  <c r="PK8" i="1" s="1"/>
  <c r="FR9" i="1"/>
  <c r="PK9" i="1" s="1"/>
  <c r="IJ10" i="1"/>
  <c r="PM10" i="1" s="1"/>
  <c r="IJ12" i="1"/>
  <c r="PM12" i="1" s="1"/>
  <c r="IJ13" i="1"/>
  <c r="PM13" i="1" s="1"/>
  <c r="JS13" i="1"/>
  <c r="PN13" i="1" s="1"/>
  <c r="LB18" i="1"/>
  <c r="PO18" i="1" s="1"/>
  <c r="MK13" i="1"/>
  <c r="PP13" i="1" s="1"/>
  <c r="MK17" i="1"/>
  <c r="PP17" i="1" s="1"/>
  <c r="PC17" i="1"/>
  <c r="CZ10" i="1"/>
  <c r="PI10" i="1" s="1"/>
  <c r="JS8" i="1"/>
  <c r="PN8" i="1" s="1"/>
  <c r="AH6" i="1"/>
  <c r="PG6" i="1" s="1"/>
  <c r="AH10" i="1"/>
  <c r="PG10" i="1" s="1"/>
  <c r="CZ8" i="1"/>
  <c r="PI8" i="1" s="1"/>
  <c r="CZ9" i="1"/>
  <c r="PI9" i="1" s="1"/>
  <c r="EI31" i="1"/>
  <c r="IJ6" i="1"/>
  <c r="PM6" i="1" s="1"/>
  <c r="IJ18" i="1"/>
  <c r="PM18" i="1" s="1"/>
  <c r="MK8" i="1"/>
  <c r="PP8" i="1" s="1"/>
  <c r="MK10" i="1"/>
  <c r="PP10" i="1" s="1"/>
  <c r="MK11" i="1"/>
  <c r="PP11" i="1" s="1"/>
  <c r="PC12" i="1"/>
  <c r="PC14" i="1"/>
  <c r="PC15" i="1"/>
  <c r="CZ33" i="1"/>
  <c r="EI6" i="1"/>
  <c r="PJ6" i="1" s="1"/>
  <c r="EI7" i="1"/>
  <c r="PJ7" i="1" s="1"/>
  <c r="EI32" i="1"/>
  <c r="FR7" i="1"/>
  <c r="PK7" i="1" s="1"/>
  <c r="HA9" i="1"/>
  <c r="PL9" i="1" s="1"/>
  <c r="IJ11" i="1"/>
  <c r="PM11" i="1" s="1"/>
  <c r="LB14" i="1"/>
  <c r="PO14" i="1" s="1"/>
  <c r="AH8" i="1"/>
  <c r="PG8" i="1" s="1"/>
  <c r="AH7" i="1"/>
  <c r="PG7" i="1" s="1"/>
  <c r="BQ6" i="1"/>
  <c r="PH6" i="1" s="1"/>
  <c r="BQ9" i="1"/>
  <c r="PH9" i="1" s="1"/>
  <c r="EI10" i="1"/>
  <c r="PJ10" i="1" s="1"/>
  <c r="EI29" i="1"/>
  <c r="EI30" i="1"/>
  <c r="JS6" i="1"/>
  <c r="PN6" i="1" s="1"/>
  <c r="JS7" i="1"/>
  <c r="PN7" i="1" s="1"/>
  <c r="NT18" i="1"/>
  <c r="PQ18" i="1" s="1"/>
  <c r="PC8" i="1"/>
  <c r="PR8" i="1" s="1"/>
  <c r="CZ7" i="1"/>
  <c r="PI7" i="1" s="1"/>
  <c r="CZ31" i="1"/>
  <c r="CZ32" i="1"/>
  <c r="EI9" i="1"/>
  <c r="PJ9" i="1" s="1"/>
  <c r="EI33" i="1"/>
  <c r="EI34" i="1"/>
  <c r="HA6" i="1"/>
  <c r="PL6" i="1" s="1"/>
  <c r="HA7" i="1"/>
  <c r="PL7" i="1" s="1"/>
  <c r="IJ8" i="1"/>
  <c r="PM8" i="1" s="1"/>
  <c r="IJ9" i="1"/>
  <c r="PM9" i="1" s="1"/>
  <c r="IJ15" i="1"/>
  <c r="PM15" i="1" s="1"/>
  <c r="JS10" i="1"/>
  <c r="PN10" i="1" s="1"/>
  <c r="JS11" i="1"/>
  <c r="PN11" i="1" s="1"/>
  <c r="JS17" i="1"/>
  <c r="PN17" i="1" s="1"/>
  <c r="LB12" i="1"/>
  <c r="PO12" i="1" s="1"/>
  <c r="LB13" i="1"/>
  <c r="PO13" i="1" s="1"/>
  <c r="MK14" i="1"/>
  <c r="PP14" i="1" s="1"/>
  <c r="MK15" i="1"/>
  <c r="PP15" i="1" s="1"/>
  <c r="NT7" i="1"/>
  <c r="PQ7" i="1" s="1"/>
  <c r="NT16" i="1"/>
  <c r="PQ16" i="1" s="1"/>
  <c r="NT17" i="1"/>
  <c r="PQ17" i="1" s="1"/>
  <c r="PC9" i="1"/>
  <c r="PR9" i="1" s="1"/>
  <c r="JS14" i="1"/>
  <c r="PN14" i="1" s="1"/>
  <c r="JS15" i="1"/>
  <c r="PN15" i="1" s="1"/>
  <c r="LB7" i="1"/>
  <c r="PO7" i="1" s="1"/>
  <c r="LB16" i="1"/>
  <c r="PO16" i="1" s="1"/>
  <c r="LB17" i="1"/>
  <c r="PO17" i="1" s="1"/>
  <c r="MK9" i="1"/>
  <c r="PP9" i="1" s="1"/>
  <c r="MK18" i="1"/>
  <c r="PP18" i="1" s="1"/>
  <c r="NT11" i="1"/>
  <c r="PQ11" i="1" s="1"/>
  <c r="PC6" i="1"/>
  <c r="PC7" i="1"/>
  <c r="PR7" i="1" s="1"/>
  <c r="PC13" i="1"/>
  <c r="IJ7" i="1"/>
  <c r="PM7" i="1" s="1"/>
  <c r="IJ16" i="1"/>
  <c r="PM16" i="1" s="1"/>
  <c r="IJ17" i="1"/>
  <c r="PM17" i="1" s="1"/>
  <c r="JS9" i="1"/>
  <c r="PN9" i="1" s="1"/>
  <c r="JS18" i="1"/>
  <c r="PN18" i="1" s="1"/>
  <c r="MK6" i="1"/>
  <c r="PP6" i="1" s="1"/>
  <c r="MK7" i="1"/>
  <c r="PP7" i="1" s="1"/>
  <c r="NT8" i="1"/>
  <c r="PQ8" i="1" s="1"/>
  <c r="NT9" i="1"/>
  <c r="PQ9" i="1" s="1"/>
  <c r="PC10" i="1"/>
  <c r="PC11" i="1"/>
  <c r="BQ10" i="1"/>
  <c r="PH10" i="1" s="1"/>
  <c r="H14" i="21" l="1"/>
  <c r="E14" i="21"/>
  <c r="AF7" i="14"/>
  <c r="AF10" i="14"/>
  <c r="AF9" i="14"/>
  <c r="AF8" i="14"/>
  <c r="K14" i="21"/>
  <c r="U35" i="14"/>
  <c r="AF6" i="14"/>
  <c r="F14" i="21"/>
  <c r="E22" i="21"/>
  <c r="K22" i="21"/>
  <c r="J14" i="21"/>
  <c r="PR15" i="1"/>
  <c r="PS15" i="1" s="1"/>
  <c r="PT15" i="1" s="1"/>
  <c r="PR11" i="1"/>
  <c r="PS11" i="1" s="1"/>
  <c r="PT11" i="1" s="1"/>
  <c r="PR13" i="1"/>
  <c r="PS13" i="1" s="1"/>
  <c r="PT13" i="1" s="1"/>
  <c r="PR14" i="1"/>
  <c r="PS14" i="1" s="1"/>
  <c r="PT14" i="1" s="1"/>
  <c r="PR16" i="1"/>
  <c r="PS16" i="1" s="1"/>
  <c r="PT16" i="1" s="1"/>
  <c r="PR12" i="1"/>
  <c r="PS12" i="1" s="1"/>
  <c r="PT12" i="1" s="1"/>
  <c r="PS18" i="1"/>
  <c r="PT18" i="1" s="1"/>
  <c r="PR17" i="1"/>
  <c r="PS17" i="1" s="1"/>
  <c r="PT17" i="1" s="1"/>
  <c r="I14" i="21"/>
  <c r="G14" i="21"/>
  <c r="L14" i="21"/>
  <c r="J22" i="21"/>
  <c r="H22" i="21"/>
  <c r="AC35" i="14"/>
  <c r="I22" i="21"/>
  <c r="F22" i="21"/>
  <c r="G22" i="21"/>
  <c r="L22" i="21"/>
  <c r="AB35" i="14"/>
  <c r="L21" i="21"/>
  <c r="J21" i="21"/>
  <c r="I21" i="21"/>
  <c r="H21" i="21"/>
  <c r="F21" i="21"/>
  <c r="G21" i="21"/>
  <c r="K21" i="21"/>
  <c r="E21" i="21"/>
  <c r="E19" i="21"/>
  <c r="Z35" i="14"/>
  <c r="I19" i="21"/>
  <c r="G19" i="21"/>
  <c r="J19" i="21"/>
  <c r="K19" i="21"/>
  <c r="F19" i="21"/>
  <c r="L19" i="21"/>
  <c r="L15" i="21"/>
  <c r="E15" i="21"/>
  <c r="H15" i="21"/>
  <c r="K15" i="21"/>
  <c r="F15" i="21"/>
  <c r="I15" i="21"/>
  <c r="G15" i="21"/>
  <c r="V35" i="14"/>
  <c r="J15" i="21"/>
  <c r="Y35" i="14"/>
  <c r="I18" i="21"/>
  <c r="E18" i="21"/>
  <c r="F18" i="21"/>
  <c r="J18" i="21"/>
  <c r="G18" i="21"/>
  <c r="K18" i="21"/>
  <c r="H18" i="21"/>
  <c r="L18" i="21"/>
  <c r="AA35" i="14"/>
  <c r="F20" i="21"/>
  <c r="J20" i="21"/>
  <c r="G20" i="21"/>
  <c r="K20" i="21"/>
  <c r="H20" i="21"/>
  <c r="L20" i="21"/>
  <c r="I20" i="21"/>
  <c r="E20" i="21"/>
  <c r="X35" i="14"/>
  <c r="H17" i="21"/>
  <c r="L17" i="21"/>
  <c r="I17" i="21"/>
  <c r="E17" i="21"/>
  <c r="F17" i="21"/>
  <c r="J17" i="21"/>
  <c r="G17" i="21"/>
  <c r="K17" i="21"/>
  <c r="W35" i="14"/>
  <c r="H16" i="21"/>
  <c r="I16" i="21"/>
  <c r="F16" i="21"/>
  <c r="J16" i="21"/>
  <c r="K16" i="21"/>
  <c r="L16" i="21"/>
  <c r="E16" i="21"/>
  <c r="G16" i="21"/>
  <c r="F13" i="21"/>
  <c r="J13" i="21"/>
  <c r="L13" i="21"/>
  <c r="G13" i="21"/>
  <c r="K13" i="21"/>
  <c r="H13" i="21"/>
  <c r="I13" i="21"/>
  <c r="E13" i="21"/>
  <c r="C36" i="14"/>
  <c r="T35" i="14"/>
  <c r="PR10" i="1"/>
  <c r="PS10" i="1" s="1"/>
  <c r="PT10" i="1" s="1"/>
  <c r="PS7" i="1"/>
  <c r="PT7" i="1" s="1"/>
  <c r="PS9" i="1"/>
  <c r="PT9" i="1" s="1"/>
  <c r="PS8" i="1"/>
  <c r="PT8" i="1" s="1"/>
  <c r="PR6" i="1"/>
  <c r="PS6" i="1" s="1"/>
  <c r="PT6" i="1" s="1"/>
  <c r="M14" i="21" l="1"/>
  <c r="M22" i="21"/>
  <c r="M21" i="21"/>
  <c r="M19" i="21"/>
  <c r="M15" i="21"/>
  <c r="M20" i="21"/>
  <c r="M17" i="21"/>
  <c r="M18" i="21"/>
  <c r="T36" i="14"/>
  <c r="M16" i="21"/>
  <c r="M13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<sst xmlns="http://schemas.openxmlformats.org/spreadsheetml/2006/main" count="1761" uniqueCount="701">
  <si>
    <t>ชื่อ</t>
  </si>
  <si>
    <t>เลขที่</t>
  </si>
  <si>
    <t>มา</t>
  </si>
  <si>
    <t>ป่วย</t>
  </si>
  <si>
    <t>ลา</t>
  </si>
  <si>
    <t>ขาด</t>
  </si>
  <si>
    <t>วันที่</t>
  </si>
  <si>
    <t>รวมเวลาเรียน</t>
  </si>
  <si>
    <t>วัน</t>
  </si>
  <si>
    <t>ส</t>
  </si>
  <si>
    <t>อ</t>
  </si>
  <si>
    <t>จ</t>
  </si>
  <si>
    <t>อา</t>
  </si>
  <si>
    <t>พ</t>
  </si>
  <si>
    <t>พฤ</t>
  </si>
  <si>
    <t>ศ</t>
  </si>
  <si>
    <t>คะแนนเต็ม</t>
  </si>
  <si>
    <t>รวม</t>
  </si>
  <si>
    <t>รวมคะแนน</t>
  </si>
  <si>
    <t>คะแนนภาคเรียนที่ 1</t>
  </si>
  <si>
    <t>คะแนนภาคเรียนที่ 2</t>
  </si>
  <si>
    <t>ผลการเรียน</t>
  </si>
  <si>
    <t>หมายเหตุ</t>
  </si>
  <si>
    <t>การวัดผลกลางปี</t>
  </si>
  <si>
    <t>การวัดผลปลายปี</t>
  </si>
  <si>
    <t>รวมคะแนนทั้งปี</t>
  </si>
  <si>
    <t>ผลการแก้ไข</t>
  </si>
  <si>
    <t>สรุปเวลาเรียน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</si>
  <si>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</si>
  <si>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</si>
  <si>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</si>
  <si>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</si>
  <si>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</si>
  <si>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</si>
  <si>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</si>
  <si>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</si>
  <si>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</si>
  <si>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</si>
  <si>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</si>
  <si>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</si>
  <si>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คิดเป็นร้อยละ</t>
  </si>
  <si>
    <t>มาตรฐานและตัวชี้วัด /ผลการเรียนรู้</t>
  </si>
  <si>
    <t>ปลายภาค2</t>
  </si>
  <si>
    <t>ปลายภาค 1</t>
  </si>
  <si>
    <t>ตารางสรุปผลการประเมินกลุ่มสาระการเรียนรู้ปลายปี</t>
  </si>
  <si>
    <t>ที่</t>
  </si>
  <si>
    <t>ชื่อสกุล</t>
  </si>
  <si>
    <t>ภาษาไทย</t>
  </si>
  <si>
    <t>คณิตศาสตร์</t>
  </si>
  <si>
    <t>สังคมศึกษา</t>
  </si>
  <si>
    <t>ประวัติศาสตร์</t>
  </si>
  <si>
    <t>สุขศึกษาและพลศึกษา</t>
  </si>
  <si>
    <t>ศิลปะ</t>
  </si>
  <si>
    <t>การงานอาชีพ</t>
  </si>
  <si>
    <t>ภาษาอังกฤษ</t>
  </si>
  <si>
    <t>การป้องกันการทุจริต</t>
  </si>
  <si>
    <t>ผลการเรียนเฉลี่ย</t>
  </si>
  <si>
    <t>คุณลักษณะอันพึงประสงค์</t>
  </si>
  <si>
    <t>อ่าน คิดวิเคราะห์และเขียน</t>
  </si>
  <si>
    <t>รวมเฉลี่ย</t>
  </si>
  <si>
    <t>ผลการประเมินคุณภาพผู้เรียน</t>
  </si>
  <si>
    <t xml:space="preserve">การอ่าน การคิดวิเคราะห์ และเขียนสื่อความ </t>
  </si>
  <si>
    <t>หน่วย</t>
  </si>
  <si>
    <t>1. รักชาติศาสน์กษัตริย์</t>
  </si>
  <si>
    <t>2.ซื่อสัตย์สุจริต</t>
  </si>
  <si>
    <t>3. วินัย</t>
  </si>
  <si>
    <t>4.ใฝ่เรียนรู้</t>
  </si>
  <si>
    <t>5.อยู่อย่างพอเพียง</t>
  </si>
  <si>
    <t>6.มุ่งมั่นทำงาน</t>
  </si>
  <si>
    <t>7. รักความเป็นไทย</t>
  </si>
  <si>
    <t>8.มีจิตสาธารณะ</t>
  </si>
  <si>
    <t>สรุปผลรวม</t>
  </si>
  <si>
    <t>1. การคัดสรรสื่อ</t>
  </si>
  <si>
    <t>2. จับประเด็นสำคัญ</t>
  </si>
  <si>
    <t>3. วิเคราะห์ วิจารณ์</t>
  </si>
  <si>
    <t>4. สรุปคุณค่า แง่คิดที่ดี</t>
  </si>
  <si>
    <t>5. สรุปอภิปรายขยายความ</t>
  </si>
  <si>
    <t>ชื่อ-สกุล</t>
  </si>
  <si>
    <t>ภาคเรียนที่ 1</t>
  </si>
  <si>
    <t>ภาคเรียนที่ 2</t>
  </si>
  <si>
    <t>สรุป</t>
  </si>
  <si>
    <t>กิจกรรมพัฒนาผู้เรียน</t>
  </si>
  <si>
    <t>ลูกเสือ-เนตรนารี</t>
  </si>
  <si>
    <t>เพื่อสังคมฯ</t>
  </si>
  <si>
    <t>ผ่าน</t>
  </si>
  <si>
    <t>ไม่ผ่าน</t>
  </si>
  <si>
    <t>การบันทึกข้อมูลนักเรียน-เวลาเรียน</t>
  </si>
  <si>
    <t>การบันทึกเวลาเรียน  ให้บันทึกรายละเอียดดังนี้</t>
  </si>
  <si>
    <r>
      <t xml:space="preserve">ลงใน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แล้วแต่กรณี  ถ้าขาดหรือไม่ทราบสาเหตุให้ทำเครื่องหมาย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 </t>
    </r>
  </si>
  <si>
    <t xml:space="preserve">2.2  ถ้านักเรียนถูกพักการเรียนหรือย้ายหรือออกกลางคัน  ให้ขีดเส้นแดงทับช่องตรงรายชื่อแล้วระบุสาเหตุไว้ที่ช่องหมายเหตุ ยกเว้นถูกสั่งพักการเรียนชั่วคราว </t>
  </si>
  <si>
    <t>(3,5,7 วัน โดยยังไม่ลาออก)  ให้ปฏิบัติเหมือนกับการขาดเรียน</t>
  </si>
  <si>
    <t>ให้เขียนเวลาเรียนรวมด้วยหมึกสีแดง</t>
  </si>
  <si>
    <t>การบันทึกการพัฒนาคุณภาพผู้เรียน</t>
  </si>
  <si>
    <t>ในแต่ละข้อ ตามแผนการจัดการเรียนรู้</t>
  </si>
  <si>
    <t>การบันทึกผลการประเมินคุณภาพผู้เรียนรายภาค    มีรายละเอียดดังนี้</t>
  </si>
  <si>
    <t>คือ  ร้อยละ  60  ของคะแนนเต็ม</t>
  </si>
  <si>
    <t>3.2  ให้กรอกคะแนนตามที่นักเรียนได้จริง  ถ้าคะแนนไม่ผ่านเกณฑ์ (ต่ำกว่าร้อยละ 60) ให้ลงด้วยดินสอไว้ก่อนเมื่อซ่อมเสริมเสร็จ และผ่านเกณฑ์การประเมินจึงลงคะแนนด้วยปากกา</t>
  </si>
  <si>
    <t>3.3  ถ้าผลการประเมินไม่ผ่านให้สอนซ่อมเสริม  เพื่อให้นักเรียนมีความรู้ความสามารถตามเกณฑ์ของแต่ละผลการเรียนรู้ เมื่อสอบแก้ตัวเสร็จแล้วให้กรอกคะแนนตามเกณฑ์ที่สถานศึกษา</t>
  </si>
  <si>
    <t>กำหนด (ไม่น้อยกว่าร้อยละ 60)</t>
  </si>
  <si>
    <t>เปลี่ยนระดับคะแนนที่ได้เป็นผลการเรียน  โดยใช้ช่วงระดับคะแนนดังนี้</t>
  </si>
  <si>
    <t>ช่วงคะแนนเป็นร้อยละ</t>
  </si>
  <si>
    <t>ระดับผลการเรียน</t>
  </si>
  <si>
    <t>80 - 100</t>
  </si>
  <si>
    <t>75 - 79</t>
  </si>
  <si>
    <t>70 - 74</t>
  </si>
  <si>
    <t>65 - 69</t>
  </si>
  <si>
    <t>60 - 64</t>
  </si>
  <si>
    <t>55 - 59</t>
  </si>
  <si>
    <t>50 - 54</t>
  </si>
  <si>
    <t>0  -  49</t>
  </si>
  <si>
    <r>
      <t xml:space="preserve">สรุปจำนวนนักเรียนที่ได้ผลการเรียน  </t>
    </r>
    <r>
      <rPr>
        <b/>
        <sz val="11"/>
        <rFont val="TH SarabunPSK"/>
        <family val="2"/>
      </rPr>
      <t xml:space="preserve">4, 3.5, 3, 2.5, 2, 1.5, 1, 0 </t>
    </r>
    <r>
      <rPr>
        <sz val="11"/>
        <rFont val="TH SarabunPSK"/>
        <family val="2"/>
      </rPr>
      <t xml:space="preserve"> หรือ "</t>
    </r>
    <r>
      <rPr>
        <b/>
        <sz val="11"/>
        <rFont val="TH SarabunPSK"/>
        <family val="2"/>
      </rPr>
      <t>ร</t>
    </r>
    <r>
      <rPr>
        <sz val="11"/>
        <rFont val="TH SarabunPSK"/>
        <family val="2"/>
      </rPr>
      <t>" , "</t>
    </r>
    <r>
      <rPr>
        <b/>
        <sz val="11"/>
        <rFont val="TH SarabunPSK"/>
        <family val="2"/>
      </rPr>
      <t>มส</t>
    </r>
    <r>
      <rPr>
        <sz val="11"/>
        <rFont val="TH SarabunPSK"/>
        <family val="2"/>
      </rPr>
      <t>" ,"</t>
    </r>
    <r>
      <rPr>
        <b/>
        <sz val="11"/>
        <rFont val="TH SarabunPSK"/>
        <family val="2"/>
      </rPr>
      <t>มก</t>
    </r>
    <r>
      <rPr>
        <sz val="11"/>
        <rFont val="TH SarabunPSK"/>
        <family val="2"/>
      </rPr>
      <t>" ไว้ในช่องสรุปผลการเรียน (หน้าแรก)</t>
    </r>
  </si>
  <si>
    <t>การบันทึกผลการประเมินคุณลักษณะอันพึงประสงค์</t>
  </si>
  <si>
    <t>การประเมินคุณลักษณะอันพึงประสงค์ให้ประเมินควบคู่ไปกับการประเมินผลการเรียนในแต่ละกิจกรรมในหน่วยการเรียนรู้ประเมินตามคุณลักษณะอันพึงประสงค์ตามที่</t>
  </si>
  <si>
    <t>การสรุปผลการประเมิน ให้นำช่องสรุปของทุกข้อมาหาฐานนิยมและกรอกลงในช่องสรุปผล</t>
  </si>
  <si>
    <t>ระดับของการประเมิน  มีความหมายดังนี้</t>
  </si>
  <si>
    <t>ระดับ</t>
  </si>
  <si>
    <t>ความหมาย</t>
  </si>
  <si>
    <t xml:space="preserve"> ดีเยี่ยม   </t>
  </si>
  <si>
    <t>มีพฤติกรรมสูงกว่าเกณฑ์ในระดับดีเยี่ยม</t>
  </si>
  <si>
    <t xml:space="preserve"> ดี     </t>
  </si>
  <si>
    <t>มีพฤติกรรมสูงกว่าเกณฑ์ที่สถานศึกษากำหนด</t>
  </si>
  <si>
    <t>ผ่านเกณฑ์</t>
  </si>
  <si>
    <t>มีพฤติกรรมตามเกณฑ์ที่สถานศึกษากำหนด</t>
  </si>
  <si>
    <t xml:space="preserve"> ควรปรับปรุง   </t>
  </si>
  <si>
    <t xml:space="preserve"> มีพฤติกรรมบางประการที่ต้องปรับปรุง</t>
  </si>
  <si>
    <r>
      <t xml:space="preserve">กรณีที่ผู้เรียนมีผลการประเมินย่อยเป็น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 xml:space="preserve">ให้ดำเนินการปรับปรุงพฤติกรรมของผู้เรียนให้ผ่าน  และแก้ไขให้ได้ระดับไม่เกิน  1 </t>
    </r>
  </si>
  <si>
    <t>สรุปจำนวนนักเรียนที่มีผลการประเมิน  3,2,1,0  ไว้ในช่องผลการประเมินคุณลักษณะอันพึงประสงค์ (หน้าแรก)</t>
  </si>
  <si>
    <r>
      <t xml:space="preserve">กรณีที่ผู้เรียนมีผลการประเมินรวมเป็น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>ให้ดำเนินการปรับปรุงพฤติกรรมของผู้เรียนให้ผ่านในภาคเรียนถัดไป</t>
    </r>
  </si>
  <si>
    <t>5.  สามารถสรุป  อภิปราย  ขยายความ  แสดงความคิดเห็นโต้แย้ง  สนับสนุน  โน้มน้าว  โดยการเขียนสื่อสาร</t>
  </si>
  <si>
    <t>4.  สามารถสรุปคุณค่า  แนวคิด  แง่คิดที่ได้จากการอ่าน</t>
  </si>
  <si>
    <t>3.  สามารถวิเคราะห์  วิจารณ์  ความสมเหตุสมผล  ความน่าเชื่อถือ  ลำดับความสำคัญและความเป็นไปได้ของเรื่อง</t>
  </si>
  <si>
    <t>2.  สามารถจับประเด็นสำคัญและประเด็นสนับสนุน  โต้แย้ง</t>
  </si>
  <si>
    <t>1.  สามารถคัดสรรสื่อที่ต้องการอ่านเพื่อหาข้อมูลสารสนเทศได้ตามวัตถุประสงค์</t>
  </si>
  <si>
    <t>8.2  เข้าร่วมกิจกรรมที่เป็นประโยน์ต่อโรงเรียน  ชุมชน  และสังคม</t>
  </si>
  <si>
    <t>8.1  ช่วยเหลือผู้อื่นด้วยความเต็มใจและพึงพอใจ  โดยไม่หวังผลตอบแทน</t>
  </si>
  <si>
    <t>8.  มีจิตสาธารณะ</t>
  </si>
  <si>
    <t>7.3  อนุรักษ์และสืบทอดภูมิปัญญาไทย</t>
  </si>
  <si>
    <t>7.2  เห็นคุณค่าและใช้ภาษาไทยในการสื่อสารได้อย่างถูกต้อง  เหมาะสม</t>
  </si>
  <si>
    <t>7.1  ภาคภูมิใจในขนบธรรมเนียมประเพณี  ศิลปะ  วัฒนธรรมไทย  มีความกตัญญูกตเวที</t>
  </si>
  <si>
    <t>7.  รักความเป็นไทย</t>
  </si>
  <si>
    <t>6.2  ทำงานด้วยความเพียรพยายามและอดทนเพื่อให้งานสำเร็จตามเป้าหมาย</t>
  </si>
  <si>
    <t>6.1  ตั้งใจและรับผิดชอบในการปฏิบัติหน้าที่การงาน</t>
  </si>
  <si>
    <t>6.  มุ่งมั่นในการทำงาน</t>
  </si>
  <si>
    <t>5.2  มีภูมิคุ้มกันในตัวที่ดี  เพื่อปรับตัวอยู่ในสังคมได้อย่างมีความสุข</t>
  </si>
  <si>
    <t>5.1  ดำเนินชีวิตอย่างพอประมาณ  มีเหตุผล  รอบคอบ  มีคุณธรรม</t>
  </si>
  <si>
    <t>5.  อยู่อย่างพอเพียง</t>
  </si>
  <si>
    <t xml:space="preserve">       วิเคราะห์  สรุปเป็นองค์ความรู้ สามารถนำไปใช้นีวิตประจำวันได้</t>
  </si>
  <si>
    <t xml:space="preserve">4.2  แสวงหาความรู้จากแหล่งเรียนรู้ต่างๆ ทั้งภายในและภายนอกโรงเรียน  ด้วยการเลือกสื่ออย่างเหมาะสม  บันทึกความรู้  </t>
  </si>
  <si>
    <t>4.1  ตั้งใจ  เพียรพยายามในการเรียนและเข้าร่วมกิจกรรมการเรียนรู้</t>
  </si>
  <si>
    <t>4.  ใฝ่เรียนรู้</t>
  </si>
  <si>
    <t>3.1  ปฏิบัติตามข้อตกลง  กฎเกณฑ์  ระเบียบ  ข้อบังคับของครอบครัว  โรงเรียนและสังคม</t>
  </si>
  <si>
    <t>3.  มีวินัย</t>
  </si>
  <si>
    <t>2.2  ประพฤติตนตามความเป็นจริงต่อผู้อื่น  ทั้งกาย  วาจา  ใจ</t>
  </si>
  <si>
    <t>2.1  ประพฤติตนตามความเป็นจริงต่อตนเอง  ทั้งกาย  วาจา  ใจ</t>
  </si>
  <si>
    <t>2.  ซื่อสัตย์สุจริต</t>
  </si>
  <si>
    <t>1.4  เคารพเทิดทูนพระมหากษัตริย์</t>
  </si>
  <si>
    <t>1.3  ศรัทธา  ยึดมั่น  และปฏิบัติตนตามหลักของศาสนา</t>
  </si>
  <si>
    <t>1.2  ธำรงไว้ซึ่งความเป็นชาติไทย</t>
  </si>
  <si>
    <t>1.1  เป็นพลเมืองดีของชาติ</t>
  </si>
  <si>
    <t>1.  รักชาติ  ศาสน์  กษัตริย์</t>
  </si>
  <si>
    <t>ตัวชี้วัด</t>
  </si>
  <si>
    <t>คุณลักษณะที่พึงประสงค์</t>
  </si>
  <si>
    <t>คุณลักษณะอันพึงประสงค์  ตามหลักสูตรแกนกลางการศึกษาขั้นพื้นฐาน  พุทธศักราช  2551</t>
  </si>
  <si>
    <r>
      <t xml:space="preserve">กรณีที่ผู้เรียนมีผลการประเมินรวมเป็น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>ให้ดำเนินการปรับปรุงพัฒนาทักษะการอ่าน  คิดวิเคราะห์และเขียนสื่อความของผู้เรียน ให้ผ่านเกณฑ์ในภาคเรียนถัดไป</t>
    </r>
  </si>
  <si>
    <t>สรุปจำนวนนักเรียนที่มีผลการประเมิน 3,2,1,0   ไว้ในช่องผลการประเมินการอ่าน  คิดวิเคราะห์  และเขียนสื่อความ (หน้าแรก)</t>
  </si>
  <si>
    <r>
      <t xml:space="preserve">กรณีที่ผู้เรียนมีผลการประเมินย่อยเป็น  </t>
    </r>
    <r>
      <rPr>
        <b/>
        <sz val="11"/>
        <rFont val="TH SarabunPSK"/>
        <family val="2"/>
      </rPr>
      <t xml:space="preserve">0   </t>
    </r>
    <r>
      <rPr>
        <sz val="11"/>
        <rFont val="TH SarabunPSK"/>
        <family val="2"/>
      </rPr>
      <t xml:space="preserve"> ให้ดำเนินการปรับปรุงพัฒนาทักษะการอ่าน  คิดวิเคราะห์และเขียนสื่อความของผู้เรียนให้ผ่านเกณฑ์และแก้ไขได้ระดับไม่เกิน  1</t>
    </r>
  </si>
  <si>
    <t xml:space="preserve"> ควรปรับปรุง</t>
  </si>
  <si>
    <t>มีความสามารถตามเกณฑ์ที่สถานศึกษากำหนด</t>
  </si>
  <si>
    <t>มีความสามารถในระดับดี</t>
  </si>
  <si>
    <t>มีความสามารถในระดับดีเยี่ยม</t>
  </si>
  <si>
    <r>
      <t>การสรุปผลการประเมิน ให้นำช่องสรุปของทุกข้อมาหา</t>
    </r>
    <r>
      <rPr>
        <b/>
        <sz val="11"/>
        <rFont val="TH SarabunPSK"/>
        <family val="2"/>
      </rPr>
      <t>ฐานนิยม</t>
    </r>
    <r>
      <rPr>
        <sz val="11"/>
        <rFont val="TH SarabunPSK"/>
        <family val="2"/>
      </rPr>
      <t>และกรอกลงในช่องสรุปผล</t>
    </r>
  </si>
  <si>
    <t xml:space="preserve">การประเมินผลการเรียนในแต่ละกิจกรรมในหน่วยการเรียนรู้  </t>
  </si>
  <si>
    <t>การประเมินการอ่าน  คิดวิเคราะห์  และเขียนสื่อความ ให้ประเมินด้วยวิธีการที่หลากหลายที่สะท้อนถึงการอ่าน  คิดวิเคราะห์ และเขียนสื่อความ  โดยประเมินควบคู่ไปกับ</t>
  </si>
  <si>
    <t>การบันทึกผลการประเมินการอ่าน   คิดวิเคราะห์  และเขียนสื่อความ</t>
  </si>
  <si>
    <t xml:space="preserve">                      การอ่าน คิดวิเคราะห์และเขียนสื่อความ  โรงเรียนบ้านขัวก่าย</t>
  </si>
  <si>
    <t>คำอธิบายการใช้   ปพ.5    โรงเรียนบ้านขัวก่าย</t>
  </si>
  <si>
    <r>
      <t xml:space="preserve">2.1  ผู้มาเรียน  ไม่ต้องเขียนเครื่องหมายใด ส่วนผู้ไม่มาเรียนให้ทำเครื่องหมาย 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 ด้วยหมึกสีแดง  และระบุสาเหตุที่ไม่เข้า เช่น  ลาป่วย "ป" ลากิจ "ล"  ด้วยหมึกสีน้ำเงินหรือสีดำ </t>
    </r>
  </si>
  <si>
    <t>กรอกข้อมูลนักเรียนให้ครบถ้วน</t>
  </si>
  <si>
    <t xml:space="preserve">2.3  เมื่อสิ้นสุดเดือนแต่ละเดือน และสิ้นสุดปีการศึกษา  ให้สรุปเวลามาเรียนไว้ในช่องรวมเวลารายปี  ถ้านักเรียนคนใดมีเวลาเรียนน้อยกว่าร้อยละ  80  ของรายวิชานั้นๆ </t>
  </si>
  <si>
    <t>เลขประจำตัว</t>
  </si>
  <si>
    <t>คำนำหน้าชื่อ ชื่อ - นามสกุล</t>
  </si>
  <si>
    <t>เลขประจำตัวประชาชน</t>
  </si>
  <si>
    <t>วัน เดือน ปี เกิด</t>
  </si>
  <si>
    <t>ชื่อ -นามสกุล บิดา</t>
  </si>
  <si>
    <t>ชื่อ - นามสกุล มารดา</t>
  </si>
  <si>
    <t>ชื่อ -นามสกุล  ผู้ปกครอง</t>
  </si>
  <si>
    <t>เกี่ยวข้องเป็น</t>
  </si>
  <si>
    <t>ที่อยู่</t>
  </si>
  <si>
    <t>บ้านเลขที่</t>
  </si>
  <si>
    <t>หมู่ที่</t>
  </si>
  <si>
    <t>ตำบล</t>
  </si>
  <si>
    <t>อำเภอ</t>
  </si>
  <si>
    <t>จังหวัด</t>
  </si>
  <si>
    <t>เบอร์โทรศัพท์</t>
  </si>
  <si>
    <t>สมุดบันทึกผลการพัฒนาคุณภาพผู้เรียนรายวิชา (ปพ.5)</t>
  </si>
  <si>
    <t>สำนักงานคณะกรรมการการศึกษาขั้นพื้นฐาน     กระทรวงศึกษาธิการ</t>
  </si>
  <si>
    <t>รายวิชา</t>
  </si>
  <si>
    <t>รหัสวิชา</t>
  </si>
  <si>
    <t>ครูผู้สอน</t>
  </si>
  <si>
    <t>โรงเรียนบ้านขัวก่าย  ตำบลขัวก่าย อำเภอวานรนิวาส  จังหวัดสกลนคร</t>
  </si>
  <si>
    <t>สังกัด  สำนักงานเขตพื้นที่การศึกษาประถมศึกษา สกลนคร  เขต  3</t>
  </si>
  <si>
    <t>สรุปผลการเรียน</t>
  </si>
  <si>
    <t>จำนวนนักเรียนที่ได้รับผลการเรียน</t>
  </si>
  <si>
    <t>ผลการประเมินคุณลักษณะอันพึงประสงค์</t>
  </si>
  <si>
    <t>อนุมัติผลการเรียน</t>
  </si>
  <si>
    <t>ลงชื่อ……………………………………………..</t>
  </si>
  <si>
    <t>(   )</t>
  </si>
  <si>
    <t>อนุมัติ</t>
  </si>
  <si>
    <t>ไม่อนุมัติ</t>
  </si>
  <si>
    <t>ลงชื่อ…………………………………......………</t>
  </si>
  <si>
    <t>ลงชื่อ…...……………………………….......…..</t>
  </si>
  <si>
    <t>ผู้อำนวยการโรงเรียนบ้านขัวก่าย</t>
  </si>
  <si>
    <t>ผู้ทาน</t>
  </si>
  <si>
    <t>ผู้ตรวจ</t>
  </si>
  <si>
    <t>ผลการประเมินการอ่าน คิด และเขียน</t>
  </si>
  <si>
    <t>สังคมศึกษา ฯ</t>
  </si>
  <si>
    <t>ให้เขียนมาตรฐานและตัวชี้วัดหรือผลการเรียนรู้ของแต่ละรายวิชาไว้ โดยแยกเป็นหน่วยและระบุมาตรฐานการเรียนรู้กลุ่มสาระหรือตัวชี้วัดให้ชัดเจน</t>
  </si>
  <si>
    <t>ให้เขียนมาตรฐานการเรียนรู้กลุ่มสาระ ตัวชี้วัดหรือผลการเรียนรู้โดยแยกเป็นหน่วยให้ชัดเจน  และกำหนดรายละเอียดการประเมินผล เป็นคะแนนในช่องวิธีการวัดผล</t>
  </si>
  <si>
    <t>3.1  เขียนหมายเลขข้อผลการเรียนรู้หรือตัวชี้วัด  และน้ำหนักคะแนนรวมในแต่ละข้อ และในช่องรวมให้เขียนคะแนนเต็ม สำหรับช่องซ่อมเสริมให้เขียนคะแนนตามเกณฑ์ผ่าน</t>
  </si>
  <si>
    <t xml:space="preserve">การสรุปผลการประเมินคุณภาพผู้เรียน ให้นำคะแนนแต่ละหน่วย บันทึกลงในช่องรายหน่วย แล้วรวมกับคะแนนสอบกลางปีและคะแนนสอบปลายปี  </t>
  </si>
  <si>
    <t xml:space="preserve">สำนักงานคณะกรรมการการศึกษาขั้นพื้นฐานกำหนดไว้ จำนวน  8  ข้อ  </t>
  </si>
  <si>
    <t xml:space="preserve">ให้เขียนระดับการประเมินในแต่ละข้อ  โดยยึดการประเมินตามหลักสูตรแกนกลางการศึกษาขั้นพื้นฐาน พุทธศักราช 2551 </t>
  </si>
  <si>
    <t xml:space="preserve">ให้เขียนระดับการประเมินในแต่ละข้อ </t>
  </si>
  <si>
    <t xml:space="preserve">ให้ประเมินทักษะการอ่าน   คิดวิเคราะห์   และเขียนสื่อความ    ตามที่สำนักงานคณะกรรมการการศึกษาขั้นพื้นฐานกำหนดไว้ จำนวน 5  ข้อ </t>
  </si>
  <si>
    <t>อาขีพผู้ปกครอง</t>
  </si>
  <si>
    <t>1</t>
  </si>
  <si>
    <t>2</t>
  </si>
  <si>
    <t>3</t>
  </si>
  <si>
    <t>4</t>
  </si>
  <si>
    <t>หน่วยที่ 1 การคิดแยกแยะระหว่างผลประโยชน์ส่วนตนและผลประโยชน์ส่วนรวม</t>
  </si>
  <si>
    <t>1. มีความรู้ ความเข้าใจเกี่ยวกับการแยกแยะระหว่างผลประโยชน์ส่วนตนกับผลประโยชน์ส่วนรวม</t>
  </si>
  <si>
    <t>2. สามารถคิดแยกแยะระหว่างผลประโยชน์ส่วนตนกับผลประโยชน์ส่วนรวมได้</t>
  </si>
  <si>
    <t>หน่วยที่ 2 ความละอายและความไม่ทนต่อการทุจริต</t>
  </si>
  <si>
    <t>3. มีความรู้ ความเข้าใจเกี่ยวกับความละอายและความไม่ทนต่อการทุจริต</t>
  </si>
  <si>
    <t>4. ปฏิบัติตนเป็นผู้ละอายและไม่ทนต่อการทุจริตทุกรูปแบบ</t>
  </si>
  <si>
    <t>หน่วยที่ 3 STRONG/จิตพอเพียงต่อต้านการทุจริต</t>
  </si>
  <si>
    <t>5. ปฏิบัติตนเป็นผู้ที่ STRONG: จิตพอเพียงต่อต้านการทุจริต</t>
  </si>
  <si>
    <t>6. มีความรู้ ความเข้าใจเกี่ยวกับ STRONG: จิตพอเพียงต่อต้านการทุจริต</t>
  </si>
  <si>
    <t>หน่วยที่ 4 พลเมืองกับความรับผิดชอบต่อสังคม</t>
  </si>
  <si>
    <t>7. มีความรู้ ความเข้าใจเกี่ยวกับพลเมืองและมีความรับผิดชอบต่อสังคม</t>
  </si>
  <si>
    <t>8. ปฏิบัติตนตามหน้าที่พลเมืองและมีความรับผิดชอบต่อสังคม</t>
  </si>
  <si>
    <t>9. ตระหนักและเห็นความสำคัญของการต่อต้านและป้องกันการทุจริต</t>
  </si>
  <si>
    <t>คะแนนผลการเรียนรู้ ภาคเรียนที่ 1</t>
  </si>
  <si>
    <t>คะแนนผลการเรียนรู้ ภาคเรียนที่ 2</t>
  </si>
  <si>
    <t>วิทยาศาสตร์ฯ</t>
  </si>
  <si>
    <t>วิทยาศาตร์และเทคโนโลยี</t>
  </si>
  <si>
    <t>รายวิชา การป้องกันการทุจริต ส12201</t>
  </si>
  <si>
    <t>หน่วยที่</t>
  </si>
  <si>
    <t>สื่อสาร</t>
  </si>
  <si>
    <t>คิด</t>
  </si>
  <si>
    <t>แก้ปัญหา</t>
  </si>
  <si>
    <t>ทักษะชีวิต</t>
  </si>
  <si>
    <t>เทคโนโลยี</t>
  </si>
  <si>
    <t>สมรรถนะสำคัญของผู้เรียน</t>
  </si>
  <si>
    <t>กิจกรรมชุมนุม</t>
  </si>
  <si>
    <t>กิจกรรมเพื่อสังคม</t>
  </si>
  <si>
    <t>รายวิชา ศิลปะ  (ศ13101)</t>
  </si>
  <si>
    <t>เซนติเมตร  กิโลเมตรและเมตร</t>
  </si>
  <si>
    <t>ล</t>
  </si>
  <si>
    <t>5</t>
  </si>
  <si>
    <t>6</t>
  </si>
  <si>
    <t xml:space="preserve">     (นายอภัย  ปังอุทา)</t>
  </si>
  <si>
    <t>ผลการประเมินการเรียนรู้ ปีการศึกษา 2566</t>
  </si>
  <si>
    <t>เวลาเรียน ประจำเดือน พฤษภาคม พ.ศ. 2567</t>
  </si>
  <si>
    <t>เวลาเรียน ประจำเดือน มิถุนายน พ.ศ. 2567</t>
  </si>
  <si>
    <t>เวลาเรียน ประจำเดือน กรกฎาคม พ.ศ. 2567</t>
  </si>
  <si>
    <t>เวลาเรียน ประจำเดือน สิงหาคม พ.ศ. 2567</t>
  </si>
  <si>
    <t>เวลาเรียน ประจำเดือน กันยายน พ.ศ. 2567</t>
  </si>
  <si>
    <t>เวลาเรียน ประจำเดือน ตุลาคม พ.ศ. 2567</t>
  </si>
  <si>
    <t>เวลาเรียน ประจำเดือน พฤศจิกายน พ.ศ. 2567</t>
  </si>
  <si>
    <t>เวลาเรียน ประจำเดือน ธันวาคม พ.ศ. 2567</t>
  </si>
  <si>
    <t>เวลาเรียน ประจำเดือน มกราคม พ.ศ. 2568</t>
  </si>
  <si>
    <t>เวลาเรียน ประจำเดือน กุมภาพันธ์ พ.ศ. 2568</t>
  </si>
  <si>
    <t>เวลาเรียน ประจำเดือน มีนาคม พ.ศ. 2568</t>
  </si>
  <si>
    <t>เวลาเรียน ประจำเดือน เมษายน พ.ศ. 2568</t>
  </si>
  <si>
    <t>4874</t>
  </si>
  <si>
    <t>4875</t>
  </si>
  <si>
    <t>4878</t>
  </si>
  <si>
    <t>4879</t>
  </si>
  <si>
    <t>4880</t>
  </si>
  <si>
    <t>4881</t>
  </si>
  <si>
    <t>4926</t>
  </si>
  <si>
    <t>4882</t>
  </si>
  <si>
    <t>4883</t>
  </si>
  <si>
    <t>4884</t>
  </si>
  <si>
    <t>4885</t>
  </si>
  <si>
    <t>4886</t>
  </si>
  <si>
    <t>4887</t>
  </si>
  <si>
    <t>1470801474536</t>
  </si>
  <si>
    <t>1470801468064</t>
  </si>
  <si>
    <t>1470801475991</t>
  </si>
  <si>
    <t>1909803751611</t>
  </si>
  <si>
    <t>1470801474293</t>
  </si>
  <si>
    <t>1470801470069</t>
  </si>
  <si>
    <t>1479300152500</t>
  </si>
  <si>
    <t>1470801474064</t>
  </si>
  <si>
    <t>1100704339339</t>
  </si>
  <si>
    <t>1470801476431</t>
  </si>
  <si>
    <t>1470801474111</t>
  </si>
  <si>
    <t>1749700193626</t>
  </si>
  <si>
    <t>1470801468862</t>
  </si>
  <si>
    <t>01/10/2555</t>
  </si>
  <si>
    <t>22/01/2555</t>
  </si>
  <si>
    <t>20/11/2555</t>
  </si>
  <si>
    <t>22/02/2555</t>
  </si>
  <si>
    <t>27/09/2555</t>
  </si>
  <si>
    <t>05/04/2555</t>
  </si>
  <si>
    <t>20/07/2555</t>
  </si>
  <si>
    <t>17/09/2555</t>
  </si>
  <si>
    <t>24/03/2555</t>
  </si>
  <si>
    <t>09/12/2555</t>
  </si>
  <si>
    <t>26/03/2555</t>
  </si>
  <si>
    <t>25/02/2555</t>
  </si>
  <si>
    <t>ป</t>
  </si>
  <si>
    <t>7</t>
  </si>
  <si>
    <t>ผลการประเมินการเรียนรู้ ปีการศึกษา 2567</t>
  </si>
  <si>
    <t>รายวิชา คณิตศาสตร์  (ค16101)</t>
  </si>
  <si>
    <t>รายวิชา วิทยาศาสตร์และเทคโนโลยี  (ว16101)</t>
  </si>
  <si>
    <t>รายวิชา การงานอาชีพ  (ง16101)</t>
  </si>
  <si>
    <t>รายวิชา สุขศึกษาและพลศึกษา  (พ16101)</t>
  </si>
  <si>
    <t>รายวิชา ภาษาอังกฤษ  (อ16101)</t>
  </si>
  <si>
    <t>จิตอาสา</t>
  </si>
  <si>
    <t>สิ่งแวดล้อม</t>
  </si>
  <si>
    <t>รายวิชา สังคมศึกษา ศาสนาและวัฒนธรรม  (ส16101)</t>
  </si>
  <si>
    <t>รายวิชา ประวัติศาสตร์  (ส16102)</t>
  </si>
  <si>
    <t>รายวิชา การป้องกันการทุจริต  (ส16201)</t>
  </si>
  <si>
    <t>รายวิชา คณิตศาสตร์ ค16101</t>
  </si>
  <si>
    <t>เปรียบเทียบ เรียงลำดับเศษส่วนและจำนวนคละ    จากสถานการณ์ต่าง ๆ</t>
  </si>
  <si>
    <t>ค 1.1 ป.6/1</t>
  </si>
  <si>
    <t xml:space="preserve">เขียนอัตราส่วนแสดงการเปรียบเทียบปริมาณ 2 ปริมาณ จากข้อความหรือสถานการณ์ โดยที่ปริมาณแต่ละ </t>
  </si>
  <si>
    <t>ค 1.1 ป.6/2</t>
  </si>
  <si>
    <t>ปริมาณเป็นจำนวนนับ</t>
  </si>
  <si>
    <t>หาอัตราส่วนที่เท่ากับอัตราส่วนที่กำหนดให้</t>
  </si>
  <si>
    <t>ค 1.1 ป.6/3</t>
  </si>
  <si>
    <t xml:space="preserve">หา ห.ร.ม. ของจำนวนนับไม่เกิน 3 จำนวน </t>
  </si>
  <si>
    <t>ค 1.1 ป.6/4</t>
  </si>
  <si>
    <t xml:space="preserve">หา ค.ร.น. ของจำนวนนับไม่เกิน 3 จำนวน </t>
  </si>
  <si>
    <t>ค 1.1 ป.6/5</t>
  </si>
  <si>
    <t>แสดงวิธีหาคำตอบของโจทย์ปัญหาโดยใช้ความรู้เกี่ยวกับ ห.ร.ม. และ ค.ร.น.</t>
  </si>
  <si>
    <t>ค 1.1 ป.6/6</t>
  </si>
  <si>
    <t xml:space="preserve">หาผลลัพธ์ของการบวก ลบ คูณ หารระคนของเศษส่วนและจำนวนคละ  </t>
  </si>
  <si>
    <t>ค 1.1 ป.6/7</t>
  </si>
  <si>
    <t xml:space="preserve">แสดงวิธีหาคำตอบของโจทย์ปัญหาเศษส่วนและจำนวนคละ 2 - 3 ขั้นตอน </t>
  </si>
  <si>
    <t>ค 1.1 ป.6/8</t>
  </si>
  <si>
    <t xml:space="preserve">หาผลหารของทศนิยมที่ตัวหารและผลหารเป็นทศนิยมไม่เกิน 3 ตำแหน่ง </t>
  </si>
  <si>
    <t>ค 1.1 ป.6/9</t>
  </si>
  <si>
    <t xml:space="preserve">แสดงวิธีหาคำตอบของโจทย์ปัญหาการบวก การลบ การคูณ การหารทศนิยม 3 ขั้นตอน </t>
  </si>
  <si>
    <t>ค 1.1 ป.6/10</t>
  </si>
  <si>
    <t xml:space="preserve">แสดงวิธีหาคำตอบของโจทย์ปัญหาอัตราส่วน </t>
  </si>
  <si>
    <t>ค 1.1 ป.6/11</t>
  </si>
  <si>
    <t xml:space="preserve">แสดงวิธีหาคำตอบของโจทย์ปัญหาร้อยละ 2 - 3 ขั้นตอน </t>
  </si>
  <si>
    <t>ค 1.1 ป.6/12</t>
  </si>
  <si>
    <t xml:space="preserve">แสดงวิธีคิดและหาคำตอบของปัญหาเกี่ยวกับแบบรูป </t>
  </si>
  <si>
    <t>ค 1.2 ป.6/1</t>
  </si>
  <si>
    <t>แสดงวิธีหาคำตอบของโจทย์ปัญหาเกี่ยวกับปริมาตรของรูปเรขาคณิต  สามมิติที่ประกอบด้วยทรงสี่เหลี่ยมมุมฉาก</t>
  </si>
  <si>
    <t>ค 2.1 ป.6/1</t>
  </si>
  <si>
    <t xml:space="preserve">แสดงวิธีหาคำตอบของโจทย์ปัญหาเกี่ยวกับ  ความยาวรอบรูปและพื้นที่ของวงกลม </t>
  </si>
  <si>
    <t>ค 2.1 ป.6/3</t>
  </si>
  <si>
    <t>จำแนกรูปสามเหลี่ยมโดยพิจารณาจากสมบัติของรูป</t>
  </si>
  <si>
    <t>ค 2.2 ป.6/1</t>
  </si>
  <si>
    <t>สร้างรูปสามเหลี่ยมเมื่อกำหนดความยาวของด้านและขนาดของมุม</t>
  </si>
  <si>
    <t>ค 2.2 ป.6/2</t>
  </si>
  <si>
    <t xml:space="preserve">บอกลักษณะของรูปเรขาคณิตสามมิติชนิดต่าง ๆ  </t>
  </si>
  <si>
    <t>ค 2.2 ป.6/3</t>
  </si>
  <si>
    <t xml:space="preserve">ระบุรูปเรขาคณิตสามมิติที่ประกอบจากรูปคลี่และระบุรูปคลี่ของรูปเรขาคณิตสามมิติ </t>
  </si>
  <si>
    <t>ค 2.2 ป.6/4</t>
  </si>
  <si>
    <t xml:space="preserve">ใช้ข้อมูลจากแผนภูมิรูปวงกลมในการหาคำตอบของโจทย์ปัญหา  </t>
  </si>
  <si>
    <t>ค 3.1 ป.6/1</t>
  </si>
  <si>
    <t>รายวิชา วิทยาศาสตร์และเทคโนโลยี ว16101</t>
  </si>
  <si>
    <t>ระบุสารอาหารและบอกประโยชน์ของสารอาหารแต่ละประเภทจากอาหารที่ตนเองรับประทาน</t>
  </si>
  <si>
    <t>ว 1.2 ป 6/1</t>
  </si>
  <si>
    <t>บอกแนวทางในการเลือกรับประทานอาหารให้ได้สารอาหารครบถ้วนในสัดส่วนที่เหมาะสมกับเพศและวัย รวมทั้งความปลอดภัยต่อสุขภาพ</t>
  </si>
  <si>
    <t>ว 1.2 ป 6/2</t>
  </si>
  <si>
    <t xml:space="preserve">ตระหนักถึงความสำคัญของสารอาหาร โดยการเลือกรับประทานอาหารที่มีสารอำหารครบถ้วนในสัดส่วนที่เหมาะสมกับเพศและวัย </t>
  </si>
  <si>
    <t xml:space="preserve">ว 1.2 ป 6/3  </t>
  </si>
  <si>
    <t>รวมทั้งปลอดภัยต่อสุขภาพ</t>
  </si>
  <si>
    <t>สร้างแบบจำลองระบบย่อยอาหาร และบรรยายหน้าที่ของอวัยวะในระบบย่อยอาหาร รวมทั้งอธิบายการย่อยอาหารและการดูดซึมสารอาหาร</t>
  </si>
  <si>
    <t>ว 1.2 ป 6/4</t>
  </si>
  <si>
    <t>ตระหนักถึงความสำคัญของระบบย่อยอาหาร โดยการบอกแนวทางในการดูแลรักษาอวัยวะในระบบย่อยอาหารให้ทำงานเป็นปกติ</t>
  </si>
  <si>
    <t>ว 1.2 ป 6/5</t>
  </si>
  <si>
    <t>อธิบายและเปรียบเทียบการแยกสารผสม โดยการหยิบออก การร่อน การใช้แม่เหล็กดึงดูด การรินออก การกรอง และการ</t>
  </si>
  <si>
    <t>ว 2.1 ป 6/1</t>
  </si>
  <si>
    <t>ตกตะกอน โดยใช้หลักฐานเชิงประจักษ์ รวมทั้งระบุวิธีแก้ปัญหาในชีวิตประจำวันเกี่ยวกับการแยกสาร</t>
  </si>
  <si>
    <t>อธิบายการเกิดและผลของแรงไฟฟ้าซึ่งเกิดจากวัตถุที่ผ่านการขัดถูโดยใช้หลักฐานเชิงประจักษ์</t>
  </si>
  <si>
    <t xml:space="preserve">ว 2.2 ป 6/1  </t>
  </si>
  <si>
    <t>ระบุส่วนประกอบและบรรยายหน้าที่ ของแต่ละส่วนประกอบของวงจรไฟฟ้า อย่างง่ายจากหลักฐานเชิงประจักษ์</t>
  </si>
  <si>
    <t>ว 2.3 ป 6/1</t>
  </si>
  <si>
    <t>เขียนแผนภาพและต่อวงจรไฟฟ้าอย่างง่าย</t>
  </si>
  <si>
    <t xml:space="preserve">ว 2.3 ป 6/2  </t>
  </si>
  <si>
    <t>ออกแบบกำรทดลองและทดลองด้วยวิธีที่เหมาะสมในการอธิบายวิธีการและผลของการต่อเซลล์ไฟฟ้าแบบอนุกรม</t>
  </si>
  <si>
    <t>ว 2.3 ป 6/3</t>
  </si>
  <si>
    <t>ตระหนักถึงประโยชน์ของความรู้ของการต่อเซลล์ไฟฟ้าแบบอนุกรมโดยบอกประโยชน์และการประยุกต์ใช้ในชีวิตประจำวัน</t>
  </si>
  <si>
    <t>ว 2.3ป 6/4</t>
  </si>
  <si>
    <t>ออกแบบการทดลองและทดลองด้วยวิธีที่เหมาะสมในการอธิบายการต่อหลอดไฟฟ้าแบบอนุกรมและแบบขนาน</t>
  </si>
  <si>
    <t xml:space="preserve">ว 2.3ป 6/5  </t>
  </si>
  <si>
    <t>ตระหนักถึงประโยชน์ของความรู้ของการต่อหลอดไฟฟ้าแบบอนุกรมและแบบขนาน โดยบอกประโยชน์ ข้อจำกัด และการ</t>
  </si>
  <si>
    <t xml:space="preserve">ว 2.3 ป 6/6  </t>
  </si>
  <si>
    <t>ประยุกต์ใช้ในชีวิตประจำวัน</t>
  </si>
  <si>
    <t>เขียนแผนภาพรังสีของแสงแสดงการเกิดเงามืดเงามัว</t>
  </si>
  <si>
    <t>ว 2.3 ป 6/8</t>
  </si>
  <si>
    <t>สร้างแบบจำลองที่อธิบายการเกิด และเปรียบเทียบปรากฏการณ์สุริยุปราคา และจันทรุปราคา</t>
  </si>
  <si>
    <t>ว 3.1 ป 6/1</t>
  </si>
  <si>
    <t>อธิบายพัฒนาการของเทคโนโลยีอวกาศ และยกตัวอย่างการนำเทคโนโลยีอวกาศมาใช้ประโยชน์ในชีวิตประจำวัน จากข้อมูลที่รวบรวมได้</t>
  </si>
  <si>
    <t xml:space="preserve">ว 3.1 ป 6/2  </t>
  </si>
  <si>
    <t>เปรียบเทียบกระบวนการเกิดหินอัคนี หินตะกอน และหินแปรและอธิบายวัฏจักรหินจากแบบจำลอง</t>
  </si>
  <si>
    <t>ว 3.2 ป 6/1</t>
  </si>
  <si>
    <t>บรรยายและยกตัวอย่างการใช้ประโยชน์ของหินและแร่ในชีวิตประจำวันจากข้อมูล ที่รวบรวมได้</t>
  </si>
  <si>
    <t>ว 3.2 ป 6/2</t>
  </si>
  <si>
    <t>สร้างแบบจำลองที่อธิบายการเกิด ซากดึกดำบรรพ์และคาดคะเนสภาพแวดล้อมในอดีตของซากดึกดำบรรพ์</t>
  </si>
  <si>
    <t>ว 3.2 ป 6/3</t>
  </si>
  <si>
    <t>อธิบายผลของมรสุมต่อการเกิดฤดูของประเทศไทย จากข้อมูลที่รวบรวมได้</t>
  </si>
  <si>
    <t>ว 3.2 ป 6/5</t>
  </si>
  <si>
    <t xml:space="preserve">บรรยายลักษณะและผลกระทบของ น้ำท่วม การกัดเซาะชายฝั่ง ดินถล่ม แผ่นดินไหว สึนามิ </t>
  </si>
  <si>
    <t>ว 3.2 ป 6/6</t>
  </si>
  <si>
    <t>ตระหนักถึงผลกระทบของภัยธรรมชำติและธรณีพิบัติภัย โดยนำเสนอแนวทางในการเฝ้าระวังและปฏิบัติตนให้ปลอดภัยจากภัย</t>
  </si>
  <si>
    <t>ว 3.2 ป 6/7</t>
  </si>
  <si>
    <t>ธรรมชาติและธรณีพิบัติภัยที่อาจเกิดในท้องถิ่น</t>
  </si>
  <si>
    <t>สร้างแบบจำลองที่อธิบายการเกิดปรากฏการณ์เรือนกระจกและผลของปรากฏการณ์เรือนกระจกต่อสิ่งมีชีวิต</t>
  </si>
  <si>
    <t>ว 3.2 ป 6/8</t>
  </si>
  <si>
    <t>ตระหนักถึงผลกระทบของปรากฏการณ์เรือนกระจกโดยนำเสนอแนวทางการปฏิบัติตนเพื่อลดกิจกรรมที่ก่อให้เกิดแก๊สเรือนกระจก</t>
  </si>
  <si>
    <t>ว 3.2 ป 6/9</t>
  </si>
  <si>
    <t>ใช้เหตุผลเชิงตรรกะในการอธิบายและออกแบบวิธีการแก้ปัญหาที่พบในชีวิตประจำวัน</t>
  </si>
  <si>
    <t>ว 4.2 ป 6/1</t>
  </si>
  <si>
    <t>ออกแบบและเขียนโปรแกรมอย่างง่าย เพื่อแก้ปัญหาในชีวิตประจำวัน ตรวจหาข้อผิด พลาด ของโปรแกรมและแก้ไข</t>
  </si>
  <si>
    <t>ว 4.2 ป 6/2</t>
  </si>
  <si>
    <t>ใช้อินเทอร์เน็ตในการค้นหาข้อมูลอย่างมีประสิทธิภาพ</t>
  </si>
  <si>
    <t>ว 4.2 ป 6/3</t>
  </si>
  <si>
    <t>ใช้เทคโนโลยีสารสนเทศทำงานร่วมกันอย่างปลอดภัย เข้าใจสิทธิและหน้าที่ของตน เคารพในสิทธิของผู้อื่น แจ้งผู้เกี่ยวข้องเมื่อพบ</t>
  </si>
  <si>
    <t>ว 4.2 ป 6/4</t>
  </si>
  <si>
    <t>ข้อมูลหรือบุคคลที่ไม่เหมาะสม</t>
  </si>
  <si>
    <t>รายวิชา สังคมศึกษา ศาสนาและวัฒนธรรม ส16101</t>
  </si>
  <si>
    <t>1. วิเคราะห์ความสำคัญของพระพุทธ-  ศาสนาในฐานะเป็นศาสนาประจำชาติ  หรือความสำคัญของศาสนาที่ตนนับถือ</t>
  </si>
  <si>
    <t>ส 1.1 ป.6/1</t>
  </si>
  <si>
    <t>2. สรุปพุทธประวัติตั้งแต่ปลงอายุสังขารจนถึงสังเวชนียสถาน หรือประวัติศาสดาที่ตนนับถือตามที่กำหนด</t>
  </si>
  <si>
    <t>ส 1.1 ป.6/2</t>
  </si>
  <si>
    <t>3. เห็นคุณค่าและประพฤติตนตามแบบอย่างการดำเนินชีวิตและข้อคิดจากประวัติสาวก ชาดก/เรื่องเล่า และศาสนิกชน</t>
  </si>
  <si>
    <t>ส 1.1 ป.6/3</t>
  </si>
  <si>
    <t>ตัวอย่างตามที่กำหนด</t>
  </si>
  <si>
    <t>4. วิเคราะห์ความสำคัญและเคารพพระรัตนตรัย  ปฏิบัติตามไตรสิกขาและหลักธรรมโอวาท 3 ในพระพุทธศาสนา  หรือ</t>
  </si>
  <si>
    <t>ส 1.1 ป.6/4</t>
  </si>
  <si>
    <t>หลักธรรมของศาสนาที่ตนนับถือตามที่กำหนด</t>
  </si>
  <si>
    <t>5. ชื่นชมการทำความดีของบุคคลในประเทศตามหลักศาสนา พร้อมทั้งบอกแนวปฏิบัติในการดำเนินชีวิต</t>
  </si>
  <si>
    <t>ส 1.1 ป.6/5</t>
  </si>
  <si>
    <t>6. เห็นคุณค่าและสวดมนต์แผ่เมตตา และบริหารจิตเจริญปัญญา มีสติที่เป็นพื้นฐานของสมาธิในพระพุทธศาสนา หรือ</t>
  </si>
  <si>
    <t>ส 1.1 ป.6/6</t>
  </si>
  <si>
    <t>การพัฒนาจิตตามแนวทางของศาสนาที่ตนนับถือ ตามที่กำหนด</t>
  </si>
  <si>
    <t>7. ปฏิบัติตนตามหลักธรรมของศาสนาที่ตนนับถือ เพื่อแก้ปัญหาอบายมุขและ สิ่งเสพติด</t>
  </si>
  <si>
    <t>ส 1.1 ป.6/7</t>
  </si>
  <si>
    <t>8. อธิบายหลักธรรมสำคัญของศาสนาอื่นๆ โดยสังเขป</t>
  </si>
  <si>
    <t>ส 1.1 ป.6/8</t>
  </si>
  <si>
    <t>9. อธิบายลักษณะสำคัญของศาสนพิธีพิธีกรรมของศาสนาอื่นๆ และปฏิบัติตนได้อย่างเหมาะสมเมื่อต้องเข้าร่วมพิธี</t>
  </si>
  <si>
    <t>ส 1.1 ป.6/9</t>
  </si>
  <si>
    <t xml:space="preserve">10. อธิบายความรู้เกี่ยวกับสถานที่ต่างๆ ในศาสนสถาน และปฏิบัติตนได้อย่างเหมาะสม </t>
  </si>
  <si>
    <t>ส 1.2 ป.6/1</t>
  </si>
  <si>
    <t>11. มีมรรยาทของความเป็นศาสนิกชนที่ดี ตามที่กำหนด</t>
  </si>
  <si>
    <t>ส 1.2 ป.6/2</t>
  </si>
  <si>
    <t>12. อธิบายประโยชน์ของการเข้าร่วมใน ศาสนพิธี พิธีกรรม และกิจกรรมในวันสำคัญทางศาสนา ตามที่กำหนดและ</t>
  </si>
  <si>
    <t>ส 1.2 ป.6/3</t>
  </si>
  <si>
    <t>ปฏิบัติตนได้ถูกต้อง</t>
  </si>
  <si>
    <t>14. ปฏิบัติตามกฎหมายที่เกี่ยวข้องกับชีวิตประจำวันของครอบครัวและชุมชน</t>
  </si>
  <si>
    <t>ส 2.1 ป.6/1</t>
  </si>
  <si>
    <t>15. วิเคราะห์การเปลี่ยนแปลงวัฒนธรรมตามกาลเวลาและธำรงรักษาวัฒนธรรม  อันดีงาม</t>
  </si>
  <si>
    <t>ส 2.1 ป.6/2</t>
  </si>
  <si>
    <t>16. แสดงออกถึงมารยาทไทยได้เหมาะสมถูกกาลเทศะ</t>
  </si>
  <si>
    <t>ส 2.1 ป.6/3</t>
  </si>
  <si>
    <t>17. อธิบายคุณค่าทางวัฒนธรรมที่แตกต่างกันระหว่างกลุ่มคนในสังคมไทย</t>
  </si>
  <si>
    <t>ส 2.1 ป.6/4</t>
  </si>
  <si>
    <t>18. ติดตามข้อมูล ข่าวสาร เหตุการณ์ต่างๆ ในชีวิตประจำวัน เลือกรับและใช้ข้อมูล ข่าวสารในการเรียนรู้ได้เหมาะสม</t>
  </si>
  <si>
    <t>ส 2.1 ป.6/5</t>
  </si>
  <si>
    <t xml:space="preserve">19. เปรียบเทียบบทบาท  หน้าที่ขององค์กรปกครองส่วนท้องถิ่นและรัฐบาล  </t>
  </si>
  <si>
    <t>ส 2.2 ป.6/1</t>
  </si>
  <si>
    <t>20. มีส่วนร่วมในกิจกรรมต่างๆ ที่ส่งเสริม ประชาธิปไตยในท้องถิ่นและประเทศ</t>
  </si>
  <si>
    <t>ส 2.2 ป.6/2</t>
  </si>
  <si>
    <t>21. อภิปรายบทบาท ความสำคัญในการใช้สิทธิออกเสียงเลือกตั้งตามระบอบประชาธิปไตย</t>
  </si>
  <si>
    <t>ส 2.2 ป.6/3</t>
  </si>
  <si>
    <t>22. อธิบายบทบาทของผู้ผลิตที่มีความรับผิดชอบ</t>
  </si>
  <si>
    <t>ส 3.1 ป.6/1</t>
  </si>
  <si>
    <t>23. อธิบายบทบาทของผู้บริโภคที่รู้เท่าทัน</t>
  </si>
  <si>
    <t>ส 3.1 ป.6/2</t>
  </si>
  <si>
    <t>24. บอกวิธีและประโยชน์ของการใช้ทรัพยากรอย่างยั่งยืน</t>
  </si>
  <si>
    <t>ส 3.1 ป.6/3</t>
  </si>
  <si>
    <t>25. อธิบายความสัมพันธ์ระหว่างผู้ผลิต ผู้บริโภค ธนาคาร และรัฐบาล</t>
  </si>
  <si>
    <t>ส 3.2 ป.6/1</t>
  </si>
  <si>
    <t>26. ยกตัวอย่างการรวมกลุ่มทางเศรษฐกิจภายในท้องถิ่น</t>
  </si>
  <si>
    <t>ส 3.2 ป.6/2</t>
  </si>
  <si>
    <t>27. สืบค้นและอธิบายข้อมูลลักษณะทางกายภาพของประเทศไทย ด้วยแผนที่ รูปถ่ายทางอากาศ และภาพจากดาวเทียม</t>
  </si>
  <si>
    <t>ส 5.1 ป.6/1</t>
  </si>
  <si>
    <t>28. อธิบายความสัมพันธ์ระหว่าง ลักษณะทางกายภาพกับภัยพิบัติ ในประเทศไทย เพื่อเตรียมพร้อม รับมือ ภัยพิบัติ</t>
  </si>
  <si>
    <t>ส 5.1 ป.6/2</t>
  </si>
  <si>
    <t xml:space="preserve">29. วิเคราะห์ปฏิสัมพันธ์ระหว่างสิ่งแวดล้อมทางกายภาพกับลักษณะกิจกรรมทางเศรษฐกิจและสังคมในประเทศไทย </t>
  </si>
  <si>
    <t>ส 5.2 ป.6/1</t>
  </si>
  <si>
    <t xml:space="preserve">30. วิเคราะห์การเปลี่ยนแปลงทางกายภาพของประเทศไทยในอดีตกับปัจจุบัน และผลที่เกิดขึ้นจากการเปลี่ยนแปลง </t>
  </si>
  <si>
    <t>ส 5.2 ป.6/2</t>
  </si>
  <si>
    <t>31. นำเสนอตัวอย่างที่สะท้อนให้เห็นผลจากการรักษาและทำลายทรัพยากรและสิ่งแวดล้อม และเสนอแนวทางในการ</t>
  </si>
  <si>
    <t>ส 5.2 ป.6/3</t>
  </si>
  <si>
    <t>จัดการที่ยั่งยืนในประเทศไทย</t>
  </si>
  <si>
    <t>รายวิชา ประวัติศาสตร์ ส16102</t>
  </si>
  <si>
    <t>1. อธิบายความสำคัญของวิธีการทางประวัติศาสตร์ในการศึกษาเรื่องราวทางประวัติศาสตร์อย่างง่ายๆ</t>
  </si>
  <si>
    <t>ส 4.1 ป.6/1</t>
  </si>
  <si>
    <t>2. นำเสนอข้อมูลจากหลักฐานที่หลากหลายในการทำความเข้าใจเรื่องราวสำคัญในอดีต</t>
  </si>
  <si>
    <t>ส 4.1 ป.6/2</t>
  </si>
  <si>
    <t>3. อธิบายสภาพสังคม เศรษฐกิจและการเมืองของประเทศเพื่อนบ้านในปัจจุบัน</t>
  </si>
  <si>
    <t>ส 4.2 ป.6/1</t>
  </si>
  <si>
    <t>4. บอกความสัมพันธ์ของกลุ่มอาเซียนโดยสังเขป</t>
  </si>
  <si>
    <t>ส 4.2 ป.6/2</t>
  </si>
  <si>
    <t>5. อธิบายพัฒนาการของไทยสมัยรัตนโกสินทร์ โดยสังเขป</t>
  </si>
  <si>
    <t>ส 4.3 ป.6/1</t>
  </si>
  <si>
    <t>6. อธิบายปัจจัยที่ส่งเสริมความเจริญรุ่งเรืองทางเศรษฐกิจและการปกครองของไทยสมัยรัตนโกสินทร์</t>
  </si>
  <si>
    <t>ส 4.3 ป.6/2</t>
  </si>
  <si>
    <t>7. ยกตัวอย่างผลงานของบุคคลสำคัญด้านต่างๆสมัยรัตนโกสินทร์</t>
  </si>
  <si>
    <t>ส 4.3 ป.6/3</t>
  </si>
  <si>
    <t>8. อธิบายภูมิปัญญาไทยที่สำคัญสมัยรัตนโกสินทร์ที่น่าภาคภูมิใจ และควรค่าแก่การอนุรักษ์ไว้</t>
  </si>
  <si>
    <t>ส 4.3 ป.6/4</t>
  </si>
  <si>
    <t>รายวิชา สุขศึกษาและพลศึกษา พ16101</t>
  </si>
  <si>
    <t>1. อธิบายความสำคัญของระบบสืบพันธุ์  ระบบไหลเวียนโลหิตและระบบหายใจ  ที่มีผลต่อสุขภาพ การเจริญเติบโตและ</t>
  </si>
  <si>
    <t>พ 1.1 ป.6/1</t>
  </si>
  <si>
    <t>พัฒนาการ</t>
  </si>
  <si>
    <t>2. อธิบายวิธีการดูแลรักษาระบบสืบพันธุ์  ระบบไหลเวียนโลหิต  และระบบหายใจให้ทำงานตามปกติ</t>
  </si>
  <si>
    <t>พ 1.1 ป.6/2</t>
  </si>
  <si>
    <t>3. อธิบายความสำคัญของการสร้างและรักษาสัมพันธภาพกับผู้อื่น</t>
  </si>
  <si>
    <t>พ 2.1 ป.6/1</t>
  </si>
  <si>
    <t>4. วิเคราะห์พฤติกรรมเสี่ยงที่อาจนำไปสู่การมีเพศสัมพันธ์ การติดเชื้อเอดส์และการตั้งครรภ์ก่อนวัยอันควร</t>
  </si>
  <si>
    <t>พ 2.1 ป.6/2</t>
  </si>
  <si>
    <t xml:space="preserve">5. แสดงทักษะการเคลื่อนไหวร่วมกับผู้อื่นในลักษณะแบบผลัดและแบบผสมผสานได้ตามลำดับทั้งแบบอยู่กับที่  </t>
  </si>
  <si>
    <t>พ 3.1 ป.6/1</t>
  </si>
  <si>
    <t>เคลื่อนที่  และใช้อุปกรณ์ประกอบ  และการเคลื่อนไหวประกอบเพลง</t>
  </si>
  <si>
    <t xml:space="preserve">6. จำแนกหลักการเคลื่อนไหวในเรื่องการรับแรง  การใช้แรง  และความสมดุลในการเคลื่อนไหวร่างกายในการเล่นเกม  </t>
  </si>
  <si>
    <t>พ 3.1 ป.6/2</t>
  </si>
  <si>
    <t>เล่นกีฬา  และนำผลมาปรับปรุง  เพิ่มพูนวิธีปฏิบัติของตนและผู้อื่น</t>
  </si>
  <si>
    <t>7. เล่นกีฬาไทย  กีฬาสากล  ประเภทบุคคลและประเภททีมได้อย่างละ 1 ชนิด</t>
  </si>
  <si>
    <t>พ 3.1 ป.6/3</t>
  </si>
  <si>
    <t>8. ใช้ทักษะกลไก เพื่อปรับปรุงเพิ่มพูนความสามารถของตนและผู้อื่นในการเล่นกีฬา</t>
  </si>
  <si>
    <t>พ 3.1 ป.6/4</t>
  </si>
  <si>
    <t>9. ร่วมกิจกรรมนันทนาการอย่างน้อย  1 กิจกรรม แล้วนำความรู้และหลักการที่ได้ไปใช้เป็นฐานการศึกษาหาความรู้</t>
  </si>
  <si>
    <t>พ 3.1 ป.6/5</t>
  </si>
  <si>
    <t>เรื่องอื่นๆ</t>
  </si>
  <si>
    <t>10. อธิบายประโยชน์และหลักการออกกำลังกายเพื่อสุขภาพ สมรรถภาพทางกาย และการสร้างเสริมบุคลิกภาพ</t>
  </si>
  <si>
    <t>พ 3.2 ป.6/1</t>
  </si>
  <si>
    <t>11. เล่นเกมที่ใช้ทักษะการวางแผนและ  สามารถเพิ่มพูนทักษะการออกกำลังกาย และเคลื่อนไหวอย่างเป็นระบบ</t>
  </si>
  <si>
    <t>พ 3.2 ป.6/2</t>
  </si>
  <si>
    <t>13. ปฏิบัติตามกฎ  กติกา  ตามชนิดกีฬาที่เล่นโดยคำนึงถึงความปลอดภัยของตนเองและผู้อื่น</t>
  </si>
  <si>
    <t>พ 3.2 ป.6/4</t>
  </si>
  <si>
    <t>14. จำแนกกลวิธีการรุก  การป้องกันและ นำไปใช้ในการเล่นกีฬา</t>
  </si>
  <si>
    <t>พ 3.2 ป.6/5</t>
  </si>
  <si>
    <t>15. เล่นเกมและกีฬาด้วยความสามัคคีและมีน้ำใจนักกีฬา</t>
  </si>
  <si>
    <t>พ 3.2 ป.6/6</t>
  </si>
  <si>
    <t>16. แสดงพฤติกรรมในการป้องกันและแก้ไขปัญหาสิ่งแวดล้อมที่มีผลต่อสุขภาพ</t>
  </si>
  <si>
    <t>พ 4.1 ป.6/1</t>
  </si>
  <si>
    <t>17. วิเคราะห์ผลกระทบที่เกิดจากการระบาดของโรคและเสนอแนวทางการป้องกันโรคติดต่อสำคัญที่พบในประเทศไทย</t>
  </si>
  <si>
    <t>พ 4.1 ป.6/2</t>
  </si>
  <si>
    <t>18. แสดงพฤติกรรมที่บ่งบอกถึงความรับผิดชอบต่อสุขภาพของส่วนรวม</t>
  </si>
  <si>
    <t>พ 4.1 ป.6/3</t>
  </si>
  <si>
    <t>19. สร้างเสริมและปรับปรุงสมรรถภาพทางกายเพื่อสุขภาพอย่างต่อเนื่อง</t>
  </si>
  <si>
    <t>พ 4.1 ป.6/4</t>
  </si>
  <si>
    <t>20. วิเคราะห์ผลกระทบจากความรุนแรง ของภัยธรรมชาติที่มีต่อร่างกาย จิตใจ   และสังคม</t>
  </si>
  <si>
    <t>พ 5.1 ป.6/1</t>
  </si>
  <si>
    <t xml:space="preserve">21. ระบุวิธีปฏิบัติตน เพื่อความปลอดภัย  จากธรรมชาติ </t>
  </si>
  <si>
    <t>พ 5.1 ป.6/2</t>
  </si>
  <si>
    <t>22. วิเคราะห์สาเหตุของการติดสารเสพติด และชักชวนให้ผู้อื่นหลีกเลี่ยงสารเสพติด</t>
  </si>
  <si>
    <t>พ 5.1 ป.6/3</t>
  </si>
  <si>
    <t>รายวิชา ศิลปะ ศ16101</t>
  </si>
  <si>
    <t>1.  ระบุสีคู่ตรงข้าม และอภิปรายเกี่ยวกับการใช้สีคู่ตรงข้ามในการถ่ายทอดความคิดและอารมณ์</t>
  </si>
  <si>
    <t>ศ 1.1 ป.6/1</t>
  </si>
  <si>
    <t>2.  อธิบายหลักการจัดขนาดสัดส่วนความสมดุลในการสร้างงานทัศนศิลป์</t>
  </si>
  <si>
    <t>ศ 1.1 ป.6/2</t>
  </si>
  <si>
    <t>3.  สร้างงานทัศนศิลป์จากรูปแบบ  2 มิติ เป็น3 มิติ โดยใช้หลักการ  ของแสงเงาและน้ำหนัก</t>
  </si>
  <si>
    <t>ศ 1.1 ป.6/3</t>
  </si>
  <si>
    <t>4. สร้างสรรค์งานปั้นโดยใช้หลักการเพิ่มและลด</t>
  </si>
  <si>
    <t>ศ 1.1 ป.6/4</t>
  </si>
  <si>
    <t>5. สร้างสรรค์งานทัศนศิลป์โดยใช้หลักการ ของรูปและพื้นที่ว่าง</t>
  </si>
  <si>
    <t>ศ 1.1 ป.6/5</t>
  </si>
  <si>
    <t>6. สร้างสรรค์งานทัศนศิลป์โดยใช้  สีคู่ตรงข้ามหลักการจัดขนาดสัดส่วน และความสมดุล</t>
  </si>
  <si>
    <t>ศ 1.1 ป.6/6</t>
  </si>
  <si>
    <t>7. สร้างงานทัศนศิลป์ บรรยายบทบาทของงานทัศนศิลป์ ที่สะท้อนชีวิตและสังคม</t>
  </si>
  <si>
    <t>8. บรรยายบทบาทของงานทัศนศิลป์ ที่สะท้อนชีวิตและสังคม</t>
  </si>
  <si>
    <t>ศ 1.2 ป.6/1</t>
  </si>
  <si>
    <t>9.  อภิปรายเกี่ยวกับอิทธิพลของความเชื่อความศรัทธาในศาสนาที่มีผลต่องานทัศนศิลป์ในท้องถิ่น</t>
  </si>
  <si>
    <t>ศ 1.2 ป.6/2</t>
  </si>
  <si>
    <t>10. ระบุ และบรรยายอิทธิพลทาวัฒนธรรมในท้องถิ่นที่มีผลต่อการสร้างงานทัศนศิลป์ของบุคคล</t>
  </si>
  <si>
    <t>ศ 1.2 ป.6/3</t>
  </si>
  <si>
    <t>11. บรรยายเพลงที่ฟัง โดยอาศัยองค์ประกอบดนตรีและศัพท์สังคีต</t>
  </si>
  <si>
    <t>ศ 2.1 ป.6/1</t>
  </si>
  <si>
    <t>12. จำแนกประเภทและบทบาทหน้าที่เครื่องดนตรีไทยและเครื่องดนตรีที่มาจากวัฒนธรรมต่าง ๆ</t>
  </si>
  <si>
    <t>ศ 2.1 ป.6/2</t>
  </si>
  <si>
    <t>13. อ่าน เขียนโน้ตสากลทำนองง่ายๆ</t>
  </si>
  <si>
    <t>ศ 2.1 ป.6/3</t>
  </si>
  <si>
    <t>14. ใช้เครื่องดนตรีบรรเลงประกอบ การร้องเพลง ด้นสด  ที่มีจังหวะ  และทำนองง่าย ๆ</t>
  </si>
  <si>
    <t>ศ 2.1 ป.6/4</t>
  </si>
  <si>
    <t>15. บรรยายความรู้สึกที่มีต่อดนตรี</t>
  </si>
  <si>
    <t>ศ 2.1 ป.6/5</t>
  </si>
  <si>
    <t>16. แสดงความคิดเห็นเกี่ยวกับทำนองจังหวะ การประสานเสียง และคุณภาพเสียงของเพลงที่ฟัง</t>
  </si>
  <si>
    <t>ศ 2.1 ป.6/6</t>
  </si>
  <si>
    <t xml:space="preserve">18. จำแนกดนตรีที่มาจากยุคสมัยที่ต่างกัน  </t>
  </si>
  <si>
    <t>ศ 2.2 ป.6/2</t>
  </si>
  <si>
    <t>19. อภิปรายอิทธิพลของวัฒนธรรมต่อดนตรีในท้องถิ่น</t>
  </si>
  <si>
    <t>ศ 2.2 ป.6/3</t>
  </si>
  <si>
    <t>20. สร้างสรรค์การเคลื่อนไหวและการแสดงโดยเน้นการถ่ายทอดลีลาหรืออารมณ์</t>
  </si>
  <si>
    <t>ศ 3.1 ป.6/1</t>
  </si>
  <si>
    <t xml:space="preserve">21. ออกแบบเครื่องแต่งกาย หรืออุปกรณ์ประกอบการแสดงอย่างง่าย </t>
  </si>
  <si>
    <t>ศ 3.1 ป.6/2</t>
  </si>
  <si>
    <t>22. แสดงนาฏศิลป์และละครง่าย ๆ</t>
  </si>
  <si>
    <t>ศ 3.1 ป.6/3</t>
  </si>
  <si>
    <t>23. บรรยายความรู้สึกของตนเองที่มีต่องานนาฏศิลป์และการละครอย่างสร้างสรรค์</t>
  </si>
  <si>
    <t>ศ 3.1 ป.6/4</t>
  </si>
  <si>
    <t>24. แสดงความคิดเห็นในการชมการแสดง</t>
  </si>
  <si>
    <t>ศ 3.1 ป.6/5</t>
  </si>
  <si>
    <t>25. อธิบายความสัมพันธ์ระหว่างนาฏศิลป์และการละครกับสิ่งที่ประสบ ในชีวิตประจำวัน</t>
  </si>
  <si>
    <t>ศ 3.1 ป.6/6</t>
  </si>
  <si>
    <t>26. อธิบายสิ่งที่มีความสำคัญต่อการแสดงนาฏศิลป์และละคร</t>
  </si>
  <si>
    <t>ศ 3.2 ป.6/1</t>
  </si>
  <si>
    <t>27. ระบุประโยชน์ที่ได้รับจากการแสดงหรือการชมการแสดงนาฏศิลป์และละคร</t>
  </si>
  <si>
    <t>ศ 3.2 ป.6/2</t>
  </si>
  <si>
    <t>รายวิชา การงานอาชีพ ง16101</t>
  </si>
  <si>
    <t>1. อภิปรายแนวทางในการทำงานและปรับปรุงการทำงานแต่ละขั้นตอน</t>
  </si>
  <si>
    <t>ง 1.1 ป.6/1</t>
  </si>
  <si>
    <t>2. ใช้ทักษะการจัดการในการทำงาน และมีทักษะการทำงานร่วมกัน</t>
  </si>
  <si>
    <t>ง 1.1 ป.6/2</t>
  </si>
  <si>
    <t>3. ปฏิบัติตนอย่างมีมารยาทในการทำงานกับครอบครัวและผู้อื่น</t>
  </si>
  <si>
    <t>ง 1.1 ป.6/3</t>
  </si>
  <si>
    <t>4.  สำรวจตนเองเพื่อวางแผนในการเลือกอาชีพ</t>
  </si>
  <si>
    <t>ง 2.1 ป.6/1</t>
  </si>
  <si>
    <t>5. ระบุความรู้  ความสามารถและคุณธรรมที่สัมพันธ์กับอาชีพที่สนใจ</t>
  </si>
  <si>
    <t>ง 2.1 ป.6/2</t>
  </si>
  <si>
    <t>รายวิชา ภาษาอังกฤษ อ16101</t>
  </si>
  <si>
    <t>ปฏิบัติตามคำสั่ง คำขอร้อง และคำแนะนำที่ฟัง และอ่าน</t>
  </si>
  <si>
    <t>ต 1.1 ป. 6/1</t>
  </si>
  <si>
    <t>อ่านออกข้อความ นิทาน และบทกลอนสั้นๆ ถูกต้องตามหลักการอ่าน</t>
  </si>
  <si>
    <t>ต 1.1 ป. 6/2</t>
  </si>
  <si>
    <t>เลือก/ระบุประโยค หรือข้อความสั้นๆตรงกับภาพ สัญลักษณ์ หรือเครื่องหมายที่อ่าน</t>
  </si>
  <si>
    <t>ต 1.1 ป. 6/3</t>
  </si>
  <si>
    <t>บอกใจความสำคัญและตอบคำถาม จากการฟังและอ่านบทสนทนา นิทานง่ายๆ และเรื่องเล่า</t>
  </si>
  <si>
    <t>ต 1.1 ป. 6/4</t>
  </si>
  <si>
    <t>พูด/เขียนโต้ตอบในการสื่อสารระหว่างบุคคล</t>
  </si>
  <si>
    <t>ต 1.2 ป. 6/1</t>
  </si>
  <si>
    <t>ใช้คำสั่ง คำขอร้อง คำขออนุญาต และให้คำแนะนำ</t>
  </si>
  <si>
    <t>ต 1.2 ป. 6/2</t>
  </si>
  <si>
    <t>พูด/เขียนแสดงความต้องการ ขอความช่วยเหลือ ตอบรับและปฏิเสธการให้ความช่วยเหลือในสถานการณ์ง่าย ๆ</t>
  </si>
  <si>
    <t>ต 1.2 ป. 6/3</t>
  </si>
  <si>
    <t>พูดและเขียนเพื่อขอและให้ข้อมูล เกี่ยวกับตนเอง เพื่อน ครอบครัว และเรื่องใกล้ตัว</t>
  </si>
  <si>
    <t>ต 1.2 ป. 6/4</t>
  </si>
  <si>
    <t>พูด/เขียนแสดงความรู้สึกของตนเองเกี่ยวกับเรื่องต่างๆ ใกล้ตัว กิจกรรมต่างๆ พร้อมทั้งให้เหตุผลสั้นๆ ประกอบ</t>
  </si>
  <si>
    <t>ต 1.2 ป. 6/5</t>
  </si>
  <si>
    <t>พูด/เขียนให้ข้อมูลเกี่ยวกับตนเอง  เพื่อน และสิ่งแวดล้อมใกล้ตัว</t>
  </si>
  <si>
    <t>ต 1.3 ป. 6/1</t>
  </si>
  <si>
    <t>เขียนภาพ แผนผัง แผนภูมิและตารางแสดงข้อมูลต่างๆ ที่ฟัง หรืออ่าน</t>
  </si>
  <si>
    <t>ต 1.3 ป.6/2</t>
  </si>
  <si>
    <t>พูด/ เขียนแสดงความคิดเห็นเกี่ยวกับเรื่องต่างๆใกล้ตัว</t>
  </si>
  <si>
    <t>ต 1.3 ป.6/3</t>
  </si>
  <si>
    <t>ใช้ถ้อยคำ น้ำเสียง และกิริยาท่าทางอย่างสุภาพ เหมาะสมตามมารยาท สังคมและวัฒนธรรมของเจ้าของ</t>
  </si>
  <si>
    <t>ต 2.1 ป. 6/1</t>
  </si>
  <si>
    <t>ภาษา</t>
  </si>
  <si>
    <t>ให้ข้อมูลเกี่ยวกับเทศกาล/ วันสำคัญ/ งานฉลอง/ ชีวิตความเป็นอยู่ของเจ้าของภาษา</t>
  </si>
  <si>
    <t>ต 2.1 ป. 6/2</t>
  </si>
  <si>
    <t xml:space="preserve">บอกความเหมือน/ ความแตกต่าง ระหว่างการออกเสียงประโยคชนิดต่างๆ การใช้เครื่องหมายวรรคตอน </t>
  </si>
  <si>
    <t>ต 2.2 ป. 6/1</t>
  </si>
  <si>
    <t>และการลำดับคำตามโครงสร้างประโยคขอภาษาต่างประเทศและภาษาไทย</t>
  </si>
  <si>
    <t>เปรียบเทียบความเหมือน/ ความแตกต่างระหว่างเทศกาล งานฉลองและประเพณีของเจ้าของภาษากับของไทย</t>
  </si>
  <si>
    <t>ต 2.2 ป. 6/2</t>
  </si>
  <si>
    <t xml:space="preserve">ค้นคว้า รวบรวมคำศัพท์ที่เกี่ยวข้องกับกลุ่มสาระการเรียนรู้อื่นจากแหล่งการเรียนรู้และนำเสนอด้วยการพูด/ </t>
  </si>
  <si>
    <t>ต 3.1 ป. 6/1</t>
  </si>
  <si>
    <t>การเขียน</t>
  </si>
  <si>
    <t>ใช้ภาษาสื่อสารในสถานการณ์ต่างๆ ที่เกิดขึ้นในห้องเรียนและสถานศึกษา</t>
  </si>
  <si>
    <t>ต 4.1 ป. 6/1</t>
  </si>
  <si>
    <t>ใช้ภาษาต่างประเทศในการสืบค้นและรวบรวมข้อมูลต่างๆ</t>
  </si>
  <si>
    <t>ต 4.2 ป. 6/1</t>
  </si>
  <si>
    <t>(นาอุราพร  ธุระแพง  )</t>
  </si>
  <si>
    <t>(นางเจษฎา  คำปัญโญ)</t>
  </si>
  <si>
    <t>วันที่ 31  เดือน  มีนาคม  พ.ศ. 2568</t>
  </si>
  <si>
    <t>(นางขวัญจิต  สุวรรณคุณ)</t>
  </si>
  <si>
    <t>ระดับชั้นประถมศึกษาปีที่ 6  ปีการศึกษา  2567  โรงเรียนบ้านขัวก่าย</t>
  </si>
  <si>
    <t>รายวิชา คอมพิวเตอร์  (ว16201)</t>
  </si>
  <si>
    <t>ป้องกันการทุจริต</t>
  </si>
  <si>
    <t>เด็กชายกฤษดา  บัวศรี</t>
  </si>
  <si>
    <t>เด็กชายจิรายุ  ดอบุตร</t>
  </si>
  <si>
    <t>เด็กชายจิรายุ  เนตรสว่าง</t>
  </si>
  <si>
    <t>เด็กชายจีรภัทร  คันธมาตย์</t>
  </si>
  <si>
    <t>เด็กชายปรวัฒน์  โพธิ์ศรี</t>
  </si>
  <si>
    <t>เด็กชายพีรภาพ  วงคำใหญ่</t>
  </si>
  <si>
    <t>เด็กหญิงกมลรัตน์  แสดคง</t>
  </si>
  <si>
    <t>เด็กหญิงกัลยรัตน์  ทึงสุข</t>
  </si>
  <si>
    <t>เด็กหญิงนิตยา  พละโท</t>
  </si>
  <si>
    <t>เด็กหญิงบัณฑิตา  เบ้าพงษ์</t>
  </si>
  <si>
    <t>เด็กหญิงพัชรกัญญ์  บาลนาคม</t>
  </si>
  <si>
    <t>เด็กหญิงสุวิชาดา  ชูจิตร</t>
  </si>
  <si>
    <t>เด็กหญิงปุญญิศา  อุปทุม</t>
  </si>
  <si>
    <t>รายวิชา ภาษาไทย  (ท15101)</t>
  </si>
  <si>
    <t>ว15201</t>
  </si>
  <si>
    <t>คอมพิวเตอร์</t>
  </si>
  <si>
    <t>ศ15201</t>
  </si>
  <si>
    <t>ดนตรี</t>
  </si>
  <si>
    <t>ชั้นประถมศึกษาปีที่ 6  ปีการศึกษา 2568</t>
  </si>
  <si>
    <t>ท15101</t>
  </si>
  <si>
    <t>ค15101</t>
  </si>
  <si>
    <t>ว15101</t>
  </si>
  <si>
    <t>ส15101</t>
  </si>
  <si>
    <t>ส15102</t>
  </si>
  <si>
    <t>พ15101</t>
  </si>
  <si>
    <t>ศ15101</t>
  </si>
  <si>
    <t>ง15101</t>
  </si>
  <si>
    <t>อ15101</t>
  </si>
  <si>
    <t>ส15201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</si>
</sst>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-0000\-00000\-00\-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sz val="12"/>
      <color theme="1"/>
      <name val="TH SarabunPSK"/>
      <family val="2"/>
    </font>
    <font>
      <sz val="14"/>
      <color theme="1"/>
      <name val="TH SarabunPSK"/>
      <family val="2"/>
    </font>
    <font>
      <sz val="16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theme="1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4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2"/>
      <name val="TH SarabunPSK"/>
      <family val="2"/>
    </font>
    <font>
      <b/>
      <sz val="11"/>
      <name val="TH SarabunPSK"/>
      <family val="2"/>
    </font>
    <font>
      <sz val="11"/>
      <name val="TH SarabunPSK"/>
      <family val="2"/>
    </font>
    <font>
      <sz val="12"/>
      <name val="TH SarabunPSK"/>
      <family val="2"/>
    </font>
    <font>
      <sz val="11"/>
      <name val="TH SarabunPSK"/>
      <family val="2"/>
      <charset val="238"/>
    </font>
    <font>
      <sz val="14"/>
      <name val="TH SarabunPSK"/>
      <family val="2"/>
      <charset val="238"/>
    </font>
    <font>
      <b/>
      <sz val="16"/>
      <name val="TH SarabunPSK"/>
      <family val="2"/>
      <charset val="238"/>
    </font>
    <font>
      <b/>
      <sz val="14"/>
      <name val="TH SarabunPSK"/>
      <family val="2"/>
      <charset val="238"/>
    </font>
    <font>
      <b/>
      <sz val="20"/>
      <name val="TH SarabunPSK"/>
      <family val="2"/>
      <charset val="238"/>
    </font>
    <font>
      <sz val="16"/>
      <name val="TH SarabunPSK"/>
      <family val="2"/>
      <charset val="238"/>
    </font>
    <font>
      <b/>
      <sz val="18"/>
      <name val="TH SarabunPSK"/>
      <family val="2"/>
      <charset val="238"/>
    </font>
    <font>
      <sz val="8"/>
      <name val="Calibri"/>
      <family val="2"/>
      <scheme val="minor"/>
    </font>
    <font>
      <sz val="16"/>
      <color rgb="FF000000"/>
      <name val="TH SarabunPSK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1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textRotation="90"/>
    </xf>
    <xf numFmtId="0" fontId="4" fillId="0" borderId="8" xfId="0" applyFont="1" applyBorder="1" applyAlignment="1">
      <alignment textRotation="90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left" vertical="center"/>
    </xf>
    <xf numFmtId="0" fontId="12" fillId="3" borderId="34" xfId="0" applyFont="1" applyFill="1" applyBorder="1" applyAlignment="1">
      <alignment horizontal="center"/>
    </xf>
    <xf numFmtId="0" fontId="12" fillId="3" borderId="35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0" fontId="12" fillId="3" borderId="37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left" vertical="center"/>
    </xf>
    <xf numFmtId="0" fontId="12" fillId="3" borderId="3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3" borderId="25" xfId="0" applyFont="1" applyFill="1" applyBorder="1" applyAlignment="1">
      <alignment textRotation="90"/>
    </xf>
    <xf numFmtId="0" fontId="12" fillId="3" borderId="26" xfId="0" applyFont="1" applyFill="1" applyBorder="1" applyAlignment="1">
      <alignment textRotation="90"/>
    </xf>
    <xf numFmtId="0" fontId="12" fillId="3" borderId="27" xfId="0" applyFont="1" applyFill="1" applyBorder="1" applyAlignment="1">
      <alignment textRotation="90"/>
    </xf>
    <xf numFmtId="0" fontId="12" fillId="3" borderId="24" xfId="0" applyFont="1" applyFill="1" applyBorder="1" applyAlignment="1">
      <alignment textRotation="90"/>
    </xf>
    <xf numFmtId="0" fontId="12" fillId="2" borderId="14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0" fillId="2" borderId="32" xfId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16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/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/>
    <xf numFmtId="0" fontId="13" fillId="0" borderId="0" xfId="0" applyFont="1"/>
    <xf numFmtId="1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22" fillId="0" borderId="0" xfId="0" applyFont="1"/>
    <xf numFmtId="164" fontId="11" fillId="0" borderId="0" xfId="0" applyNumberFormat="1" applyFont="1" applyAlignment="1">
      <alignment horizontal="center"/>
    </xf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2" fillId="0" borderId="4" xfId="0" applyFont="1" applyBorder="1"/>
    <xf numFmtId="0" fontId="22" fillId="0" borderId="4" xfId="0" applyFont="1" applyBorder="1" applyAlignment="1">
      <alignment horizontal="center"/>
    </xf>
    <xf numFmtId="0" fontId="7" fillId="0" borderId="0" xfId="0" applyFont="1"/>
    <xf numFmtId="0" fontId="4" fillId="0" borderId="41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22" fillId="2" borderId="32" xfId="0" applyNumberFormat="1" applyFont="1" applyFill="1" applyBorder="1" applyAlignment="1">
      <alignment horizontal="center"/>
    </xf>
    <xf numFmtId="2" fontId="22" fillId="2" borderId="38" xfId="0" applyNumberFormat="1" applyFont="1" applyFill="1" applyBorder="1" applyAlignment="1">
      <alignment horizontal="center"/>
    </xf>
    <xf numFmtId="2" fontId="4" fillId="2" borderId="38" xfId="0" applyNumberFormat="1" applyFont="1" applyFill="1" applyBorder="1" applyAlignment="1">
      <alignment horizontal="center"/>
    </xf>
    <xf numFmtId="2" fontId="4" fillId="2" borderId="52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16" xfId="0" applyFont="1" applyBorder="1"/>
    <xf numFmtId="0" fontId="2" fillId="0" borderId="17" xfId="0" applyFont="1" applyBorder="1"/>
    <xf numFmtId="0" fontId="3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11" fillId="0" borderId="0" xfId="0" applyFont="1"/>
    <xf numFmtId="0" fontId="5" fillId="2" borderId="1" xfId="0" applyFont="1" applyFill="1" applyBorder="1" applyAlignment="1">
      <alignment horizontal="right" vertical="center"/>
    </xf>
    <xf numFmtId="0" fontId="12" fillId="3" borderId="14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textRotation="90"/>
    </xf>
    <xf numFmtId="0" fontId="3" fillId="0" borderId="1" xfId="0" applyFont="1" applyBorder="1" applyAlignment="1">
      <alignment horizontal="left"/>
    </xf>
    <xf numFmtId="0" fontId="4" fillId="0" borderId="46" xfId="0" applyFont="1" applyBorder="1" applyAlignment="1">
      <alignment horizontal="center"/>
    </xf>
    <xf numFmtId="0" fontId="4" fillId="0" borderId="16" xfId="0" applyFont="1" applyBorder="1" applyAlignment="1">
      <alignment vertical="center" wrapText="1"/>
    </xf>
    <xf numFmtId="0" fontId="3" fillId="0" borderId="20" xfId="0" applyFont="1" applyBorder="1"/>
    <xf numFmtId="0" fontId="3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49" fontId="9" fillId="0" borderId="57" xfId="0" applyNumberFormat="1" applyFont="1" applyBorder="1" applyAlignment="1">
      <alignment horizontal="center"/>
    </xf>
    <xf numFmtId="49" fontId="9" fillId="0" borderId="58" xfId="0" applyNumberFormat="1" applyFont="1" applyBorder="1" applyAlignment="1">
      <alignment horizontal="center"/>
    </xf>
    <xf numFmtId="165" fontId="9" fillId="0" borderId="59" xfId="0" applyNumberFormat="1" applyFont="1" applyBorder="1" applyAlignment="1">
      <alignment horizontal="center"/>
    </xf>
    <xf numFmtId="49" fontId="9" fillId="0" borderId="60" xfId="0" applyNumberFormat="1" applyFont="1" applyBorder="1" applyAlignment="1">
      <alignment horizontal="center"/>
    </xf>
    <xf numFmtId="49" fontId="9" fillId="0" borderId="59" xfId="0" applyNumberFormat="1" applyFont="1" applyBorder="1" applyAlignment="1">
      <alignment horizontal="center"/>
    </xf>
    <xf numFmtId="0" fontId="9" fillId="0" borderId="61" xfId="0" applyFont="1" applyBorder="1" applyAlignment="1">
      <alignment horizontal="left"/>
    </xf>
    <xf numFmtId="0" fontId="9" fillId="0" borderId="62" xfId="0" applyFont="1" applyBorder="1" applyAlignment="1">
      <alignment horizontal="left"/>
    </xf>
    <xf numFmtId="0" fontId="3" fillId="0" borderId="17" xfId="0" applyFont="1" applyBorder="1" applyAlignment="1">
      <alignment vertical="center" wrapText="1"/>
    </xf>
    <xf numFmtId="0" fontId="2" fillId="0" borderId="15" xfId="0" applyFont="1" applyBorder="1"/>
    <xf numFmtId="0" fontId="2" fillId="0" borderId="18" xfId="0" applyFont="1" applyBorder="1" applyAlignment="1">
      <alignment vertical="center" wrapText="1"/>
    </xf>
    <xf numFmtId="0" fontId="2" fillId="0" borderId="13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3" fillId="0" borderId="15" xfId="0" applyFont="1" applyBorder="1"/>
    <xf numFmtId="0" fontId="4" fillId="0" borderId="3" xfId="0" applyFont="1" applyBorder="1" applyAlignment="1">
      <alignment textRotation="90"/>
    </xf>
    <xf numFmtId="0" fontId="3" fillId="2" borderId="0" xfId="0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4" fillId="0" borderId="6" xfId="0" applyFont="1" applyBorder="1" applyAlignment="1">
      <alignment textRotation="90"/>
    </xf>
    <xf numFmtId="0" fontId="11" fillId="3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25" fillId="3" borderId="63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56" xfId="0" applyFont="1" applyFill="1" applyBorder="1" applyAlignment="1">
      <alignment horizontal="center" vertical="center"/>
    </xf>
    <xf numFmtId="0" fontId="25" fillId="3" borderId="40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43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4" fillId="0" borderId="45" xfId="0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22" fillId="0" borderId="33" xfId="0" applyFont="1" applyBorder="1" applyAlignment="1">
      <alignment horizontal="center" wrapText="1"/>
    </xf>
    <xf numFmtId="0" fontId="22" fillId="0" borderId="52" xfId="0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9" fillId="0" borderId="4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49" xfId="0" applyFont="1" applyBorder="1" applyAlignment="1">
      <alignment horizontal="left"/>
    </xf>
    <xf numFmtId="0" fontId="9" fillId="0" borderId="43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3" fillId="0" borderId="1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2" borderId="55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16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7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7" xfId="0" applyFont="1" applyBorder="1" applyAlignment="1">
      <alignment horizontal="left"/>
    </xf>
    <xf numFmtId="0" fontId="11" fillId="3" borderId="1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 textRotation="90"/>
    </xf>
    <xf numFmtId="0" fontId="12" fillId="3" borderId="28" xfId="0" applyFont="1" applyFill="1" applyBorder="1" applyAlignment="1">
      <alignment horizontal="center" vertical="center" textRotation="90"/>
    </xf>
    <xf numFmtId="0" fontId="12" fillId="3" borderId="13" xfId="0" applyFont="1" applyFill="1" applyBorder="1" applyAlignment="1">
      <alignment horizontal="center" vertical="center" textRotation="90"/>
    </xf>
    <xf numFmtId="0" fontId="12" fillId="3" borderId="18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2" fontId="4" fillId="2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textRotation="90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1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0" xfId="0" applyFont="1" applyBorder="1"/>
    <xf numFmtId="0" fontId="17" fillId="0" borderId="1" xfId="0" applyFont="1" applyBorder="1" applyAlignment="1">
      <alignment horizontal="left" vertical="center"/>
    </xf>
  </cellXfs>
  <cellStyles count="2">
    <cellStyle name="Normal" xfId="0" builtinId="0"/>
    <cellStyle name="ปกติ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289460</xdr:colOff>
      <xdr:row>0</xdr:row>
      <xdr:rowOff>0</xdr:rowOff>
    </xdr:from>
    <xdr:to>
      <xdr:col>8</xdr:col>
      <xdr:colOff>99218</xdr:colOff>
      <xdr:row>4</xdr:row>
      <xdr:rowOff>99218</xdr:rowOff>
    </xdr:to>
    <xdr:pic>
      <xdr:nvPicPr>
        <xdr:cNvPr id="8" name="รูปภาพ 7" descr="ข้อมูลพื้นฐาน โรงเรียนบ้านขัวก่าย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38" t="17789" r="20510" b="31068"/>
        <a:stretch/>
      </xdr:blipFill>
      <xdr:spPr bwMode="auto">
        <a:xfrm>
          <a:off x="2769929" y="0"/>
          <a:ext cx="1298039" cy="101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view="pageLayout" topLeftCell="A14" zoomScale="96" zoomScaleNormal="100" zoomScaleSheetLayoutView="96" zoomScalePageLayoutView="96" workbookViewId="0">
      <selection activeCell="D30" sqref="D30"/>
    </sheetView>
  </sheetViews>
  <sheetFormatPr baseColWidth="10" defaultColWidth="9" defaultRowHeight="24" x14ac:dyDescent="0.4"/>
  <cols>
    <col min="1" max="12" width="6.5" style="1" customWidth="1"/>
    <col min="13" max="15" width="8.1640625" style="1" customWidth="1"/>
    <col min="16" max="16384" width="9" style="1"/>
  </cols>
  <sheetData>
    <row r="1" spans="1:19" s="81" customFormat="1" ht="18" customHeight="1" x14ac:dyDescent="0.4">
      <c r="A1" s="84"/>
      <c r="B1" s="84"/>
      <c r="C1" s="84"/>
      <c r="D1" s="84"/>
      <c r="E1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5"/>
      <c r="S1" s="84"/>
    </row>
    <row r="2" spans="1:19" s="81" customFormat="1" ht="18" customHeight="1" x14ac:dyDescent="0.4">
      <c r="A2" s="84"/>
      <c r="B2" s="84"/>
      <c r="C2" s="84"/>
      <c r="D2" s="84"/>
      <c r="E2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5"/>
      <c r="S2" s="84"/>
    </row>
    <row r="3" spans="1:19" s="81" customFormat="1" ht="18" customHeight="1" x14ac:dyDescent="0.4">
      <c r="A3" s="84"/>
      <c r="B3" s="84"/>
      <c r="C3" s="84"/>
      <c r="D3" s="84"/>
      <c r="E3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5"/>
      <c r="S3" s="84"/>
    </row>
    <row r="4" spans="1:19" s="81" customFormat="1" ht="18" customHeight="1" x14ac:dyDescent="0.4">
      <c r="A4" s="84"/>
      <c r="B4" s="84"/>
      <c r="C4" s="84"/>
      <c r="D4" s="84"/>
      <c r="E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5"/>
      <c r="S4" s="84"/>
    </row>
    <row r="5" spans="1:19" ht="30" x14ac:dyDescent="0.5">
      <c r="A5" s="170" t="s">
        <v>194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91"/>
      <c r="O5" s="91"/>
      <c r="P5" s="91"/>
      <c r="Q5" s="91"/>
      <c r="R5" s="91"/>
      <c r="S5" s="91"/>
    </row>
    <row r="6" spans="1:19" x14ac:dyDescent="0.4">
      <c r="A6" s="169" t="s">
        <v>199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86"/>
      <c r="O6" s="86"/>
      <c r="P6" s="86"/>
      <c r="Q6" s="86"/>
      <c r="R6" s="86"/>
      <c r="S6" s="86"/>
    </row>
    <row r="7" spans="1:19" x14ac:dyDescent="0.4">
      <c r="A7" s="169" t="s">
        <v>200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86"/>
      <c r="O7" s="86"/>
      <c r="P7" s="86"/>
      <c r="Q7" s="86"/>
      <c r="R7" s="86"/>
      <c r="S7" s="86"/>
    </row>
    <row r="8" spans="1:19" x14ac:dyDescent="0.4">
      <c r="A8" s="169" t="s">
        <v>195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86"/>
      <c r="O8" s="86"/>
      <c r="P8" s="86"/>
      <c r="Q8" s="86"/>
      <c r="R8" s="86"/>
      <c r="S8" s="86"/>
    </row>
    <row r="9" spans="1:19" ht="27" x14ac:dyDescent="0.45">
      <c r="A9" s="182" t="s">
        <v>690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86"/>
      <c r="O9" s="86"/>
      <c r="P9" s="86"/>
      <c r="Q9" s="86"/>
      <c r="R9" s="86"/>
      <c r="S9" s="86"/>
    </row>
    <row r="10" spans="1:19" ht="25" thickBot="1" x14ac:dyDescent="0.45">
      <c r="A10" s="86" t="s">
        <v>201</v>
      </c>
      <c r="B10" s="86"/>
      <c r="C10" s="86"/>
      <c r="D10" s="84"/>
      <c r="F10" s="84"/>
      <c r="G10" s="65"/>
      <c r="H10" s="86"/>
      <c r="I10" s="87"/>
      <c r="J10" s="87"/>
      <c r="K10" s="87"/>
      <c r="L10" s="86"/>
      <c r="M10" s="87"/>
      <c r="N10" s="87"/>
      <c r="O10" s="87"/>
      <c r="P10" s="88"/>
      <c r="Q10" s="89"/>
      <c r="R10" s="84"/>
      <c r="S10" s="84"/>
    </row>
    <row r="11" spans="1:19" ht="20.25" customHeight="1" thickBot="1" x14ac:dyDescent="0.45">
      <c r="A11" s="191" t="s">
        <v>196</v>
      </c>
      <c r="B11" s="192"/>
      <c r="C11" s="193"/>
      <c r="D11" s="203" t="s">
        <v>197</v>
      </c>
      <c r="E11" s="177" t="s">
        <v>202</v>
      </c>
      <c r="F11" s="178"/>
      <c r="G11" s="178"/>
      <c r="H11" s="178"/>
      <c r="I11" s="178"/>
      <c r="J11" s="178"/>
      <c r="K11" s="178"/>
      <c r="L11" s="179"/>
      <c r="M11" s="180" t="s">
        <v>56</v>
      </c>
      <c r="N11" s="87"/>
      <c r="O11" s="87"/>
      <c r="P11" s="84"/>
      <c r="Q11" s="84"/>
      <c r="R11" s="84"/>
      <c r="S11" s="84"/>
    </row>
    <row r="12" spans="1:19" ht="20.25" customHeight="1" thickBot="1" x14ac:dyDescent="0.45">
      <c r="A12" s="194"/>
      <c r="B12" s="195"/>
      <c r="C12" s="196"/>
      <c r="D12" s="204"/>
      <c r="E12" s="100">
        <v>0</v>
      </c>
      <c r="F12" s="101">
        <v>1</v>
      </c>
      <c r="G12" s="102">
        <v>1.5</v>
      </c>
      <c r="H12" s="102">
        <v>2</v>
      </c>
      <c r="I12" s="102">
        <v>2.5</v>
      </c>
      <c r="J12" s="102">
        <v>3</v>
      </c>
      <c r="K12" s="102">
        <v>3.5</v>
      </c>
      <c r="L12" s="103">
        <v>4</v>
      </c>
      <c r="M12" s="181"/>
      <c r="N12" s="87"/>
      <c r="O12" s="87"/>
      <c r="P12" s="84"/>
      <c r="Q12" s="84"/>
      <c r="R12" s="84"/>
      <c r="S12" s="84"/>
    </row>
    <row r="13" spans="1:19" ht="20.25" customHeight="1" x14ac:dyDescent="0.4">
      <c r="A13" s="197" t="s">
        <v>47</v>
      </c>
      <c r="B13" s="198"/>
      <c r="C13" s="199"/>
      <c r="D13" s="132" t="s">
        <v>691</v>
      </c>
      <c r="E13" s="107">
        <f>COUNTIF('เกรดรวม59-60'!$T$6:$T$34,E12)</f>
        <v>0</v>
      </c>
      <c r="F13" s="107">
        <f>COUNTIF('เกรดรวม59-60'!$T$6:$T$34,F12)</f>
        <v>0</v>
      </c>
      <c r="G13" s="107">
        <f>COUNTIF('เกรดรวม59-60'!$T$6:$T$34,G12)</f>
        <v>0</v>
      </c>
      <c r="H13" s="107">
        <f>COUNTIF('เกรดรวม59-60'!$T$6:$T$34,H12)</f>
        <v>0</v>
      </c>
      <c r="I13" s="107">
        <f>COUNTIF('เกรดรวม59-60'!$T$6:$T$34,I12)</f>
        <v>0</v>
      </c>
      <c r="J13" s="107">
        <f>COUNTIF('เกรดรวม59-60'!$T$6:$T$34,J12)</f>
        <v>3</v>
      </c>
      <c r="K13" s="107">
        <f>COUNTIF('เกรดรวม59-60'!$T$6:$T$34,K12)</f>
        <v>3</v>
      </c>
      <c r="L13" s="107">
        <f>COUNTIF('เกรดรวม59-60'!$T$6:$T$34,L12)</f>
        <v>7</v>
      </c>
      <c r="M13" s="108">
        <f>((E13*0)+(F13*1)+(G13*1.5)+(H13*2)+(I13*2.5)+(J13*3)+(K13*3.5)+(L13*4))/(E13+F13+G13+H13+I13+J13+K13+L13)</f>
        <v>3.6538461538461537</v>
      </c>
      <c r="N13" s="87"/>
      <c r="O13" s="87"/>
      <c r="P13" s="84"/>
      <c r="Q13" s="84"/>
      <c r="R13" s="84"/>
      <c r="S13" s="84"/>
    </row>
    <row r="14" spans="1:19" ht="20.25" customHeight="1" x14ac:dyDescent="0.4">
      <c r="A14" s="200" t="s">
        <v>48</v>
      </c>
      <c r="B14" s="201"/>
      <c r="C14" s="202"/>
      <c r="D14" s="133" t="s">
        <v>692</v>
      </c>
      <c r="E14" s="107">
        <f>COUNTIF('เกรดรวม59-60'!$U$6:$U$34,E12)</f>
        <v>0</v>
      </c>
      <c r="F14" s="107">
        <f>COUNTIF('เกรดรวม59-60'!$U$6:$U$34,F12)</f>
        <v>0</v>
      </c>
      <c r="G14" s="107">
        <f>COUNTIF('เกรดรวม59-60'!$U$6:$U$34,G12)</f>
        <v>0</v>
      </c>
      <c r="H14" s="107">
        <f>COUNTIF('เกรดรวม59-60'!$U$6:$U$34,H12)</f>
        <v>0</v>
      </c>
      <c r="I14" s="107">
        <f>COUNTIF('เกรดรวม59-60'!$U$6:$U$34,I12)</f>
        <v>0</v>
      </c>
      <c r="J14" s="107">
        <f>COUNTIF('เกรดรวม59-60'!$U$6:$U$34,J12)</f>
        <v>3</v>
      </c>
      <c r="K14" s="107">
        <f>COUNTIF('เกรดรวม59-60'!$U$6:$U$34,K12)</f>
        <v>2</v>
      </c>
      <c r="L14" s="107">
        <f>COUNTIF('เกรดรวม59-60'!$U$6:$U$34,L12)</f>
        <v>8</v>
      </c>
      <c r="M14" s="109">
        <f t="shared" ref="M14:M22" si="0">((E14*0)+(F14*1)+(G14*1.5)+(H14*2)+(I14*2.5)+(J14*3)+(K14*3.5)+(L14*4))/(E14+F14+G14+H14+I14+J14+K14+L14)</f>
        <v>3.6923076923076925</v>
      </c>
      <c r="N14" s="87"/>
      <c r="O14" s="87"/>
      <c r="P14" s="84"/>
      <c r="Q14" s="84"/>
      <c r="R14" s="84"/>
      <c r="S14" s="84"/>
    </row>
    <row r="15" spans="1:19" ht="20.25" customHeight="1" x14ac:dyDescent="0.4">
      <c r="A15" s="171" t="s">
        <v>245</v>
      </c>
      <c r="B15" s="172"/>
      <c r="C15" s="173"/>
      <c r="D15" s="98" t="s">
        <v>693</v>
      </c>
      <c r="E15" s="107">
        <f>COUNTIF('เกรดรวม59-60'!$V$6:$V$34,E12)</f>
        <v>0</v>
      </c>
      <c r="F15" s="107">
        <f>COUNTIF('เกรดรวม59-60'!$V$6:$V$34,F12)</f>
        <v>0</v>
      </c>
      <c r="G15" s="107">
        <f>COUNTIF('เกรดรวม59-60'!$V$6:$V$34,G12)</f>
        <v>0</v>
      </c>
      <c r="H15" s="107">
        <f>COUNTIF('เกรดรวม59-60'!$V$6:$V$34,H12)</f>
        <v>0</v>
      </c>
      <c r="I15" s="107">
        <f>COUNTIF('เกรดรวม59-60'!$V$6:$V$34,I12)</f>
        <v>1</v>
      </c>
      <c r="J15" s="107">
        <f>COUNTIF('เกรดรวม59-60'!$V$6:$V$34,J12)</f>
        <v>5</v>
      </c>
      <c r="K15" s="107">
        <f>COUNTIF('เกรดรวม59-60'!$V$6:$V$34,K12)</f>
        <v>1</v>
      </c>
      <c r="L15" s="107">
        <f>COUNTIF('เกรดรวม59-60'!$V$6:$V$34,L12)</f>
        <v>6</v>
      </c>
      <c r="M15" s="110">
        <f t="shared" si="0"/>
        <v>3.4615384615384617</v>
      </c>
    </row>
    <row r="16" spans="1:19" ht="20.25" customHeight="1" x14ac:dyDescent="0.4">
      <c r="A16" s="171" t="s">
        <v>215</v>
      </c>
      <c r="B16" s="172"/>
      <c r="C16" s="173"/>
      <c r="D16" s="98" t="s">
        <v>694</v>
      </c>
      <c r="E16" s="107">
        <f>COUNTIF('เกรดรวม59-60'!$W$6:$W$34,E12)</f>
        <v>0</v>
      </c>
      <c r="F16" s="107">
        <f>COUNTIF('เกรดรวม59-60'!$W$6:$W$34,F12)</f>
        <v>0</v>
      </c>
      <c r="G16" s="107">
        <f>COUNTIF('เกรดรวม59-60'!$W$6:$W$34,G12)</f>
        <v>0</v>
      </c>
      <c r="H16" s="107">
        <f>COUNTIF('เกรดรวม59-60'!$W$6:$W$34,H12)</f>
        <v>0</v>
      </c>
      <c r="I16" s="107">
        <f>COUNTIF('เกรดรวม59-60'!$W$6:$W$34,I12)</f>
        <v>0</v>
      </c>
      <c r="J16" s="107">
        <f>COUNTIF('เกรดรวม59-60'!$W$6:$W$34,J12)</f>
        <v>0</v>
      </c>
      <c r="K16" s="107">
        <f>COUNTIF('เกรดรวม59-60'!$W$6:$W$34,K12)</f>
        <v>2</v>
      </c>
      <c r="L16" s="107">
        <f>COUNTIF('เกรดรวม59-60'!$W$6:$W$34,L12)</f>
        <v>11</v>
      </c>
      <c r="M16" s="110">
        <f t="shared" si="0"/>
        <v>3.9230769230769229</v>
      </c>
    </row>
    <row r="17" spans="1:17" ht="20.25" customHeight="1" x14ac:dyDescent="0.4">
      <c r="A17" s="171" t="s">
        <v>50</v>
      </c>
      <c r="B17" s="172"/>
      <c r="C17" s="173"/>
      <c r="D17" s="98" t="s">
        <v>695</v>
      </c>
      <c r="E17" s="107">
        <f>COUNTIF('เกรดรวม59-60'!$X$6:$X$34,E12)</f>
        <v>0</v>
      </c>
      <c r="F17" s="107">
        <f>COUNTIF('เกรดรวม59-60'!$X$6:$X$34,F12)</f>
        <v>0</v>
      </c>
      <c r="G17" s="107">
        <f>COUNTIF('เกรดรวม59-60'!$X$6:$X$34,G12)</f>
        <v>0</v>
      </c>
      <c r="H17" s="107">
        <f>COUNTIF('เกรดรวม59-60'!$X$6:$X$34,H12)</f>
        <v>0</v>
      </c>
      <c r="I17" s="107">
        <f>COUNTIF('เกรดรวม59-60'!$X$6:$X$34,I12)</f>
        <v>0</v>
      </c>
      <c r="J17" s="107">
        <f>COUNTIF('เกรดรวม59-60'!$X$6:$X$34,J12)</f>
        <v>0</v>
      </c>
      <c r="K17" s="107">
        <f>COUNTIF('เกรดรวม59-60'!$X$6:$X$34,K12)</f>
        <v>1</v>
      </c>
      <c r="L17" s="107">
        <f>COUNTIF('เกรดรวม59-60'!$X$6:$X$34,L12)</f>
        <v>12</v>
      </c>
      <c r="M17" s="110">
        <f t="shared" si="0"/>
        <v>3.9615384615384617</v>
      </c>
    </row>
    <row r="18" spans="1:17" ht="20.25" customHeight="1" x14ac:dyDescent="0.4">
      <c r="A18" s="171" t="s">
        <v>51</v>
      </c>
      <c r="B18" s="172"/>
      <c r="C18" s="173"/>
      <c r="D18" s="98" t="s">
        <v>696</v>
      </c>
      <c r="E18" s="107">
        <f>COUNTIF('เกรดรวม59-60'!$Y$6:$Y$34,E12)</f>
        <v>0</v>
      </c>
      <c r="F18" s="107">
        <f>COUNTIF('เกรดรวม59-60'!$Y$6:$Y$34,F12)</f>
        <v>0</v>
      </c>
      <c r="G18" s="107">
        <f>COUNTIF('เกรดรวม59-60'!$Y$6:$Y$34,G12)</f>
        <v>0</v>
      </c>
      <c r="H18" s="107">
        <f>COUNTIF('เกรดรวม59-60'!$Y$6:$Y$34,H12)</f>
        <v>0</v>
      </c>
      <c r="I18" s="107">
        <f>COUNTIF('เกรดรวม59-60'!$Y$6:$Y$34,I12)</f>
        <v>0</v>
      </c>
      <c r="J18" s="107">
        <f>COUNTIF('เกรดรวม59-60'!$Y$6:$Y$34,J12)</f>
        <v>0</v>
      </c>
      <c r="K18" s="107">
        <f>COUNTIF('เกรดรวม59-60'!$Y$6:$Y$34,K12)</f>
        <v>2</v>
      </c>
      <c r="L18" s="107">
        <f>COUNTIF('เกรดรวม59-60'!$Y$6:$Y$34,L12)</f>
        <v>11</v>
      </c>
      <c r="M18" s="110">
        <f t="shared" si="0"/>
        <v>3.9230769230769229</v>
      </c>
    </row>
    <row r="19" spans="1:17" ht="20.25" customHeight="1" x14ac:dyDescent="0.4">
      <c r="A19" s="171" t="s">
        <v>52</v>
      </c>
      <c r="B19" s="172"/>
      <c r="C19" s="173"/>
      <c r="D19" s="98" t="s">
        <v>697</v>
      </c>
      <c r="E19" s="107">
        <f>COUNTIF('เกรดรวม59-60'!$Z$6:$Z$34,E12)</f>
        <v>0</v>
      </c>
      <c r="F19" s="107">
        <f>COUNTIF('เกรดรวม59-60'!$Z$6:$Z$34,F12)</f>
        <v>0</v>
      </c>
      <c r="G19" s="107">
        <f>COUNTIF('เกรดรวม59-60'!$Z$6:$Z$34,G12)</f>
        <v>0</v>
      </c>
      <c r="H19" s="107">
        <f>COUNTIF('เกรดรวม59-60'!$Z$6:$Z$34,H12)</f>
        <v>0</v>
      </c>
      <c r="I19" s="107">
        <f>COUNTIF('เกรดรวม59-60'!$Z$6:$Z$34,I12)</f>
        <v>0</v>
      </c>
      <c r="J19" s="107">
        <f>COUNTIF('เกรดรวม59-60'!$Z$6:$Z$34,J12)</f>
        <v>0</v>
      </c>
      <c r="K19" s="107">
        <f>COUNTIF('เกรดรวม59-60'!$Z$6:$Z$34,K12)</f>
        <v>0</v>
      </c>
      <c r="L19" s="107">
        <f>COUNTIF('เกรดรวม59-60'!$Z$6:$Z$34,L12)</f>
        <v>13</v>
      </c>
      <c r="M19" s="110">
        <f t="shared" si="0"/>
        <v>4</v>
      </c>
    </row>
    <row r="20" spans="1:17" ht="20.25" customHeight="1" x14ac:dyDescent="0.4">
      <c r="A20" s="171" t="s">
        <v>53</v>
      </c>
      <c r="B20" s="172"/>
      <c r="C20" s="173"/>
      <c r="D20" s="98" t="s">
        <v>698</v>
      </c>
      <c r="E20" s="107">
        <f>COUNTIF('เกรดรวม59-60'!$AA$6:$AA$34,E12)</f>
        <v>0</v>
      </c>
      <c r="F20" s="107">
        <f>COUNTIF('เกรดรวม59-60'!$AA$6:$AA$34,F12)</f>
        <v>0</v>
      </c>
      <c r="G20" s="107">
        <f>COUNTIF('เกรดรวม59-60'!$AA$6:$AA$34,G12)</f>
        <v>0</v>
      </c>
      <c r="H20" s="107">
        <f>COUNTIF('เกรดรวม59-60'!$AA$6:$AA$34,H12)</f>
        <v>0</v>
      </c>
      <c r="I20" s="107">
        <f>COUNTIF('เกรดรวม59-60'!$AA$6:$AA$34,I12)</f>
        <v>0</v>
      </c>
      <c r="J20" s="107">
        <f>COUNTIF('เกรดรวม59-60'!$AA$6:$AA$34,J12)</f>
        <v>0</v>
      </c>
      <c r="K20" s="107">
        <f>COUNTIF('เกรดรวม59-60'!$AA$6:$AA$34,K12)</f>
        <v>0</v>
      </c>
      <c r="L20" s="107">
        <f>COUNTIF('เกรดรวม59-60'!$AA$6:$AA$34,L12)</f>
        <v>13</v>
      </c>
      <c r="M20" s="110">
        <f t="shared" si="0"/>
        <v>4</v>
      </c>
    </row>
    <row r="21" spans="1:17" ht="20.25" customHeight="1" x14ac:dyDescent="0.4">
      <c r="A21" s="171" t="s">
        <v>54</v>
      </c>
      <c r="B21" s="172"/>
      <c r="C21" s="173"/>
      <c r="D21" s="98" t="s">
        <v>699</v>
      </c>
      <c r="E21" s="107">
        <f>COUNTIF('เกรดรวม59-60'!$AB$5:$AB$34,E12)</f>
        <v>0</v>
      </c>
      <c r="F21" s="107">
        <f>COUNTIF('เกรดรวม59-60'!$AB$5:$AB$34,F12)</f>
        <v>0</v>
      </c>
      <c r="G21" s="107">
        <f>COUNTIF('เกรดรวม59-60'!$AB$5:$AB$34,G12)</f>
        <v>1</v>
      </c>
      <c r="H21" s="107">
        <f>COUNTIF('เกรดรวม59-60'!$AB$5:$AB$34,H12)</f>
        <v>1</v>
      </c>
      <c r="I21" s="107">
        <f>COUNTIF('เกรดรวม59-60'!$AB$5:$AB$34,I12)</f>
        <v>2</v>
      </c>
      <c r="J21" s="107">
        <f>COUNTIF('เกรดรวม59-60'!$AB$5:$AB$34,J12)</f>
        <v>0</v>
      </c>
      <c r="K21" s="107">
        <f>COUNTIF('เกรดรวม59-60'!$AB$5:$AB$34,K12)</f>
        <v>3</v>
      </c>
      <c r="L21" s="107">
        <f>COUNTIF('เกรดรวม59-60'!$AB$5:$AB$34,L12)</f>
        <v>6</v>
      </c>
      <c r="M21" s="110">
        <f t="shared" si="0"/>
        <v>3.3076923076923075</v>
      </c>
    </row>
    <row r="22" spans="1:17" ht="20.25" customHeight="1" thickBot="1" x14ac:dyDescent="0.45">
      <c r="A22" s="174" t="s">
        <v>55</v>
      </c>
      <c r="B22" s="175"/>
      <c r="C22" s="176"/>
      <c r="D22" s="99" t="s">
        <v>700</v>
      </c>
      <c r="E22" s="125">
        <f>COUNTIF('เกรดรวม59-60'!$AC$5:$AC$34,E12)</f>
        <v>0</v>
      </c>
      <c r="F22" s="125">
        <f>COUNTIF('เกรดรวม59-60'!$AC$5:$AC$34,F12)</f>
        <v>0</v>
      </c>
      <c r="G22" s="125">
        <f>COUNTIF('เกรดรวม59-60'!$AC$5:$AC$34,G12)</f>
        <v>0</v>
      </c>
      <c r="H22" s="125">
        <f>COUNTIF('เกรดรวม59-60'!$AC$5:$AC$34,H12)</f>
        <v>0</v>
      </c>
      <c r="I22" s="125">
        <f>COUNTIF('เกรดรวม59-60'!$AC$5:$AC$34,I12)</f>
        <v>0</v>
      </c>
      <c r="J22" s="125">
        <f>COUNTIF('เกรดรวม59-60'!$AC$5:$AC$34,J12)</f>
        <v>1</v>
      </c>
      <c r="K22" s="125">
        <f>COUNTIF('เกรดรวม59-60'!$AC$5:$AC$34,K12)</f>
        <v>1</v>
      </c>
      <c r="L22" s="125">
        <f>COUNTIF('เกรดรวม59-60'!$AC$5:$AC$34,L12)</f>
        <v>11</v>
      </c>
      <c r="M22" s="111">
        <f t="shared" si="0"/>
        <v>3.8846153846153846</v>
      </c>
    </row>
    <row r="23" spans="1:17" ht="12.75" customHeight="1" thickBot="1" x14ac:dyDescent="0.45"/>
    <row r="24" spans="1:17" ht="25" thickBot="1" x14ac:dyDescent="0.45">
      <c r="A24" s="188" t="s">
        <v>203</v>
      </c>
      <c r="B24" s="189"/>
      <c r="C24" s="189"/>
      <c r="D24" s="190"/>
      <c r="E24" s="97"/>
      <c r="F24" s="184" t="s">
        <v>214</v>
      </c>
      <c r="G24" s="185"/>
      <c r="H24" s="185"/>
      <c r="I24" s="186"/>
    </row>
    <row r="25" spans="1:17" ht="25" thickBot="1" x14ac:dyDescent="0.45">
      <c r="A25" s="104">
        <v>0</v>
      </c>
      <c r="B25" s="105">
        <v>1</v>
      </c>
      <c r="C25" s="105">
        <v>2</v>
      </c>
      <c r="D25" s="106">
        <v>3</v>
      </c>
      <c r="F25" s="104">
        <v>0</v>
      </c>
      <c r="G25" s="105">
        <v>1</v>
      </c>
      <c r="H25" s="105">
        <v>2</v>
      </c>
      <c r="I25" s="106">
        <v>3</v>
      </c>
    </row>
    <row r="26" spans="1:17" ht="25" thickBot="1" x14ac:dyDescent="0.45">
      <c r="A26" s="104">
        <f>COUNTIF('คุณลักษณะ อ่านฯ57'!$K$5:$K$33,ปก!A25)</f>
        <v>0</v>
      </c>
      <c r="B26" s="105">
        <f>COUNTIF('คุณลักษณะ อ่านฯ57'!$K$5:$K$33,ปก!B25)</f>
        <v>0</v>
      </c>
      <c r="C26" s="105">
        <f>COUNTIF('คุณลักษณะ อ่านฯ57'!$K$5:$K$33,ปก!C25)</f>
        <v>0</v>
      </c>
      <c r="D26" s="106">
        <f>COUNTIF('คุณลักษณะ อ่านฯ57'!$K$5:$K$33,ปก!D25)</f>
        <v>13</v>
      </c>
      <c r="E26" s="2"/>
      <c r="F26" s="104">
        <f>COUNTIF('คุณลักษณะ อ่านฯ57'!$R$5:$R$33,ปก!F25)</f>
        <v>0</v>
      </c>
      <c r="G26" s="105">
        <f>COUNTIF('คุณลักษณะ อ่านฯ57'!$R$5:$R$33,ปก!G25)</f>
        <v>0</v>
      </c>
      <c r="H26" s="105">
        <f>COUNTIF('คุณลักษณะ อ่านฯ57'!$R$5:$R$33,ปก!H25)</f>
        <v>2</v>
      </c>
      <c r="I26" s="106">
        <f>COUNTIF('คุณลักษณะ อ่านฯ57'!$R$5:$R$33,ปก!I25)</f>
        <v>11</v>
      </c>
    </row>
    <row r="27" spans="1:17" ht="9" customHeight="1" x14ac:dyDescent="0.4"/>
    <row r="28" spans="1:17" x14ac:dyDescent="0.4">
      <c r="A28" s="187" t="s">
        <v>204</v>
      </c>
      <c r="B28" s="187"/>
      <c r="C28" s="187"/>
      <c r="D28" s="187"/>
      <c r="E28" s="90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</row>
    <row r="29" spans="1:17" x14ac:dyDescent="0.4">
      <c r="B29" s="87"/>
      <c r="C29" s="87" t="s">
        <v>210</v>
      </c>
      <c r="D29" s="87"/>
      <c r="E29" s="87"/>
      <c r="F29" s="87"/>
      <c r="G29" s="87" t="s">
        <v>198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</row>
    <row r="30" spans="1:17" ht="21.75" customHeight="1" x14ac:dyDescent="0.4">
      <c r="A30" s="87"/>
      <c r="B30" s="87"/>
      <c r="C30" s="87"/>
      <c r="D30" s="87" t="s">
        <v>665</v>
      </c>
      <c r="E30" s="87"/>
      <c r="F30" s="87"/>
      <c r="G30" s="87"/>
      <c r="J30" s="87"/>
      <c r="K30" s="87"/>
      <c r="L30" s="87"/>
      <c r="M30" s="87"/>
      <c r="N30" s="87"/>
      <c r="O30" s="87"/>
      <c r="P30" s="87"/>
      <c r="Q30" s="87"/>
    </row>
    <row r="31" spans="1:17" x14ac:dyDescent="0.4">
      <c r="A31" s="87"/>
      <c r="B31" s="87"/>
      <c r="C31" s="87" t="s">
        <v>209</v>
      </c>
      <c r="D31" s="87"/>
      <c r="E31" s="87"/>
      <c r="G31" s="87" t="s">
        <v>212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</row>
    <row r="32" spans="1:17" ht="22.5" customHeight="1" x14ac:dyDescent="0.4">
      <c r="A32" s="87"/>
      <c r="B32" s="87"/>
      <c r="C32" s="87"/>
      <c r="D32" s="87" t="s">
        <v>666</v>
      </c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</row>
    <row r="33" spans="1:17" x14ac:dyDescent="0.4">
      <c r="A33" s="87"/>
      <c r="B33" s="87"/>
      <c r="C33" s="93" t="s">
        <v>205</v>
      </c>
      <c r="D33" s="93"/>
      <c r="E33" s="87"/>
      <c r="G33" s="93" t="s">
        <v>213</v>
      </c>
      <c r="H33" s="92"/>
      <c r="I33" s="92"/>
      <c r="J33" s="92"/>
      <c r="L33" s="92"/>
      <c r="M33" s="92"/>
      <c r="N33" s="92"/>
      <c r="O33" s="87"/>
      <c r="P33" s="87"/>
      <c r="Q33" s="87"/>
    </row>
    <row r="34" spans="1:17" x14ac:dyDescent="0.4">
      <c r="A34" s="95"/>
      <c r="B34" s="95"/>
      <c r="C34" s="95"/>
      <c r="D34" s="95" t="s">
        <v>668</v>
      </c>
      <c r="E34" s="95"/>
      <c r="F34" s="95"/>
      <c r="G34" s="96"/>
      <c r="H34" s="96"/>
      <c r="I34" s="96"/>
      <c r="J34" s="96"/>
      <c r="K34" s="96"/>
      <c r="L34" s="96"/>
      <c r="M34" s="92"/>
      <c r="N34" s="92"/>
      <c r="O34" s="87"/>
      <c r="P34" s="87"/>
      <c r="Q34" s="87"/>
    </row>
    <row r="35" spans="1:17" x14ac:dyDescent="0.4">
      <c r="A35" s="87"/>
      <c r="B35" s="87"/>
      <c r="C35" s="94" t="s">
        <v>206</v>
      </c>
      <c r="D35" s="87" t="s">
        <v>207</v>
      </c>
      <c r="E35" s="92"/>
      <c r="F35" s="92"/>
      <c r="G35" s="94" t="s">
        <v>206</v>
      </c>
      <c r="H35" s="93" t="s">
        <v>208</v>
      </c>
      <c r="K35" s="92"/>
      <c r="L35" s="92"/>
      <c r="M35" s="92"/>
      <c r="N35" s="92"/>
      <c r="O35" s="87"/>
      <c r="P35" s="87"/>
      <c r="Q35" s="87"/>
    </row>
    <row r="36" spans="1:17" x14ac:dyDescent="0.4">
      <c r="A36" s="87"/>
      <c r="B36" s="87"/>
      <c r="C36" s="93" t="s">
        <v>205</v>
      </c>
      <c r="E36" s="87"/>
      <c r="G36" s="87" t="s">
        <v>211</v>
      </c>
      <c r="H36" s="92"/>
      <c r="I36" s="92"/>
      <c r="J36" s="92"/>
      <c r="K36" s="92"/>
      <c r="L36" s="92"/>
      <c r="M36" s="92"/>
      <c r="N36" s="92"/>
      <c r="O36" s="87"/>
      <c r="P36" s="87"/>
      <c r="Q36" s="87"/>
    </row>
    <row r="37" spans="1:17" x14ac:dyDescent="0.4">
      <c r="A37" s="87"/>
      <c r="B37" s="87"/>
      <c r="C37" s="93"/>
      <c r="D37" s="1" t="s">
        <v>261</v>
      </c>
      <c r="E37" s="87"/>
      <c r="G37" s="87"/>
      <c r="H37" s="92"/>
      <c r="I37" s="92"/>
      <c r="J37" s="92"/>
      <c r="K37" s="92"/>
      <c r="L37" s="92"/>
      <c r="M37" s="92"/>
      <c r="N37" s="92"/>
      <c r="O37" s="87"/>
      <c r="P37" s="87"/>
      <c r="Q37" s="87"/>
    </row>
    <row r="38" spans="1:17" x14ac:dyDescent="0.4">
      <c r="A38" s="87"/>
      <c r="B38" s="87"/>
      <c r="C38" s="183" t="s">
        <v>667</v>
      </c>
      <c r="D38" s="183"/>
      <c r="E38" s="183"/>
      <c r="F38" s="183"/>
      <c r="G38" s="183"/>
      <c r="H38" s="87"/>
      <c r="I38" s="87"/>
      <c r="J38" s="87"/>
      <c r="K38" s="87"/>
      <c r="L38" s="92"/>
      <c r="M38" s="92"/>
      <c r="N38" s="92"/>
      <c r="O38" s="87"/>
      <c r="P38" s="87"/>
      <c r="Q38" s="87"/>
    </row>
    <row r="39" spans="1:17" x14ac:dyDescent="0.4">
      <c r="A39" s="87"/>
      <c r="B39" s="87"/>
      <c r="C39" s="87"/>
      <c r="D39" s="87"/>
      <c r="F39" s="87"/>
      <c r="G39" s="87"/>
      <c r="H39" s="87"/>
      <c r="I39" s="87"/>
      <c r="J39" s="87"/>
      <c r="K39" s="87"/>
      <c r="L39" s="84"/>
      <c r="M39" s="84"/>
      <c r="N39" s="92"/>
      <c r="O39" s="87"/>
      <c r="P39" s="87"/>
      <c r="Q39" s="87"/>
    </row>
  </sheetData>
  <mergeCells count="23">
    <mergeCell ref="C38:G38"/>
    <mergeCell ref="F24:I24"/>
    <mergeCell ref="A28:D28"/>
    <mergeCell ref="A24:D24"/>
    <mergeCell ref="A11:C12"/>
    <mergeCell ref="A13:C13"/>
    <mergeCell ref="A14:C14"/>
    <mergeCell ref="A15:C15"/>
    <mergeCell ref="A16:C16"/>
    <mergeCell ref="A17:C17"/>
    <mergeCell ref="A18:C18"/>
    <mergeCell ref="A19:C19"/>
    <mergeCell ref="D11:D12"/>
    <mergeCell ref="A6:M6"/>
    <mergeCell ref="A5:M5"/>
    <mergeCell ref="A20:C20"/>
    <mergeCell ref="A21:C21"/>
    <mergeCell ref="A22:C22"/>
    <mergeCell ref="E11:L11"/>
    <mergeCell ref="M11:M12"/>
    <mergeCell ref="A7:M7"/>
    <mergeCell ref="A8:M8"/>
    <mergeCell ref="A9:M9"/>
  </mergeCells>
  <pageMargins left="0.59678819444444442" right="4.3402777777777797E-2" top="0.35807291666666669" bottom="0.23871527777777779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view="pageLayout" zoomScale="90" zoomScaleNormal="100" zoomScaleSheetLayoutView="96" zoomScalePageLayoutView="90" workbookViewId="0">
      <selection activeCell="G15" sqref="G15"/>
    </sheetView>
  </sheetViews>
  <sheetFormatPr baseColWidth="10" defaultColWidth="9" defaultRowHeight="24" x14ac:dyDescent="0.4"/>
  <cols>
    <col min="1" max="1" width="3.6640625" style="2" customWidth="1"/>
    <col min="2" max="2" width="7.5" style="2" customWidth="1"/>
    <col min="3" max="3" width="13.6640625" style="2" customWidth="1"/>
    <col min="4" max="4" width="21.83203125" style="20" customWidth="1"/>
    <col min="5" max="5" width="9.6640625" style="2" customWidth="1"/>
    <col min="6" max="6" width="19" style="1" customWidth="1"/>
    <col min="7" max="7" width="17.83203125" style="1" customWidth="1"/>
    <col min="8" max="8" width="19" style="1" customWidth="1"/>
    <col min="9" max="9" width="9.83203125" style="1" customWidth="1"/>
    <col min="10" max="10" width="9.33203125" style="1" customWidth="1"/>
    <col min="11" max="11" width="8.5" style="1" customWidth="1"/>
    <col min="12" max="12" width="7.6640625" style="1" customWidth="1"/>
    <col min="13" max="13" width="9" style="1" customWidth="1"/>
    <col min="14" max="14" width="8.6640625" style="1" customWidth="1"/>
    <col min="15" max="15" width="8" style="1" customWidth="1"/>
    <col min="16" max="16" width="13.1640625" style="1" customWidth="1"/>
    <col min="17" max="16384" width="9" style="1"/>
  </cols>
  <sheetData>
    <row r="1" spans="1:16" x14ac:dyDescent="0.4">
      <c r="G1" s="1">
        <v>2</v>
      </c>
      <c r="P1" s="1">
        <v>3</v>
      </c>
    </row>
    <row r="2" spans="1:16" s="81" customFormat="1" ht="42" customHeight="1" x14ac:dyDescent="0.2">
      <c r="A2" s="208" t="s">
        <v>1</v>
      </c>
      <c r="B2" s="208" t="s">
        <v>179</v>
      </c>
      <c r="C2" s="208" t="s">
        <v>181</v>
      </c>
      <c r="D2" s="205" t="s">
        <v>180</v>
      </c>
      <c r="E2" s="208" t="s">
        <v>182</v>
      </c>
      <c r="F2" s="205" t="s">
        <v>183</v>
      </c>
      <c r="G2" s="205" t="s">
        <v>184</v>
      </c>
      <c r="H2" s="205" t="s">
        <v>185</v>
      </c>
      <c r="I2" s="205" t="s">
        <v>186</v>
      </c>
      <c r="J2" s="208" t="s">
        <v>224</v>
      </c>
      <c r="K2" s="207" t="s">
        <v>187</v>
      </c>
      <c r="L2" s="207"/>
      <c r="M2" s="207"/>
      <c r="N2" s="207"/>
      <c r="O2" s="207"/>
      <c r="P2" s="207"/>
    </row>
    <row r="3" spans="1:16" s="83" customFormat="1" x14ac:dyDescent="0.2">
      <c r="A3" s="209"/>
      <c r="B3" s="209"/>
      <c r="C3" s="209"/>
      <c r="D3" s="206"/>
      <c r="E3" s="209"/>
      <c r="F3" s="206"/>
      <c r="G3" s="206"/>
      <c r="H3" s="206"/>
      <c r="I3" s="206"/>
      <c r="J3" s="209"/>
      <c r="K3" s="82" t="s">
        <v>188</v>
      </c>
      <c r="L3" s="82" t="s">
        <v>189</v>
      </c>
      <c r="M3" s="82" t="s">
        <v>190</v>
      </c>
      <c r="N3" s="82" t="s">
        <v>191</v>
      </c>
      <c r="O3" s="82" t="s">
        <v>192</v>
      </c>
      <c r="P3" s="82" t="s">
        <v>193</v>
      </c>
    </row>
    <row r="4" spans="1:16" x14ac:dyDescent="0.4">
      <c r="A4" s="3">
        <v>1</v>
      </c>
      <c r="B4" s="134" t="s">
        <v>275</v>
      </c>
      <c r="C4" s="136" t="s">
        <v>288</v>
      </c>
      <c r="D4" s="139" t="s">
        <v>672</v>
      </c>
      <c r="E4" s="137" t="s">
        <v>301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x14ac:dyDescent="0.4">
      <c r="A5" s="3">
        <v>2</v>
      </c>
      <c r="B5" s="135" t="s">
        <v>276</v>
      </c>
      <c r="C5" s="136" t="s">
        <v>289</v>
      </c>
      <c r="D5" s="140" t="s">
        <v>673</v>
      </c>
      <c r="E5" s="138" t="s">
        <v>302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x14ac:dyDescent="0.4">
      <c r="A6" s="3">
        <v>3</v>
      </c>
      <c r="B6" s="135" t="s">
        <v>277</v>
      </c>
      <c r="C6" s="136" t="s">
        <v>290</v>
      </c>
      <c r="D6" s="140" t="s">
        <v>674</v>
      </c>
      <c r="E6" s="138" t="s">
        <v>303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x14ac:dyDescent="0.4">
      <c r="A7" s="3">
        <v>4</v>
      </c>
      <c r="B7" s="135" t="s">
        <v>278</v>
      </c>
      <c r="C7" s="136" t="s">
        <v>291</v>
      </c>
      <c r="D7" s="140" t="s">
        <v>675</v>
      </c>
      <c r="E7" s="138" t="s">
        <v>304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x14ac:dyDescent="0.4">
      <c r="A8" s="3">
        <v>5</v>
      </c>
      <c r="B8" s="135" t="s">
        <v>279</v>
      </c>
      <c r="C8" s="136" t="s">
        <v>292</v>
      </c>
      <c r="D8" s="140" t="s">
        <v>676</v>
      </c>
      <c r="E8" s="138" t="s">
        <v>305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x14ac:dyDescent="0.4">
      <c r="A9" s="3">
        <v>6</v>
      </c>
      <c r="B9" s="135" t="s">
        <v>280</v>
      </c>
      <c r="C9" s="136" t="s">
        <v>293</v>
      </c>
      <c r="D9" s="140" t="s">
        <v>677</v>
      </c>
      <c r="E9" s="138" t="s">
        <v>306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x14ac:dyDescent="0.4">
      <c r="A10" s="3">
        <v>7</v>
      </c>
      <c r="B10" s="135" t="s">
        <v>281</v>
      </c>
      <c r="C10" s="136" t="s">
        <v>294</v>
      </c>
      <c r="D10" s="140" t="s">
        <v>678</v>
      </c>
      <c r="E10" s="138" t="s">
        <v>307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x14ac:dyDescent="0.4">
      <c r="A11" s="3">
        <v>8</v>
      </c>
      <c r="B11" s="135" t="s">
        <v>282</v>
      </c>
      <c r="C11" s="136" t="s">
        <v>295</v>
      </c>
      <c r="D11" s="140" t="s">
        <v>679</v>
      </c>
      <c r="E11" s="138" t="s">
        <v>308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x14ac:dyDescent="0.4">
      <c r="A12" s="3">
        <v>9</v>
      </c>
      <c r="B12" s="135" t="s">
        <v>283</v>
      </c>
      <c r="C12" s="136" t="s">
        <v>296</v>
      </c>
      <c r="D12" s="140" t="s">
        <v>680</v>
      </c>
      <c r="E12" s="138" t="s">
        <v>309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x14ac:dyDescent="0.4">
      <c r="A13" s="3">
        <v>10</v>
      </c>
      <c r="B13" s="135" t="s">
        <v>284</v>
      </c>
      <c r="C13" s="136" t="s">
        <v>297</v>
      </c>
      <c r="D13" s="140" t="s">
        <v>681</v>
      </c>
      <c r="E13" s="138" t="s">
        <v>310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x14ac:dyDescent="0.4">
      <c r="A14" s="3">
        <v>11</v>
      </c>
      <c r="B14" s="135" t="s">
        <v>285</v>
      </c>
      <c r="C14" s="136" t="s">
        <v>298</v>
      </c>
      <c r="D14" s="140" t="s">
        <v>682</v>
      </c>
      <c r="E14" s="138" t="s">
        <v>308</v>
      </c>
      <c r="F14" s="23"/>
      <c r="G14" s="9"/>
      <c r="H14" s="23"/>
      <c r="I14" s="23"/>
      <c r="J14" s="23"/>
      <c r="K14" s="23"/>
      <c r="L14" s="23"/>
      <c r="M14" s="23"/>
      <c r="N14" s="23"/>
      <c r="O14" s="23"/>
      <c r="P14" s="23"/>
    </row>
    <row r="15" spans="1:16" x14ac:dyDescent="0.4">
      <c r="A15" s="3">
        <v>12</v>
      </c>
      <c r="B15" s="135" t="s">
        <v>286</v>
      </c>
      <c r="C15" s="136" t="s">
        <v>299</v>
      </c>
      <c r="D15" s="140" t="s">
        <v>683</v>
      </c>
      <c r="E15" s="138" t="s">
        <v>311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4">
      <c r="A16" s="3">
        <v>13</v>
      </c>
      <c r="B16" s="135" t="s">
        <v>287</v>
      </c>
      <c r="C16" s="136" t="s">
        <v>300</v>
      </c>
      <c r="D16" s="140" t="s">
        <v>684</v>
      </c>
      <c r="E16" s="138" t="s">
        <v>312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4">
      <c r="A17" s="3"/>
      <c r="B17" s="135"/>
      <c r="C17" s="136"/>
      <c r="D17" s="140"/>
      <c r="E17" s="138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 x14ac:dyDescent="0.4">
      <c r="A18" s="3"/>
      <c r="B18" s="3"/>
      <c r="C18" s="80"/>
      <c r="D18" s="31"/>
      <c r="E18" s="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x14ac:dyDescent="0.4">
      <c r="A19" s="3"/>
      <c r="B19" s="3"/>
      <c r="C19" s="80"/>
      <c r="D19" s="31"/>
      <c r="E19" s="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x14ac:dyDescent="0.4">
      <c r="A20" s="3"/>
      <c r="B20" s="3"/>
      <c r="C20" s="80"/>
      <c r="D20" s="31"/>
      <c r="E20" s="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 x14ac:dyDescent="0.4">
      <c r="A21" s="3"/>
      <c r="B21" s="3"/>
      <c r="C21" s="80"/>
      <c r="D21" s="31"/>
      <c r="E21" s="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x14ac:dyDescent="0.4">
      <c r="A22" s="3"/>
      <c r="B22" s="3"/>
      <c r="C22" s="80"/>
      <c r="D22" s="31"/>
      <c r="E22" s="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 x14ac:dyDescent="0.4">
      <c r="A23" s="3"/>
      <c r="B23" s="3"/>
      <c r="C23" s="80"/>
      <c r="D23" s="31"/>
      <c r="E23" s="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6" x14ac:dyDescent="0.4">
      <c r="A24" s="3"/>
      <c r="B24" s="3"/>
      <c r="C24" s="80"/>
      <c r="D24" s="31"/>
      <c r="E24" s="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 x14ac:dyDescent="0.4">
      <c r="A25" s="3"/>
      <c r="B25" s="3"/>
      <c r="C25" s="80"/>
      <c r="D25" s="31"/>
      <c r="E25" s="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 x14ac:dyDescent="0.4">
      <c r="A26" s="3"/>
      <c r="B26" s="3"/>
      <c r="C26" s="80"/>
      <c r="D26" s="31"/>
      <c r="E26" s="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6" x14ac:dyDescent="0.4">
      <c r="A27" s="3"/>
      <c r="B27" s="3"/>
      <c r="C27" s="80"/>
      <c r="D27" s="31"/>
      <c r="E27" s="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6" x14ac:dyDescent="0.4">
      <c r="A28" s="3"/>
      <c r="B28" s="3"/>
      <c r="C28" s="80"/>
      <c r="D28" s="31"/>
      <c r="E28" s="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x14ac:dyDescent="0.4">
      <c r="A29" s="3"/>
      <c r="B29" s="3"/>
      <c r="C29" s="80"/>
      <c r="D29" s="31"/>
      <c r="E29" s="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6" x14ac:dyDescent="0.4">
      <c r="A30" s="3"/>
      <c r="B30" s="3"/>
      <c r="C30" s="80"/>
      <c r="D30" s="31"/>
      <c r="E30" s="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x14ac:dyDescent="0.4">
      <c r="A31" s="3"/>
      <c r="B31" s="3"/>
      <c r="C31" s="80"/>
      <c r="D31" s="31"/>
      <c r="E31" s="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x14ac:dyDescent="0.4">
      <c r="A32" s="3"/>
      <c r="B32" s="3"/>
      <c r="C32" s="80"/>
      <c r="D32" s="31"/>
      <c r="E32" s="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4">
      <c r="A33" s="3"/>
      <c r="B33" s="3"/>
      <c r="C33" s="80"/>
      <c r="D33" s="31"/>
      <c r="E33" s="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4">
      <c r="A34" s="1"/>
      <c r="B34" s="1"/>
      <c r="C34" s="1"/>
      <c r="D34" s="1"/>
    </row>
    <row r="35" spans="1:16" x14ac:dyDescent="0.4">
      <c r="A35" s="1"/>
      <c r="B35" s="1"/>
      <c r="C35" s="1"/>
      <c r="D35" s="1"/>
    </row>
    <row r="36" spans="1:16" x14ac:dyDescent="0.4">
      <c r="A36" s="1"/>
      <c r="B36" s="1"/>
      <c r="C36" s="1"/>
      <c r="D36" s="1"/>
    </row>
    <row r="37" spans="1:16" x14ac:dyDescent="0.4">
      <c r="A37" s="1"/>
      <c r="B37" s="1"/>
      <c r="C37" s="1"/>
      <c r="D37" s="1"/>
    </row>
    <row r="38" spans="1:16" x14ac:dyDescent="0.4">
      <c r="A38" s="1"/>
      <c r="B38" s="1"/>
      <c r="C38" s="1"/>
      <c r="D38" s="1"/>
    </row>
    <row r="39" spans="1:16" x14ac:dyDescent="0.4">
      <c r="A39" s="1"/>
      <c r="B39" s="1"/>
      <c r="C39" s="1"/>
      <c r="D39" s="1"/>
    </row>
    <row r="40" spans="1:16" x14ac:dyDescent="0.4">
      <c r="A40" s="1"/>
      <c r="B40" s="1"/>
      <c r="C40" s="1"/>
      <c r="D40" s="1"/>
    </row>
    <row r="41" spans="1:16" x14ac:dyDescent="0.4">
      <c r="A41" s="1"/>
      <c r="B41" s="1"/>
      <c r="C41" s="1"/>
      <c r="D41" s="1"/>
    </row>
    <row r="42" spans="1:16" x14ac:dyDescent="0.4">
      <c r="A42" s="1"/>
      <c r="B42" s="1"/>
      <c r="C42" s="1"/>
      <c r="D42" s="1"/>
    </row>
    <row r="43" spans="1:16" x14ac:dyDescent="0.4">
      <c r="A43" s="1"/>
      <c r="B43" s="1"/>
      <c r="C43" s="1"/>
      <c r="D43" s="1"/>
    </row>
    <row r="44" spans="1:16" x14ac:dyDescent="0.4">
      <c r="A44" s="1"/>
      <c r="B44" s="1"/>
      <c r="C44" s="1"/>
      <c r="D44" s="1"/>
    </row>
    <row r="45" spans="1:16" x14ac:dyDescent="0.4">
      <c r="A45" s="1"/>
      <c r="B45" s="1"/>
      <c r="C45" s="1"/>
      <c r="D45" s="1"/>
    </row>
    <row r="46" spans="1:16" x14ac:dyDescent="0.4">
      <c r="A46" s="1"/>
      <c r="B46" s="1"/>
      <c r="C46" s="1"/>
      <c r="D46" s="1"/>
    </row>
    <row r="47" spans="1:16" x14ac:dyDescent="0.4">
      <c r="A47" s="1"/>
      <c r="B47" s="1"/>
      <c r="C47" s="1"/>
      <c r="D47" s="1"/>
    </row>
    <row r="48" spans="1:16" x14ac:dyDescent="0.4">
      <c r="A48" s="1"/>
      <c r="B48" s="1"/>
      <c r="C48" s="1"/>
      <c r="D48" s="1"/>
    </row>
    <row r="49" spans="1:4" x14ac:dyDescent="0.4">
      <c r="A49" s="1"/>
      <c r="B49" s="1"/>
      <c r="C49" s="1"/>
      <c r="D49" s="1"/>
    </row>
    <row r="50" spans="1:4" x14ac:dyDescent="0.4">
      <c r="A50" s="1"/>
      <c r="B50" s="1"/>
      <c r="C50" s="1"/>
      <c r="D50" s="1"/>
    </row>
    <row r="51" spans="1:4" x14ac:dyDescent="0.4">
      <c r="A51" s="1"/>
      <c r="B51" s="1"/>
      <c r="C51" s="1"/>
      <c r="D51" s="1"/>
    </row>
    <row r="52" spans="1:4" x14ac:dyDescent="0.4">
      <c r="A52" s="1"/>
      <c r="B52" s="1"/>
      <c r="C52" s="1"/>
      <c r="D52" s="1"/>
    </row>
    <row r="53" spans="1:4" x14ac:dyDescent="0.4">
      <c r="A53" s="1"/>
      <c r="B53" s="1"/>
      <c r="C53" s="1"/>
      <c r="D53" s="1"/>
    </row>
    <row r="54" spans="1:4" x14ac:dyDescent="0.4">
      <c r="A54" s="1"/>
      <c r="B54" s="1"/>
      <c r="C54" s="1"/>
      <c r="D54" s="1"/>
    </row>
    <row r="55" spans="1:4" x14ac:dyDescent="0.4">
      <c r="A55" s="1"/>
      <c r="B55" s="1"/>
      <c r="C55" s="1"/>
      <c r="D55" s="1"/>
    </row>
    <row r="56" spans="1:4" x14ac:dyDescent="0.4">
      <c r="A56" s="1"/>
      <c r="B56" s="1"/>
      <c r="C56" s="1"/>
      <c r="D56" s="1"/>
    </row>
    <row r="57" spans="1:4" x14ac:dyDescent="0.4">
      <c r="A57" s="1"/>
      <c r="B57" s="1"/>
      <c r="C57" s="1"/>
      <c r="D57" s="1"/>
    </row>
    <row r="58" spans="1:4" x14ac:dyDescent="0.4">
      <c r="A58" s="1"/>
      <c r="B58" s="1"/>
      <c r="C58" s="1"/>
      <c r="D58" s="1"/>
    </row>
    <row r="59" spans="1:4" x14ac:dyDescent="0.4">
      <c r="A59" s="1"/>
      <c r="B59" s="1"/>
      <c r="C59" s="1"/>
      <c r="D59" s="1"/>
    </row>
    <row r="60" spans="1:4" x14ac:dyDescent="0.4">
      <c r="A60" s="1"/>
      <c r="B60" s="1"/>
      <c r="C60" s="1"/>
      <c r="D60" s="1"/>
    </row>
    <row r="61" spans="1:4" x14ac:dyDescent="0.4">
      <c r="A61" s="1"/>
      <c r="B61" s="1"/>
      <c r="C61" s="1"/>
      <c r="D61" s="1"/>
    </row>
    <row r="62" spans="1:4" x14ac:dyDescent="0.4">
      <c r="A62" s="1"/>
      <c r="B62" s="1"/>
      <c r="C62" s="1"/>
      <c r="D62" s="1"/>
    </row>
    <row r="63" spans="1:4" x14ac:dyDescent="0.4">
      <c r="A63" s="1"/>
      <c r="B63" s="1"/>
      <c r="C63" s="1"/>
      <c r="D63" s="1"/>
    </row>
    <row r="64" spans="1:4" x14ac:dyDescent="0.4">
      <c r="A64" s="1"/>
      <c r="B64" s="1"/>
      <c r="C64" s="1"/>
      <c r="D64" s="1"/>
    </row>
    <row r="65" spans="1:4" x14ac:dyDescent="0.4">
      <c r="A65" s="1"/>
      <c r="B65" s="1"/>
      <c r="C65" s="1"/>
      <c r="D65" s="1"/>
    </row>
    <row r="66" spans="1:4" x14ac:dyDescent="0.4">
      <c r="A66" s="1"/>
      <c r="B66" s="1"/>
      <c r="C66" s="1"/>
      <c r="D66" s="1"/>
    </row>
    <row r="67" spans="1:4" x14ac:dyDescent="0.4">
      <c r="A67" s="1"/>
      <c r="B67" s="1"/>
      <c r="C67" s="1"/>
      <c r="D67" s="1"/>
    </row>
  </sheetData>
  <mergeCells count="11">
    <mergeCell ref="A2:A3"/>
    <mergeCell ref="B2:B3"/>
    <mergeCell ref="C2:C3"/>
    <mergeCell ref="D2:D3"/>
    <mergeCell ref="E2:E3"/>
    <mergeCell ref="F2:F3"/>
    <mergeCell ref="G2:G3"/>
    <mergeCell ref="K2:P2"/>
    <mergeCell ref="I2:I3"/>
    <mergeCell ref="H2:H3"/>
    <mergeCell ref="J2:J3"/>
  </mergeCells>
  <pageMargins left="0.28125" right="4.3402777777777797E-2" top="0.32467532467532467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T68"/>
  <sheetViews>
    <sheetView view="pageLayout" topLeftCell="A2" zoomScale="86" zoomScaleNormal="100" zoomScaleSheetLayoutView="96" zoomScalePageLayoutView="86" workbookViewId="0">
      <selection activeCell="V22" sqref="V22"/>
    </sheetView>
  </sheetViews>
  <sheetFormatPr baseColWidth="10" defaultColWidth="9" defaultRowHeight="24" x14ac:dyDescent="0.4"/>
  <cols>
    <col min="1" max="1" width="3.6640625" style="2" customWidth="1"/>
    <col min="2" max="2" width="15" style="20" customWidth="1"/>
    <col min="3" max="33" width="2" style="2" customWidth="1"/>
    <col min="34" max="37" width="3.1640625" style="2" customWidth="1"/>
    <col min="38" max="68" width="2" style="1" customWidth="1"/>
    <col min="69" max="71" width="2.83203125" style="1" customWidth="1"/>
    <col min="72" max="72" width="3.1640625" style="1" customWidth="1"/>
    <col min="73" max="103" width="2" style="1" customWidth="1"/>
    <col min="104" max="107" width="3.1640625" style="1" customWidth="1"/>
    <col min="108" max="138" width="2" style="1" customWidth="1"/>
    <col min="139" max="142" width="3" style="1" customWidth="1"/>
    <col min="143" max="172" width="2.1640625" style="1" customWidth="1"/>
    <col min="173" max="173" width="1.6640625" style="1" customWidth="1"/>
    <col min="174" max="174" width="2.6640625" style="1" customWidth="1"/>
    <col min="175" max="207" width="2.1640625" style="1" customWidth="1"/>
    <col min="208" max="208" width="1.6640625" style="1" customWidth="1"/>
    <col min="209" max="212" width="2.33203125" style="1" customWidth="1"/>
    <col min="213" max="242" width="2.1640625" style="1" customWidth="1"/>
    <col min="243" max="243" width="1.33203125" style="1" customWidth="1"/>
    <col min="244" max="247" width="2.33203125" style="1" customWidth="1"/>
    <col min="248" max="277" width="2.1640625" style="1" customWidth="1"/>
    <col min="278" max="278" width="1.6640625" style="1" customWidth="1"/>
    <col min="279" max="282" width="2.33203125" style="1" customWidth="1"/>
    <col min="283" max="352" width="2.1640625" style="1" customWidth="1"/>
    <col min="353" max="383" width="2" style="1" customWidth="1"/>
    <col min="384" max="387" width="3.1640625" style="1" customWidth="1"/>
    <col min="388" max="418" width="2" style="1" customWidth="1"/>
    <col min="419" max="422" width="3" style="1" customWidth="1"/>
    <col min="423" max="434" width="5" style="1" customWidth="1"/>
    <col min="435" max="435" width="6.1640625" style="2" customWidth="1"/>
    <col min="436" max="16384" width="9" style="1"/>
  </cols>
  <sheetData>
    <row r="1" spans="1:436" x14ac:dyDescent="0.4">
      <c r="AK1" s="2">
        <v>4</v>
      </c>
      <c r="BT1" s="1">
        <v>5</v>
      </c>
      <c r="DC1" s="1">
        <v>6</v>
      </c>
      <c r="EL1" s="1">
        <v>7</v>
      </c>
      <c r="FU1" s="1">
        <v>8</v>
      </c>
      <c r="HD1" s="1">
        <v>9</v>
      </c>
      <c r="IL1" s="221">
        <v>10</v>
      </c>
      <c r="IM1" s="221"/>
      <c r="JU1" s="221">
        <v>11</v>
      </c>
      <c r="JV1" s="221"/>
      <c r="LD1" s="221">
        <v>12</v>
      </c>
      <c r="LE1" s="221"/>
      <c r="MM1" s="221">
        <v>13</v>
      </c>
      <c r="MN1" s="221"/>
      <c r="NV1" s="221">
        <v>14</v>
      </c>
      <c r="NW1" s="221"/>
      <c r="PE1" s="221">
        <v>15</v>
      </c>
      <c r="PF1" s="221"/>
      <c r="PT1" s="1">
        <v>16</v>
      </c>
    </row>
    <row r="2" spans="1:436" x14ac:dyDescent="0.4">
      <c r="A2" s="210" t="s">
        <v>1</v>
      </c>
      <c r="B2" s="213" t="s">
        <v>0</v>
      </c>
      <c r="C2" s="166" t="s">
        <v>263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8"/>
      <c r="AL2" s="216" t="s">
        <v>264</v>
      </c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 t="s">
        <v>265</v>
      </c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6"/>
      <c r="CR2" s="216"/>
      <c r="CS2" s="216"/>
      <c r="CT2" s="216"/>
      <c r="CU2" s="216"/>
      <c r="CV2" s="216"/>
      <c r="CW2" s="216"/>
      <c r="CX2" s="216"/>
      <c r="CY2" s="216"/>
      <c r="CZ2" s="216"/>
      <c r="DA2" s="216"/>
      <c r="DB2" s="216"/>
      <c r="DC2" s="216"/>
      <c r="DD2" s="216" t="s">
        <v>266</v>
      </c>
      <c r="DE2" s="167"/>
      <c r="DF2" s="167"/>
      <c r="DG2" s="167"/>
      <c r="DH2" s="167"/>
      <c r="DI2" s="167"/>
      <c r="DJ2" s="167"/>
      <c r="DK2" s="167"/>
      <c r="DL2" s="167"/>
      <c r="DM2" s="167"/>
      <c r="DN2" s="167"/>
      <c r="DO2" s="167"/>
      <c r="DP2" s="167"/>
      <c r="DQ2" s="167"/>
      <c r="DR2" s="167"/>
      <c r="DS2" s="167"/>
      <c r="DT2" s="167"/>
      <c r="DU2" s="167"/>
      <c r="DV2" s="167"/>
      <c r="DW2" s="167"/>
      <c r="DX2" s="167"/>
      <c r="DY2" s="167"/>
      <c r="DZ2" s="167"/>
      <c r="EA2" s="167"/>
      <c r="EB2" s="167"/>
      <c r="EC2" s="167"/>
      <c r="ED2" s="167"/>
      <c r="EE2" s="167"/>
      <c r="EF2" s="167"/>
      <c r="EG2" s="167"/>
      <c r="EH2" s="167"/>
      <c r="EI2" s="167"/>
      <c r="EJ2" s="167"/>
      <c r="EK2" s="167"/>
      <c r="EL2" s="168"/>
      <c r="EM2" s="216" t="s">
        <v>267</v>
      </c>
      <c r="EN2" s="167"/>
      <c r="EO2" s="167"/>
      <c r="EP2" s="167"/>
      <c r="EQ2" s="167"/>
      <c r="ER2" s="167"/>
      <c r="ES2" s="167"/>
      <c r="ET2" s="167"/>
      <c r="EU2" s="167"/>
      <c r="EV2" s="167"/>
      <c r="EW2" s="167"/>
      <c r="EX2" s="167"/>
      <c r="EY2" s="167"/>
      <c r="EZ2" s="167"/>
      <c r="FA2" s="167"/>
      <c r="FB2" s="167"/>
      <c r="FC2" s="167"/>
      <c r="FD2" s="167"/>
      <c r="FE2" s="167"/>
      <c r="FF2" s="167"/>
      <c r="FG2" s="167"/>
      <c r="FH2" s="167"/>
      <c r="FI2" s="167"/>
      <c r="FJ2" s="167"/>
      <c r="FK2" s="167"/>
      <c r="FL2" s="167"/>
      <c r="FM2" s="167"/>
      <c r="FN2" s="167"/>
      <c r="FO2" s="167"/>
      <c r="FP2" s="167"/>
      <c r="FQ2" s="167"/>
      <c r="FR2" s="167"/>
      <c r="FS2" s="167"/>
      <c r="FT2" s="167"/>
      <c r="FU2" s="168"/>
      <c r="FV2" s="216" t="s">
        <v>268</v>
      </c>
      <c r="FW2" s="167"/>
      <c r="FX2" s="167"/>
      <c r="FY2" s="167"/>
      <c r="FZ2" s="167"/>
      <c r="GA2" s="167"/>
      <c r="GB2" s="167"/>
      <c r="GC2" s="167"/>
      <c r="GD2" s="167"/>
      <c r="GE2" s="167"/>
      <c r="GF2" s="167"/>
      <c r="GG2" s="167"/>
      <c r="GH2" s="167"/>
      <c r="GI2" s="167"/>
      <c r="GJ2" s="167"/>
      <c r="GK2" s="167"/>
      <c r="GL2" s="167"/>
      <c r="GM2" s="167"/>
      <c r="GN2" s="167"/>
      <c r="GO2" s="167"/>
      <c r="GP2" s="167"/>
      <c r="GQ2" s="167"/>
      <c r="GR2" s="167"/>
      <c r="GS2" s="167"/>
      <c r="GT2" s="167"/>
      <c r="GU2" s="167"/>
      <c r="GV2" s="167"/>
      <c r="GW2" s="167"/>
      <c r="GX2" s="167"/>
      <c r="GY2" s="167"/>
      <c r="GZ2" s="167"/>
      <c r="HA2" s="167"/>
      <c r="HB2" s="167"/>
      <c r="HC2" s="167"/>
      <c r="HD2" s="168"/>
      <c r="HE2" s="216" t="s">
        <v>269</v>
      </c>
      <c r="HF2" s="167"/>
      <c r="HG2" s="167"/>
      <c r="HH2" s="167"/>
      <c r="HI2" s="167"/>
      <c r="HJ2" s="167"/>
      <c r="HK2" s="167"/>
      <c r="HL2" s="167"/>
      <c r="HM2" s="167"/>
      <c r="HN2" s="167"/>
      <c r="HO2" s="167"/>
      <c r="HP2" s="167"/>
      <c r="HQ2" s="167"/>
      <c r="HR2" s="167"/>
      <c r="HS2" s="167"/>
      <c r="HT2" s="167"/>
      <c r="HU2" s="167"/>
      <c r="HV2" s="167"/>
      <c r="HW2" s="167"/>
      <c r="HX2" s="167"/>
      <c r="HY2" s="167"/>
      <c r="HZ2" s="167"/>
      <c r="IA2" s="167"/>
      <c r="IB2" s="167"/>
      <c r="IC2" s="167"/>
      <c r="ID2" s="167"/>
      <c r="IE2" s="167"/>
      <c r="IF2" s="167"/>
      <c r="IG2" s="167"/>
      <c r="IH2" s="167"/>
      <c r="II2" s="167"/>
      <c r="IJ2" s="167"/>
      <c r="IK2" s="167"/>
      <c r="IL2" s="167"/>
      <c r="IM2" s="168"/>
      <c r="IN2" s="216" t="s">
        <v>270</v>
      </c>
      <c r="IO2" s="167"/>
      <c r="IP2" s="167"/>
      <c r="IQ2" s="167"/>
      <c r="IR2" s="167"/>
      <c r="IS2" s="167"/>
      <c r="IT2" s="167"/>
      <c r="IU2" s="167"/>
      <c r="IV2" s="167"/>
      <c r="IW2" s="167"/>
      <c r="IX2" s="167"/>
      <c r="IY2" s="167"/>
      <c r="IZ2" s="167"/>
      <c r="JA2" s="167"/>
      <c r="JB2" s="167"/>
      <c r="JC2" s="167"/>
      <c r="JD2" s="167"/>
      <c r="JE2" s="167"/>
      <c r="JF2" s="167"/>
      <c r="JG2" s="167"/>
      <c r="JH2" s="167"/>
      <c r="JI2" s="167"/>
      <c r="JJ2" s="167"/>
      <c r="JK2" s="167"/>
      <c r="JL2" s="167"/>
      <c r="JM2" s="167"/>
      <c r="JN2" s="167"/>
      <c r="JO2" s="167"/>
      <c r="JP2" s="167"/>
      <c r="JQ2" s="167"/>
      <c r="JR2" s="167"/>
      <c r="JS2" s="167"/>
      <c r="JT2" s="167"/>
      <c r="JU2" s="167"/>
      <c r="JV2" s="168"/>
      <c r="JW2" s="216" t="s">
        <v>271</v>
      </c>
      <c r="JX2" s="167"/>
      <c r="JY2" s="167"/>
      <c r="JZ2" s="167"/>
      <c r="KA2" s="167"/>
      <c r="KB2" s="167"/>
      <c r="KC2" s="167"/>
      <c r="KD2" s="167"/>
      <c r="KE2" s="167"/>
      <c r="KF2" s="167"/>
      <c r="KG2" s="167"/>
      <c r="KH2" s="167"/>
      <c r="KI2" s="167"/>
      <c r="KJ2" s="167"/>
      <c r="KK2" s="167"/>
      <c r="KL2" s="167"/>
      <c r="KM2" s="167"/>
      <c r="KN2" s="167"/>
      <c r="KO2" s="167"/>
      <c r="KP2" s="167"/>
      <c r="KQ2" s="167"/>
      <c r="KR2" s="167"/>
      <c r="KS2" s="167"/>
      <c r="KT2" s="167"/>
      <c r="KU2" s="167"/>
      <c r="KV2" s="167"/>
      <c r="KW2" s="167"/>
      <c r="KX2" s="167"/>
      <c r="KY2" s="167"/>
      <c r="KZ2" s="167"/>
      <c r="LA2" s="167"/>
      <c r="LB2" s="167"/>
      <c r="LC2" s="167"/>
      <c r="LD2" s="167"/>
      <c r="LE2" s="168"/>
      <c r="LF2" s="216" t="s">
        <v>272</v>
      </c>
      <c r="LG2" s="167"/>
      <c r="LH2" s="167"/>
      <c r="LI2" s="167"/>
      <c r="LJ2" s="167"/>
      <c r="LK2" s="167"/>
      <c r="LL2" s="167"/>
      <c r="LM2" s="167"/>
      <c r="LN2" s="167"/>
      <c r="LO2" s="167"/>
      <c r="LP2" s="167"/>
      <c r="LQ2" s="167"/>
      <c r="LR2" s="167"/>
      <c r="LS2" s="167"/>
      <c r="LT2" s="167"/>
      <c r="LU2" s="167"/>
      <c r="LV2" s="167"/>
      <c r="LW2" s="167"/>
      <c r="LX2" s="167"/>
      <c r="LY2" s="167"/>
      <c r="LZ2" s="167"/>
      <c r="MA2" s="167"/>
      <c r="MB2" s="167"/>
      <c r="MC2" s="167"/>
      <c r="MD2" s="167"/>
      <c r="ME2" s="167"/>
      <c r="MF2" s="167"/>
      <c r="MG2" s="167"/>
      <c r="MH2" s="167"/>
      <c r="MI2" s="167"/>
      <c r="MJ2" s="167"/>
      <c r="MK2" s="167"/>
      <c r="ML2" s="167"/>
      <c r="MM2" s="167"/>
      <c r="MN2" s="168"/>
      <c r="MO2" s="216" t="s">
        <v>273</v>
      </c>
      <c r="MP2" s="167"/>
      <c r="MQ2" s="167"/>
      <c r="MR2" s="167"/>
      <c r="MS2" s="167"/>
      <c r="MT2" s="167"/>
      <c r="MU2" s="167"/>
      <c r="MV2" s="167"/>
      <c r="MW2" s="167"/>
      <c r="MX2" s="167"/>
      <c r="MY2" s="167"/>
      <c r="MZ2" s="167"/>
      <c r="NA2" s="167"/>
      <c r="NB2" s="167"/>
      <c r="NC2" s="167"/>
      <c r="ND2" s="167"/>
      <c r="NE2" s="167"/>
      <c r="NF2" s="167"/>
      <c r="NG2" s="167"/>
      <c r="NH2" s="167"/>
      <c r="NI2" s="167"/>
      <c r="NJ2" s="167"/>
      <c r="NK2" s="167"/>
      <c r="NL2" s="167"/>
      <c r="NM2" s="167"/>
      <c r="NN2" s="167"/>
      <c r="NO2" s="167"/>
      <c r="NP2" s="167"/>
      <c r="NQ2" s="167"/>
      <c r="NR2" s="167"/>
      <c r="NS2" s="167"/>
      <c r="NT2" s="167"/>
      <c r="NU2" s="167"/>
      <c r="NV2" s="167"/>
      <c r="NW2" s="168"/>
      <c r="NX2" s="216" t="s">
        <v>274</v>
      </c>
      <c r="NY2" s="167"/>
      <c r="NZ2" s="167"/>
      <c r="OA2" s="167"/>
      <c r="OB2" s="167"/>
      <c r="OC2" s="167"/>
      <c r="OD2" s="167"/>
      <c r="OE2" s="167"/>
      <c r="OF2" s="167"/>
      <c r="OG2" s="167"/>
      <c r="OH2" s="167"/>
      <c r="OI2" s="167"/>
      <c r="OJ2" s="167"/>
      <c r="OK2" s="167"/>
      <c r="OL2" s="167"/>
      <c r="OM2" s="167"/>
      <c r="ON2" s="167"/>
      <c r="OO2" s="167"/>
      <c r="OP2" s="167"/>
      <c r="OQ2" s="167"/>
      <c r="OR2" s="167"/>
      <c r="OS2" s="167"/>
      <c r="OT2" s="167"/>
      <c r="OU2" s="167"/>
      <c r="OV2" s="167"/>
      <c r="OW2" s="167"/>
      <c r="OX2" s="167"/>
      <c r="OY2" s="167"/>
      <c r="OZ2" s="167"/>
      <c r="PA2" s="167"/>
      <c r="PB2" s="167"/>
      <c r="PC2" s="167"/>
      <c r="PD2" s="167"/>
      <c r="PE2" s="167"/>
      <c r="PF2" s="168"/>
      <c r="PG2" s="216" t="s">
        <v>27</v>
      </c>
      <c r="PH2" s="216"/>
      <c r="PI2" s="216"/>
      <c r="PJ2" s="216"/>
      <c r="PK2" s="216"/>
      <c r="PL2" s="216"/>
      <c r="PM2" s="216"/>
      <c r="PN2" s="216"/>
      <c r="PO2" s="216"/>
      <c r="PP2" s="216"/>
      <c r="PQ2" s="216"/>
      <c r="PR2" s="216"/>
      <c r="PS2" s="216"/>
      <c r="PT2" s="216"/>
    </row>
    <row r="3" spans="1:436" x14ac:dyDescent="0.4">
      <c r="A3" s="211"/>
      <c r="B3" s="214"/>
      <c r="C3" s="216" t="s">
        <v>6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163" t="s">
        <v>7</v>
      </c>
      <c r="AI3" s="163"/>
      <c r="AJ3" s="163"/>
      <c r="AK3" s="163"/>
      <c r="AL3" s="216" t="s">
        <v>6</v>
      </c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6"/>
      <c r="BQ3" s="163" t="s">
        <v>7</v>
      </c>
      <c r="BR3" s="163"/>
      <c r="BS3" s="163"/>
      <c r="BT3" s="163"/>
      <c r="BU3" s="216" t="s">
        <v>6</v>
      </c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6"/>
      <c r="CH3" s="216"/>
      <c r="CI3" s="216"/>
      <c r="CJ3" s="216"/>
      <c r="CK3" s="216"/>
      <c r="CL3" s="216"/>
      <c r="CM3" s="216"/>
      <c r="CN3" s="216"/>
      <c r="CO3" s="216"/>
      <c r="CP3" s="216"/>
      <c r="CQ3" s="216"/>
      <c r="CR3" s="216"/>
      <c r="CS3" s="216"/>
      <c r="CT3" s="216"/>
      <c r="CU3" s="216"/>
      <c r="CV3" s="216"/>
      <c r="CW3" s="216"/>
      <c r="CX3" s="216"/>
      <c r="CY3" s="216"/>
      <c r="CZ3" s="163" t="s">
        <v>7</v>
      </c>
      <c r="DA3" s="163"/>
      <c r="DB3" s="163"/>
      <c r="DC3" s="163"/>
      <c r="DD3" s="216" t="s">
        <v>6</v>
      </c>
      <c r="DE3" s="216"/>
      <c r="DF3" s="216"/>
      <c r="DG3" s="216"/>
      <c r="DH3" s="216"/>
      <c r="DI3" s="216"/>
      <c r="DJ3" s="216"/>
      <c r="DK3" s="216"/>
      <c r="DL3" s="216"/>
      <c r="DM3" s="216"/>
      <c r="DN3" s="216"/>
      <c r="DO3" s="216"/>
      <c r="DP3" s="216"/>
      <c r="DQ3" s="216"/>
      <c r="DR3" s="216"/>
      <c r="DS3" s="216"/>
      <c r="DT3" s="216"/>
      <c r="DU3" s="216"/>
      <c r="DV3" s="216"/>
      <c r="DW3" s="216"/>
      <c r="DX3" s="216"/>
      <c r="DY3" s="216"/>
      <c r="DZ3" s="216"/>
      <c r="EA3" s="216"/>
      <c r="EB3" s="216"/>
      <c r="EC3" s="216"/>
      <c r="ED3" s="216"/>
      <c r="EE3" s="216"/>
      <c r="EF3" s="216"/>
      <c r="EG3" s="216"/>
      <c r="EH3" s="216"/>
      <c r="EI3" s="163" t="s">
        <v>7</v>
      </c>
      <c r="EJ3" s="163"/>
      <c r="EK3" s="163"/>
      <c r="EL3" s="163"/>
      <c r="EM3" s="216" t="s">
        <v>6</v>
      </c>
      <c r="EN3" s="216"/>
      <c r="EO3" s="216"/>
      <c r="EP3" s="216"/>
      <c r="EQ3" s="216"/>
      <c r="ER3" s="216"/>
      <c r="ES3" s="216"/>
      <c r="ET3" s="216"/>
      <c r="EU3" s="216"/>
      <c r="EV3" s="216"/>
      <c r="EW3" s="216"/>
      <c r="EX3" s="216"/>
      <c r="EY3" s="216"/>
      <c r="EZ3" s="216"/>
      <c r="FA3" s="216"/>
      <c r="FB3" s="216"/>
      <c r="FC3" s="216"/>
      <c r="FD3" s="216"/>
      <c r="FE3" s="216"/>
      <c r="FF3" s="216"/>
      <c r="FG3" s="216"/>
      <c r="FH3" s="216"/>
      <c r="FI3" s="216"/>
      <c r="FJ3" s="216"/>
      <c r="FK3" s="216"/>
      <c r="FL3" s="216"/>
      <c r="FM3" s="216"/>
      <c r="FN3" s="216"/>
      <c r="FO3" s="216"/>
      <c r="FP3" s="216"/>
      <c r="FQ3" s="216"/>
      <c r="FR3" s="163" t="s">
        <v>7</v>
      </c>
      <c r="FS3" s="163"/>
      <c r="FT3" s="163"/>
      <c r="FU3" s="163"/>
      <c r="FV3" s="216" t="s">
        <v>6</v>
      </c>
      <c r="FW3" s="216"/>
      <c r="FX3" s="216"/>
      <c r="FY3" s="216"/>
      <c r="FZ3" s="216"/>
      <c r="GA3" s="216"/>
      <c r="GB3" s="216"/>
      <c r="GC3" s="216"/>
      <c r="GD3" s="216"/>
      <c r="GE3" s="216"/>
      <c r="GF3" s="216"/>
      <c r="GG3" s="216"/>
      <c r="GH3" s="216"/>
      <c r="GI3" s="216"/>
      <c r="GJ3" s="216"/>
      <c r="GK3" s="216"/>
      <c r="GL3" s="216"/>
      <c r="GM3" s="216"/>
      <c r="GN3" s="216"/>
      <c r="GO3" s="216"/>
      <c r="GP3" s="216"/>
      <c r="GQ3" s="216"/>
      <c r="GR3" s="216"/>
      <c r="GS3" s="216"/>
      <c r="GT3" s="216"/>
      <c r="GU3" s="216"/>
      <c r="GV3" s="216"/>
      <c r="GW3" s="216"/>
      <c r="GX3" s="216"/>
      <c r="GY3" s="216"/>
      <c r="GZ3" s="216"/>
      <c r="HA3" s="163" t="s">
        <v>7</v>
      </c>
      <c r="HB3" s="163"/>
      <c r="HC3" s="163"/>
      <c r="HD3" s="163"/>
      <c r="HE3" s="216" t="s">
        <v>6</v>
      </c>
      <c r="HF3" s="216"/>
      <c r="HG3" s="216"/>
      <c r="HH3" s="216"/>
      <c r="HI3" s="216"/>
      <c r="HJ3" s="216"/>
      <c r="HK3" s="216"/>
      <c r="HL3" s="216"/>
      <c r="HM3" s="216"/>
      <c r="HN3" s="216"/>
      <c r="HO3" s="216"/>
      <c r="HP3" s="216"/>
      <c r="HQ3" s="216"/>
      <c r="HR3" s="216"/>
      <c r="HS3" s="216"/>
      <c r="HT3" s="216"/>
      <c r="HU3" s="216"/>
      <c r="HV3" s="216"/>
      <c r="HW3" s="216"/>
      <c r="HX3" s="216"/>
      <c r="HY3" s="216"/>
      <c r="HZ3" s="216"/>
      <c r="IA3" s="216"/>
      <c r="IB3" s="216"/>
      <c r="IC3" s="216"/>
      <c r="ID3" s="216"/>
      <c r="IE3" s="216"/>
      <c r="IF3" s="216"/>
      <c r="IG3" s="216"/>
      <c r="IH3" s="216"/>
      <c r="II3" s="216"/>
      <c r="IJ3" s="163" t="s">
        <v>7</v>
      </c>
      <c r="IK3" s="163"/>
      <c r="IL3" s="163"/>
      <c r="IM3" s="163"/>
      <c r="IN3" s="216" t="s">
        <v>6</v>
      </c>
      <c r="IO3" s="216"/>
      <c r="IP3" s="216"/>
      <c r="IQ3" s="216"/>
      <c r="IR3" s="216"/>
      <c r="IS3" s="216"/>
      <c r="IT3" s="216"/>
      <c r="IU3" s="216"/>
      <c r="IV3" s="216"/>
      <c r="IW3" s="216"/>
      <c r="IX3" s="216"/>
      <c r="IY3" s="216"/>
      <c r="IZ3" s="216"/>
      <c r="JA3" s="216"/>
      <c r="JB3" s="216"/>
      <c r="JC3" s="216"/>
      <c r="JD3" s="216"/>
      <c r="JE3" s="216"/>
      <c r="JF3" s="216"/>
      <c r="JG3" s="216"/>
      <c r="JH3" s="216"/>
      <c r="JI3" s="216"/>
      <c r="JJ3" s="216"/>
      <c r="JK3" s="216"/>
      <c r="JL3" s="216"/>
      <c r="JM3" s="216"/>
      <c r="JN3" s="216"/>
      <c r="JO3" s="216"/>
      <c r="JP3" s="216"/>
      <c r="JQ3" s="216"/>
      <c r="JR3" s="216"/>
      <c r="JS3" s="163" t="s">
        <v>7</v>
      </c>
      <c r="JT3" s="163"/>
      <c r="JU3" s="163"/>
      <c r="JV3" s="163"/>
      <c r="JW3" s="216" t="s">
        <v>6</v>
      </c>
      <c r="JX3" s="216"/>
      <c r="JY3" s="216"/>
      <c r="JZ3" s="216"/>
      <c r="KA3" s="216"/>
      <c r="KB3" s="216"/>
      <c r="KC3" s="216"/>
      <c r="KD3" s="216"/>
      <c r="KE3" s="216"/>
      <c r="KF3" s="216"/>
      <c r="KG3" s="216"/>
      <c r="KH3" s="216"/>
      <c r="KI3" s="216"/>
      <c r="KJ3" s="216"/>
      <c r="KK3" s="216"/>
      <c r="KL3" s="216"/>
      <c r="KM3" s="216"/>
      <c r="KN3" s="216"/>
      <c r="KO3" s="216"/>
      <c r="KP3" s="216"/>
      <c r="KQ3" s="216"/>
      <c r="KR3" s="216"/>
      <c r="KS3" s="216"/>
      <c r="KT3" s="216"/>
      <c r="KU3" s="216"/>
      <c r="KV3" s="216"/>
      <c r="KW3" s="216"/>
      <c r="KX3" s="216"/>
      <c r="KY3" s="216"/>
      <c r="KZ3" s="216"/>
      <c r="LA3" s="216"/>
      <c r="LB3" s="163" t="s">
        <v>7</v>
      </c>
      <c r="LC3" s="163"/>
      <c r="LD3" s="163"/>
      <c r="LE3" s="163"/>
      <c r="LF3" s="216" t="s">
        <v>6</v>
      </c>
      <c r="LG3" s="216"/>
      <c r="LH3" s="216"/>
      <c r="LI3" s="216"/>
      <c r="LJ3" s="216"/>
      <c r="LK3" s="216"/>
      <c r="LL3" s="216"/>
      <c r="LM3" s="216"/>
      <c r="LN3" s="216"/>
      <c r="LO3" s="216"/>
      <c r="LP3" s="216"/>
      <c r="LQ3" s="216"/>
      <c r="LR3" s="216"/>
      <c r="LS3" s="216"/>
      <c r="LT3" s="216"/>
      <c r="LU3" s="216"/>
      <c r="LV3" s="216"/>
      <c r="LW3" s="216"/>
      <c r="LX3" s="216"/>
      <c r="LY3" s="216"/>
      <c r="LZ3" s="216"/>
      <c r="MA3" s="216"/>
      <c r="MB3" s="216"/>
      <c r="MC3" s="216"/>
      <c r="MD3" s="216"/>
      <c r="ME3" s="216"/>
      <c r="MF3" s="216"/>
      <c r="MG3" s="216"/>
      <c r="MH3" s="216"/>
      <c r="MI3" s="216"/>
      <c r="MJ3" s="216"/>
      <c r="MK3" s="163" t="s">
        <v>7</v>
      </c>
      <c r="ML3" s="163"/>
      <c r="MM3" s="163"/>
      <c r="MN3" s="163"/>
      <c r="MO3" s="216" t="s">
        <v>6</v>
      </c>
      <c r="MP3" s="216"/>
      <c r="MQ3" s="216"/>
      <c r="MR3" s="216"/>
      <c r="MS3" s="216"/>
      <c r="MT3" s="216"/>
      <c r="MU3" s="216"/>
      <c r="MV3" s="216"/>
      <c r="MW3" s="216"/>
      <c r="MX3" s="216"/>
      <c r="MY3" s="216"/>
      <c r="MZ3" s="216"/>
      <c r="NA3" s="216"/>
      <c r="NB3" s="216"/>
      <c r="NC3" s="216"/>
      <c r="ND3" s="216"/>
      <c r="NE3" s="216"/>
      <c r="NF3" s="216"/>
      <c r="NG3" s="216"/>
      <c r="NH3" s="216"/>
      <c r="NI3" s="216"/>
      <c r="NJ3" s="216"/>
      <c r="NK3" s="216"/>
      <c r="NL3" s="216"/>
      <c r="NM3" s="216"/>
      <c r="NN3" s="216"/>
      <c r="NO3" s="216"/>
      <c r="NP3" s="216"/>
      <c r="NQ3" s="216"/>
      <c r="NR3" s="216"/>
      <c r="NS3" s="216"/>
      <c r="NT3" s="163" t="s">
        <v>7</v>
      </c>
      <c r="NU3" s="163"/>
      <c r="NV3" s="163"/>
      <c r="NW3" s="163"/>
      <c r="NX3" s="216" t="s">
        <v>6</v>
      </c>
      <c r="NY3" s="216"/>
      <c r="NZ3" s="216"/>
      <c r="OA3" s="216"/>
      <c r="OB3" s="216"/>
      <c r="OC3" s="216"/>
      <c r="OD3" s="216"/>
      <c r="OE3" s="216"/>
      <c r="OF3" s="216"/>
      <c r="OG3" s="216"/>
      <c r="OH3" s="216"/>
      <c r="OI3" s="216"/>
      <c r="OJ3" s="216"/>
      <c r="OK3" s="216"/>
      <c r="OL3" s="216"/>
      <c r="OM3" s="216"/>
      <c r="ON3" s="216"/>
      <c r="OO3" s="216"/>
      <c r="OP3" s="216"/>
      <c r="OQ3" s="216"/>
      <c r="OR3" s="216"/>
      <c r="OS3" s="216"/>
      <c r="OT3" s="216"/>
      <c r="OU3" s="216"/>
      <c r="OV3" s="216"/>
      <c r="OW3" s="216"/>
      <c r="OX3" s="216"/>
      <c r="OY3" s="216"/>
      <c r="OZ3" s="216"/>
      <c r="PA3" s="216"/>
      <c r="PB3" s="216"/>
      <c r="PC3" s="163" t="s">
        <v>7</v>
      </c>
      <c r="PD3" s="163"/>
      <c r="PE3" s="163"/>
      <c r="PF3" s="163"/>
      <c r="PG3" s="3" t="s">
        <v>28</v>
      </c>
      <c r="PH3" s="3" t="s">
        <v>29</v>
      </c>
      <c r="PI3" s="3" t="s">
        <v>30</v>
      </c>
      <c r="PJ3" s="3" t="s">
        <v>31</v>
      </c>
      <c r="PK3" s="3" t="s">
        <v>32</v>
      </c>
      <c r="PL3" s="3" t="s">
        <v>33</v>
      </c>
      <c r="PM3" s="131" t="s">
        <v>34</v>
      </c>
      <c r="PN3" s="131" t="s">
        <v>35</v>
      </c>
      <c r="PO3" s="131" t="s">
        <v>36</v>
      </c>
      <c r="PP3" s="131" t="s">
        <v>37</v>
      </c>
      <c r="PQ3" s="131" t="s">
        <v>38</v>
      </c>
      <c r="PR3" s="131" t="s">
        <v>39</v>
      </c>
      <c r="PS3" s="3" t="s">
        <v>17</v>
      </c>
      <c r="PT3" s="220" t="s">
        <v>40</v>
      </c>
    </row>
    <row r="4" spans="1:436" x14ac:dyDescent="0.4">
      <c r="A4" s="211"/>
      <c r="B4" s="214"/>
      <c r="C4" s="6">
        <v>1</v>
      </c>
      <c r="D4" s="6">
        <v>2</v>
      </c>
      <c r="E4" s="6">
        <v>3</v>
      </c>
      <c r="F4" s="6">
        <v>4</v>
      </c>
      <c r="G4" s="6">
        <v>5</v>
      </c>
      <c r="H4" s="6">
        <v>6</v>
      </c>
      <c r="I4" s="6">
        <v>7</v>
      </c>
      <c r="J4" s="6">
        <v>8</v>
      </c>
      <c r="K4" s="6">
        <v>9</v>
      </c>
      <c r="L4" s="6">
        <v>10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6">
        <v>18</v>
      </c>
      <c r="U4" s="6">
        <v>19</v>
      </c>
      <c r="V4" s="6">
        <v>20</v>
      </c>
      <c r="W4" s="6">
        <v>21</v>
      </c>
      <c r="X4" s="6">
        <v>22</v>
      </c>
      <c r="Y4" s="6">
        <v>23</v>
      </c>
      <c r="Z4" s="6">
        <v>24</v>
      </c>
      <c r="AA4" s="6">
        <v>25</v>
      </c>
      <c r="AB4" s="6">
        <v>26</v>
      </c>
      <c r="AC4" s="6">
        <v>27</v>
      </c>
      <c r="AD4" s="6">
        <v>28</v>
      </c>
      <c r="AE4" s="6">
        <v>29</v>
      </c>
      <c r="AF4" s="6">
        <v>30</v>
      </c>
      <c r="AG4" s="6">
        <v>31</v>
      </c>
      <c r="AH4" s="217">
        <v>11</v>
      </c>
      <c r="AI4" s="218"/>
      <c r="AJ4" s="219"/>
      <c r="AK4" s="7" t="s">
        <v>8</v>
      </c>
      <c r="AL4" s="6">
        <v>1</v>
      </c>
      <c r="AM4" s="6">
        <v>2</v>
      </c>
      <c r="AN4" s="6">
        <v>3</v>
      </c>
      <c r="AO4" s="6">
        <v>4</v>
      </c>
      <c r="AP4" s="6">
        <v>5</v>
      </c>
      <c r="AQ4" s="6">
        <v>6</v>
      </c>
      <c r="AR4" s="6">
        <v>7</v>
      </c>
      <c r="AS4" s="6">
        <v>8</v>
      </c>
      <c r="AT4" s="6">
        <v>9</v>
      </c>
      <c r="AU4" s="6">
        <v>10</v>
      </c>
      <c r="AV4" s="6">
        <v>11</v>
      </c>
      <c r="AW4" s="6">
        <v>12</v>
      </c>
      <c r="AX4" s="6">
        <v>13</v>
      </c>
      <c r="AY4" s="6">
        <v>14</v>
      </c>
      <c r="AZ4" s="6">
        <v>15</v>
      </c>
      <c r="BA4" s="6">
        <v>16</v>
      </c>
      <c r="BB4" s="6">
        <v>17</v>
      </c>
      <c r="BC4" s="6">
        <v>18</v>
      </c>
      <c r="BD4" s="6">
        <v>19</v>
      </c>
      <c r="BE4" s="6">
        <v>20</v>
      </c>
      <c r="BF4" s="6">
        <v>21</v>
      </c>
      <c r="BG4" s="6">
        <v>22</v>
      </c>
      <c r="BH4" s="6">
        <v>23</v>
      </c>
      <c r="BI4" s="6">
        <v>24</v>
      </c>
      <c r="BJ4" s="6">
        <v>25</v>
      </c>
      <c r="BK4" s="6">
        <v>26</v>
      </c>
      <c r="BL4" s="6">
        <v>27</v>
      </c>
      <c r="BM4" s="6">
        <v>28</v>
      </c>
      <c r="BN4" s="6">
        <v>29</v>
      </c>
      <c r="BO4" s="6">
        <v>30</v>
      </c>
      <c r="BP4" s="6"/>
      <c r="BQ4" s="217">
        <v>19</v>
      </c>
      <c r="BR4" s="218"/>
      <c r="BS4" s="219"/>
      <c r="BT4" s="7" t="s">
        <v>8</v>
      </c>
      <c r="BU4" s="6">
        <v>1</v>
      </c>
      <c r="BV4" s="6">
        <v>2</v>
      </c>
      <c r="BW4" s="6">
        <v>3</v>
      </c>
      <c r="BX4" s="6">
        <v>4</v>
      </c>
      <c r="BY4" s="6">
        <v>5</v>
      </c>
      <c r="BZ4" s="6">
        <v>6</v>
      </c>
      <c r="CA4" s="6">
        <v>7</v>
      </c>
      <c r="CB4" s="6">
        <v>8</v>
      </c>
      <c r="CC4" s="6">
        <v>9</v>
      </c>
      <c r="CD4" s="6">
        <v>10</v>
      </c>
      <c r="CE4" s="6">
        <v>11</v>
      </c>
      <c r="CF4" s="6">
        <v>12</v>
      </c>
      <c r="CG4" s="6">
        <v>13</v>
      </c>
      <c r="CH4" s="6">
        <v>14</v>
      </c>
      <c r="CI4" s="6">
        <v>15</v>
      </c>
      <c r="CJ4" s="6">
        <v>16</v>
      </c>
      <c r="CK4" s="6">
        <v>17</v>
      </c>
      <c r="CL4" s="6">
        <v>18</v>
      </c>
      <c r="CM4" s="6">
        <v>19</v>
      </c>
      <c r="CN4" s="6">
        <v>20</v>
      </c>
      <c r="CO4" s="6">
        <v>21</v>
      </c>
      <c r="CP4" s="6">
        <v>22</v>
      </c>
      <c r="CQ4" s="6">
        <v>23</v>
      </c>
      <c r="CR4" s="6">
        <v>24</v>
      </c>
      <c r="CS4" s="6">
        <v>25</v>
      </c>
      <c r="CT4" s="6">
        <v>26</v>
      </c>
      <c r="CU4" s="6">
        <v>27</v>
      </c>
      <c r="CV4" s="6">
        <v>28</v>
      </c>
      <c r="CW4" s="6">
        <v>29</v>
      </c>
      <c r="CX4" s="6">
        <v>30</v>
      </c>
      <c r="CY4" s="6">
        <v>31</v>
      </c>
      <c r="CZ4" s="217">
        <v>21</v>
      </c>
      <c r="DA4" s="218"/>
      <c r="DB4" s="219"/>
      <c r="DC4" s="7" t="s">
        <v>8</v>
      </c>
      <c r="DD4" s="6">
        <v>1</v>
      </c>
      <c r="DE4" s="6">
        <v>2</v>
      </c>
      <c r="DF4" s="6">
        <v>3</v>
      </c>
      <c r="DG4" s="6">
        <v>4</v>
      </c>
      <c r="DH4" s="6">
        <v>5</v>
      </c>
      <c r="DI4" s="6">
        <v>6</v>
      </c>
      <c r="DJ4" s="6">
        <v>7</v>
      </c>
      <c r="DK4" s="6">
        <v>8</v>
      </c>
      <c r="DL4" s="6">
        <v>9</v>
      </c>
      <c r="DM4" s="6">
        <v>10</v>
      </c>
      <c r="DN4" s="6">
        <v>11</v>
      </c>
      <c r="DO4" s="6">
        <v>12</v>
      </c>
      <c r="DP4" s="6">
        <v>13</v>
      </c>
      <c r="DQ4" s="6">
        <v>14</v>
      </c>
      <c r="DR4" s="6">
        <v>15</v>
      </c>
      <c r="DS4" s="6">
        <v>16</v>
      </c>
      <c r="DT4" s="6">
        <v>17</v>
      </c>
      <c r="DU4" s="6">
        <v>18</v>
      </c>
      <c r="DV4" s="6">
        <v>19</v>
      </c>
      <c r="DW4" s="6">
        <v>20</v>
      </c>
      <c r="DX4" s="6">
        <v>21</v>
      </c>
      <c r="DY4" s="6">
        <v>22</v>
      </c>
      <c r="DZ4" s="6">
        <v>23</v>
      </c>
      <c r="EA4" s="6">
        <v>24</v>
      </c>
      <c r="EB4" s="6">
        <v>25</v>
      </c>
      <c r="EC4" s="6">
        <v>26</v>
      </c>
      <c r="ED4" s="6">
        <v>27</v>
      </c>
      <c r="EE4" s="6">
        <v>28</v>
      </c>
      <c r="EF4" s="6">
        <v>29</v>
      </c>
      <c r="EG4" s="6">
        <v>30</v>
      </c>
      <c r="EH4" s="6">
        <v>31</v>
      </c>
      <c r="EI4" s="217">
        <v>21</v>
      </c>
      <c r="EJ4" s="218"/>
      <c r="EK4" s="219"/>
      <c r="EL4" s="7" t="s">
        <v>8</v>
      </c>
      <c r="EM4" s="6">
        <v>1</v>
      </c>
      <c r="EN4" s="6">
        <v>2</v>
      </c>
      <c r="EO4" s="6">
        <v>3</v>
      </c>
      <c r="EP4" s="6">
        <v>4</v>
      </c>
      <c r="EQ4" s="6">
        <v>5</v>
      </c>
      <c r="ER4" s="6">
        <v>6</v>
      </c>
      <c r="ES4" s="6">
        <v>7</v>
      </c>
      <c r="ET4" s="6">
        <v>8</v>
      </c>
      <c r="EU4" s="6">
        <v>9</v>
      </c>
      <c r="EV4" s="6">
        <v>10</v>
      </c>
      <c r="EW4" s="6">
        <v>11</v>
      </c>
      <c r="EX4" s="6">
        <v>12</v>
      </c>
      <c r="EY4" s="6">
        <v>13</v>
      </c>
      <c r="EZ4" s="6">
        <v>14</v>
      </c>
      <c r="FA4" s="6">
        <v>15</v>
      </c>
      <c r="FB4" s="6">
        <v>16</v>
      </c>
      <c r="FC4" s="6">
        <v>17</v>
      </c>
      <c r="FD4" s="6">
        <v>18</v>
      </c>
      <c r="FE4" s="6">
        <v>19</v>
      </c>
      <c r="FF4" s="6">
        <v>20</v>
      </c>
      <c r="FG4" s="6">
        <v>21</v>
      </c>
      <c r="FH4" s="6">
        <v>22</v>
      </c>
      <c r="FI4" s="6">
        <v>23</v>
      </c>
      <c r="FJ4" s="6">
        <v>24</v>
      </c>
      <c r="FK4" s="6">
        <v>25</v>
      </c>
      <c r="FL4" s="6">
        <v>26</v>
      </c>
      <c r="FM4" s="6">
        <v>27</v>
      </c>
      <c r="FN4" s="6">
        <v>28</v>
      </c>
      <c r="FO4" s="6">
        <v>29</v>
      </c>
      <c r="FP4" s="6">
        <v>30</v>
      </c>
      <c r="FQ4" s="6"/>
      <c r="FR4" s="217">
        <v>21</v>
      </c>
      <c r="FS4" s="218"/>
      <c r="FT4" s="219"/>
      <c r="FU4" s="7" t="s">
        <v>8</v>
      </c>
      <c r="FV4" s="6">
        <v>1</v>
      </c>
      <c r="FW4" s="6">
        <v>2</v>
      </c>
      <c r="FX4" s="6">
        <v>3</v>
      </c>
      <c r="FY4" s="6">
        <v>4</v>
      </c>
      <c r="FZ4" s="6">
        <v>5</v>
      </c>
      <c r="GA4" s="6">
        <v>6</v>
      </c>
      <c r="GB4" s="6">
        <v>7</v>
      </c>
      <c r="GC4" s="6">
        <v>8</v>
      </c>
      <c r="GD4" s="6">
        <v>9</v>
      </c>
      <c r="GE4" s="6">
        <v>10</v>
      </c>
      <c r="GF4" s="6">
        <v>11</v>
      </c>
      <c r="GG4" s="6">
        <v>12</v>
      </c>
      <c r="GH4" s="6">
        <v>13</v>
      </c>
      <c r="GI4" s="6">
        <v>14</v>
      </c>
      <c r="GJ4" s="6">
        <v>15</v>
      </c>
      <c r="GK4" s="6">
        <v>16</v>
      </c>
      <c r="GL4" s="6">
        <v>17</v>
      </c>
      <c r="GM4" s="6">
        <v>18</v>
      </c>
      <c r="GN4" s="6">
        <v>19</v>
      </c>
      <c r="GO4" s="6">
        <v>20</v>
      </c>
      <c r="GP4" s="6">
        <v>21</v>
      </c>
      <c r="GQ4" s="6">
        <v>22</v>
      </c>
      <c r="GR4" s="6">
        <v>23</v>
      </c>
      <c r="GS4" s="6">
        <v>24</v>
      </c>
      <c r="GT4" s="6">
        <v>25</v>
      </c>
      <c r="GU4" s="6">
        <v>26</v>
      </c>
      <c r="GV4" s="6">
        <v>27</v>
      </c>
      <c r="GW4" s="6">
        <v>28</v>
      </c>
      <c r="GX4" s="6">
        <v>29</v>
      </c>
      <c r="GY4" s="6">
        <v>30</v>
      </c>
      <c r="GZ4" s="6">
        <v>31</v>
      </c>
      <c r="HA4" s="217">
        <v>6</v>
      </c>
      <c r="HB4" s="218"/>
      <c r="HC4" s="219"/>
      <c r="HD4" s="7" t="s">
        <v>8</v>
      </c>
      <c r="HE4" s="6">
        <v>1</v>
      </c>
      <c r="HF4" s="6">
        <v>2</v>
      </c>
      <c r="HG4" s="6">
        <v>3</v>
      </c>
      <c r="HH4" s="6">
        <v>4</v>
      </c>
      <c r="HI4" s="6">
        <v>5</v>
      </c>
      <c r="HJ4" s="6">
        <v>6</v>
      </c>
      <c r="HK4" s="6">
        <v>7</v>
      </c>
      <c r="HL4" s="6">
        <v>8</v>
      </c>
      <c r="HM4" s="6">
        <v>9</v>
      </c>
      <c r="HN4" s="6">
        <v>10</v>
      </c>
      <c r="HO4" s="6">
        <v>11</v>
      </c>
      <c r="HP4" s="6">
        <v>12</v>
      </c>
      <c r="HQ4" s="6">
        <v>13</v>
      </c>
      <c r="HR4" s="6">
        <v>14</v>
      </c>
      <c r="HS4" s="6">
        <v>15</v>
      </c>
      <c r="HT4" s="6">
        <v>16</v>
      </c>
      <c r="HU4" s="6">
        <v>17</v>
      </c>
      <c r="HV4" s="6">
        <v>18</v>
      </c>
      <c r="HW4" s="6">
        <v>19</v>
      </c>
      <c r="HX4" s="6">
        <v>20</v>
      </c>
      <c r="HY4" s="6">
        <v>21</v>
      </c>
      <c r="HZ4" s="6">
        <v>22</v>
      </c>
      <c r="IA4" s="6">
        <v>23</v>
      </c>
      <c r="IB4" s="6">
        <v>24</v>
      </c>
      <c r="IC4" s="6">
        <v>25</v>
      </c>
      <c r="ID4" s="6">
        <v>26</v>
      </c>
      <c r="IE4" s="6">
        <v>27</v>
      </c>
      <c r="IF4" s="6">
        <v>28</v>
      </c>
      <c r="IG4" s="6">
        <v>29</v>
      </c>
      <c r="IH4" s="6">
        <v>30</v>
      </c>
      <c r="II4" s="6"/>
      <c r="IJ4" s="217">
        <v>21</v>
      </c>
      <c r="IK4" s="218"/>
      <c r="IL4" s="219"/>
      <c r="IM4" s="7" t="s">
        <v>8</v>
      </c>
      <c r="IN4" s="6">
        <v>1</v>
      </c>
      <c r="IO4" s="6">
        <v>2</v>
      </c>
      <c r="IP4" s="6">
        <v>3</v>
      </c>
      <c r="IQ4" s="6">
        <v>4</v>
      </c>
      <c r="IR4" s="6">
        <v>5</v>
      </c>
      <c r="IS4" s="6">
        <v>6</v>
      </c>
      <c r="IT4" s="6">
        <v>7</v>
      </c>
      <c r="IU4" s="6">
        <v>8</v>
      </c>
      <c r="IV4" s="6">
        <v>9</v>
      </c>
      <c r="IW4" s="6">
        <v>10</v>
      </c>
      <c r="IX4" s="6">
        <v>11</v>
      </c>
      <c r="IY4" s="6">
        <v>12</v>
      </c>
      <c r="IZ4" s="6">
        <v>13</v>
      </c>
      <c r="JA4" s="6">
        <v>14</v>
      </c>
      <c r="JB4" s="6">
        <v>15</v>
      </c>
      <c r="JC4" s="6">
        <v>16</v>
      </c>
      <c r="JD4" s="6">
        <v>17</v>
      </c>
      <c r="JE4" s="6">
        <v>18</v>
      </c>
      <c r="JF4" s="6">
        <v>19</v>
      </c>
      <c r="JG4" s="6">
        <v>20</v>
      </c>
      <c r="JH4" s="6">
        <v>21</v>
      </c>
      <c r="JI4" s="6">
        <v>22</v>
      </c>
      <c r="JJ4" s="6">
        <v>23</v>
      </c>
      <c r="JK4" s="6">
        <v>24</v>
      </c>
      <c r="JL4" s="6">
        <v>25</v>
      </c>
      <c r="JM4" s="6">
        <v>26</v>
      </c>
      <c r="JN4" s="6">
        <v>27</v>
      </c>
      <c r="JO4" s="6">
        <v>28</v>
      </c>
      <c r="JP4" s="6">
        <v>29</v>
      </c>
      <c r="JQ4" s="6">
        <v>30</v>
      </c>
      <c r="JR4" s="6">
        <v>31</v>
      </c>
      <c r="JS4" s="217">
        <v>18</v>
      </c>
      <c r="JT4" s="218"/>
      <c r="JU4" s="219"/>
      <c r="JV4" s="7" t="s">
        <v>8</v>
      </c>
      <c r="JW4" s="6">
        <v>1</v>
      </c>
      <c r="JX4" s="6">
        <v>2</v>
      </c>
      <c r="JY4" s="6">
        <v>3</v>
      </c>
      <c r="JZ4" s="6">
        <v>4</v>
      </c>
      <c r="KA4" s="6">
        <v>5</v>
      </c>
      <c r="KB4" s="6">
        <v>6</v>
      </c>
      <c r="KC4" s="6">
        <v>7</v>
      </c>
      <c r="KD4" s="6">
        <v>8</v>
      </c>
      <c r="KE4" s="6">
        <v>9</v>
      </c>
      <c r="KF4" s="6">
        <v>10</v>
      </c>
      <c r="KG4" s="6">
        <v>11</v>
      </c>
      <c r="KH4" s="6">
        <v>12</v>
      </c>
      <c r="KI4" s="6">
        <v>13</v>
      </c>
      <c r="KJ4" s="6">
        <v>14</v>
      </c>
      <c r="KK4" s="6">
        <v>15</v>
      </c>
      <c r="KL4" s="6">
        <v>16</v>
      </c>
      <c r="KM4" s="6">
        <v>17</v>
      </c>
      <c r="KN4" s="6">
        <v>18</v>
      </c>
      <c r="KO4" s="6">
        <v>19</v>
      </c>
      <c r="KP4" s="6">
        <v>20</v>
      </c>
      <c r="KQ4" s="6">
        <v>21</v>
      </c>
      <c r="KR4" s="6">
        <v>22</v>
      </c>
      <c r="KS4" s="6">
        <v>23</v>
      </c>
      <c r="KT4" s="6">
        <v>24</v>
      </c>
      <c r="KU4" s="6">
        <v>25</v>
      </c>
      <c r="KV4" s="6">
        <v>26</v>
      </c>
      <c r="KW4" s="6">
        <v>27</v>
      </c>
      <c r="KX4" s="6">
        <v>28</v>
      </c>
      <c r="KY4" s="6">
        <v>29</v>
      </c>
      <c r="KZ4" s="6">
        <v>30</v>
      </c>
      <c r="LA4" s="6">
        <v>31</v>
      </c>
      <c r="LB4" s="217">
        <v>22</v>
      </c>
      <c r="LC4" s="218"/>
      <c r="LD4" s="219"/>
      <c r="LE4" s="7" t="s">
        <v>8</v>
      </c>
      <c r="LF4" s="6">
        <v>1</v>
      </c>
      <c r="LG4" s="6">
        <v>2</v>
      </c>
      <c r="LH4" s="6">
        <v>3</v>
      </c>
      <c r="LI4" s="6">
        <v>4</v>
      </c>
      <c r="LJ4" s="6">
        <v>5</v>
      </c>
      <c r="LK4" s="6">
        <v>6</v>
      </c>
      <c r="LL4" s="6">
        <v>7</v>
      </c>
      <c r="LM4" s="6">
        <v>8</v>
      </c>
      <c r="LN4" s="6">
        <v>9</v>
      </c>
      <c r="LO4" s="6">
        <v>10</v>
      </c>
      <c r="LP4" s="6">
        <v>11</v>
      </c>
      <c r="LQ4" s="6">
        <v>12</v>
      </c>
      <c r="LR4" s="6">
        <v>13</v>
      </c>
      <c r="LS4" s="6">
        <v>14</v>
      </c>
      <c r="LT4" s="6">
        <v>15</v>
      </c>
      <c r="LU4" s="6">
        <v>16</v>
      </c>
      <c r="LV4" s="6">
        <v>17</v>
      </c>
      <c r="LW4" s="6">
        <v>18</v>
      </c>
      <c r="LX4" s="6">
        <v>19</v>
      </c>
      <c r="LY4" s="6">
        <v>20</v>
      </c>
      <c r="LZ4" s="6">
        <v>21</v>
      </c>
      <c r="MA4" s="6">
        <v>22</v>
      </c>
      <c r="MB4" s="6">
        <v>23</v>
      </c>
      <c r="MC4" s="6">
        <v>24</v>
      </c>
      <c r="MD4" s="6">
        <v>25</v>
      </c>
      <c r="ME4" s="6">
        <v>26</v>
      </c>
      <c r="MF4" s="6">
        <v>27</v>
      </c>
      <c r="MG4" s="6">
        <v>28</v>
      </c>
      <c r="MH4" s="6">
        <v>29</v>
      </c>
      <c r="MI4" s="6"/>
      <c r="MJ4" s="6"/>
      <c r="MK4" s="217">
        <v>20</v>
      </c>
      <c r="ML4" s="218"/>
      <c r="MM4" s="219"/>
      <c r="MN4" s="7" t="s">
        <v>8</v>
      </c>
      <c r="MO4" s="6">
        <v>1</v>
      </c>
      <c r="MP4" s="6">
        <v>2</v>
      </c>
      <c r="MQ4" s="6">
        <v>3</v>
      </c>
      <c r="MR4" s="6">
        <v>4</v>
      </c>
      <c r="MS4" s="6">
        <v>5</v>
      </c>
      <c r="MT4" s="6">
        <v>6</v>
      </c>
      <c r="MU4" s="6">
        <v>7</v>
      </c>
      <c r="MV4" s="6">
        <v>8</v>
      </c>
      <c r="MW4" s="6">
        <v>9</v>
      </c>
      <c r="MX4" s="6">
        <v>10</v>
      </c>
      <c r="MY4" s="6">
        <v>11</v>
      </c>
      <c r="MZ4" s="6">
        <v>12</v>
      </c>
      <c r="NA4" s="6">
        <v>13</v>
      </c>
      <c r="NB4" s="6">
        <v>14</v>
      </c>
      <c r="NC4" s="6">
        <v>15</v>
      </c>
      <c r="ND4" s="6">
        <v>16</v>
      </c>
      <c r="NE4" s="6">
        <v>17</v>
      </c>
      <c r="NF4" s="6">
        <v>18</v>
      </c>
      <c r="NG4" s="6">
        <v>19</v>
      </c>
      <c r="NH4" s="6">
        <v>20</v>
      </c>
      <c r="NI4" s="6">
        <v>21</v>
      </c>
      <c r="NJ4" s="6">
        <v>22</v>
      </c>
      <c r="NK4" s="6">
        <v>23</v>
      </c>
      <c r="NL4" s="6">
        <v>24</v>
      </c>
      <c r="NM4" s="6">
        <v>25</v>
      </c>
      <c r="NN4" s="6">
        <v>26</v>
      </c>
      <c r="NO4" s="6">
        <v>27</v>
      </c>
      <c r="NP4" s="6">
        <v>28</v>
      </c>
      <c r="NQ4" s="6">
        <v>29</v>
      </c>
      <c r="NR4" s="6">
        <v>30</v>
      </c>
      <c r="NS4" s="6">
        <v>31</v>
      </c>
      <c r="NT4" s="217">
        <v>20</v>
      </c>
      <c r="NU4" s="218"/>
      <c r="NV4" s="219"/>
      <c r="NW4" s="7" t="s">
        <v>8</v>
      </c>
      <c r="NX4" s="6">
        <v>1</v>
      </c>
      <c r="NY4" s="6">
        <v>2</v>
      </c>
      <c r="NZ4" s="6">
        <v>3</v>
      </c>
      <c r="OA4" s="6">
        <v>4</v>
      </c>
      <c r="OB4" s="6">
        <v>5</v>
      </c>
      <c r="OC4" s="6">
        <v>6</v>
      </c>
      <c r="OD4" s="6">
        <v>7</v>
      </c>
      <c r="OE4" s="6">
        <v>8</v>
      </c>
      <c r="OF4" s="6">
        <v>9</v>
      </c>
      <c r="OG4" s="6">
        <v>10</v>
      </c>
      <c r="OH4" s="6">
        <v>11</v>
      </c>
      <c r="OI4" s="6">
        <v>12</v>
      </c>
      <c r="OJ4" s="6">
        <v>13</v>
      </c>
      <c r="OK4" s="6">
        <v>14</v>
      </c>
      <c r="OL4" s="6">
        <v>15</v>
      </c>
      <c r="OM4" s="6">
        <v>16</v>
      </c>
      <c r="ON4" s="6">
        <v>17</v>
      </c>
      <c r="OO4" s="6">
        <v>18</v>
      </c>
      <c r="OP4" s="6">
        <v>19</v>
      </c>
      <c r="OQ4" s="6">
        <v>20</v>
      </c>
      <c r="OR4" s="6">
        <v>21</v>
      </c>
      <c r="OS4" s="6">
        <v>22</v>
      </c>
      <c r="OT4" s="6">
        <v>23</v>
      </c>
      <c r="OU4" s="6">
        <v>24</v>
      </c>
      <c r="OV4" s="6">
        <v>25</v>
      </c>
      <c r="OW4" s="6">
        <v>26</v>
      </c>
      <c r="OX4" s="6">
        <v>27</v>
      </c>
      <c r="OY4" s="6">
        <v>28</v>
      </c>
      <c r="OZ4" s="6">
        <v>29</v>
      </c>
      <c r="PA4" s="6">
        <v>30</v>
      </c>
      <c r="PB4" s="6"/>
      <c r="PC4" s="217">
        <v>0</v>
      </c>
      <c r="PD4" s="218"/>
      <c r="PE4" s="219"/>
      <c r="PF4" s="7" t="s">
        <v>8</v>
      </c>
      <c r="PG4" s="205">
        <f>AH4</f>
        <v>11</v>
      </c>
      <c r="PH4" s="205">
        <f>BQ4</f>
        <v>19</v>
      </c>
      <c r="PI4" s="205">
        <f>CZ4</f>
        <v>21</v>
      </c>
      <c r="PJ4" s="205">
        <f>EI4</f>
        <v>21</v>
      </c>
      <c r="PK4" s="205">
        <f>FR4</f>
        <v>21</v>
      </c>
      <c r="PL4" s="205">
        <f>HA4</f>
        <v>6</v>
      </c>
      <c r="PM4" s="205">
        <f>IJ4</f>
        <v>21</v>
      </c>
      <c r="PN4" s="205">
        <f>JS4</f>
        <v>18</v>
      </c>
      <c r="PO4" s="205">
        <f>LB4</f>
        <v>22</v>
      </c>
      <c r="PP4" s="205">
        <f>MK4</f>
        <v>20</v>
      </c>
      <c r="PQ4" s="205">
        <f>NT4</f>
        <v>20</v>
      </c>
      <c r="PR4" s="205">
        <f>PC4</f>
        <v>0</v>
      </c>
      <c r="PS4" s="205">
        <f>SUM(PG4:PR5)</f>
        <v>200</v>
      </c>
      <c r="PT4" s="220"/>
    </row>
    <row r="5" spans="1:436" x14ac:dyDescent="0.4">
      <c r="A5" s="212"/>
      <c r="B5" s="215"/>
      <c r="C5" s="5" t="s">
        <v>13</v>
      </c>
      <c r="D5" s="5" t="s">
        <v>14</v>
      </c>
      <c r="E5" s="5" t="s">
        <v>15</v>
      </c>
      <c r="F5" s="5" t="s">
        <v>9</v>
      </c>
      <c r="G5" s="5" t="s">
        <v>12</v>
      </c>
      <c r="H5" s="5" t="s">
        <v>11</v>
      </c>
      <c r="I5" s="5" t="s">
        <v>10</v>
      </c>
      <c r="J5" s="5" t="s">
        <v>13</v>
      </c>
      <c r="K5" s="5" t="s">
        <v>14</v>
      </c>
      <c r="L5" s="5" t="s">
        <v>15</v>
      </c>
      <c r="M5" s="5" t="s">
        <v>9</v>
      </c>
      <c r="N5" s="5" t="s">
        <v>12</v>
      </c>
      <c r="O5" s="5" t="s">
        <v>11</v>
      </c>
      <c r="P5" s="5" t="s">
        <v>10</v>
      </c>
      <c r="Q5" s="5" t="s">
        <v>13</v>
      </c>
      <c r="R5" s="5" t="s">
        <v>14</v>
      </c>
      <c r="S5" s="5" t="s">
        <v>15</v>
      </c>
      <c r="T5" s="5" t="s">
        <v>9</v>
      </c>
      <c r="U5" s="5" t="s">
        <v>12</v>
      </c>
      <c r="V5" s="5" t="s">
        <v>11</v>
      </c>
      <c r="W5" s="5" t="s">
        <v>10</v>
      </c>
      <c r="X5" s="5" t="s">
        <v>13</v>
      </c>
      <c r="Y5" s="5" t="s">
        <v>14</v>
      </c>
      <c r="Z5" s="5" t="s">
        <v>15</v>
      </c>
      <c r="AA5" s="5" t="s">
        <v>9</v>
      </c>
      <c r="AB5" s="5" t="s">
        <v>12</v>
      </c>
      <c r="AC5" s="5" t="s">
        <v>11</v>
      </c>
      <c r="AD5" s="5" t="s">
        <v>10</v>
      </c>
      <c r="AE5" s="5" t="s">
        <v>13</v>
      </c>
      <c r="AF5" s="5" t="s">
        <v>14</v>
      </c>
      <c r="AG5" s="5" t="s">
        <v>15</v>
      </c>
      <c r="AH5" s="5" t="s">
        <v>2</v>
      </c>
      <c r="AI5" s="5" t="s">
        <v>3</v>
      </c>
      <c r="AJ5" s="5" t="s">
        <v>4</v>
      </c>
      <c r="AK5" s="5" t="s">
        <v>5</v>
      </c>
      <c r="AL5" s="5" t="s">
        <v>9</v>
      </c>
      <c r="AM5" s="5" t="s">
        <v>12</v>
      </c>
      <c r="AN5" s="5" t="s">
        <v>11</v>
      </c>
      <c r="AO5" s="5" t="s">
        <v>10</v>
      </c>
      <c r="AP5" s="5" t="s">
        <v>13</v>
      </c>
      <c r="AQ5" s="5" t="s">
        <v>14</v>
      </c>
      <c r="AR5" s="5" t="s">
        <v>15</v>
      </c>
      <c r="AS5" s="5" t="s">
        <v>9</v>
      </c>
      <c r="AT5" s="5" t="s">
        <v>12</v>
      </c>
      <c r="AU5" s="5" t="s">
        <v>11</v>
      </c>
      <c r="AV5" s="5" t="s">
        <v>10</v>
      </c>
      <c r="AW5" s="5" t="s">
        <v>13</v>
      </c>
      <c r="AX5" s="5" t="s">
        <v>14</v>
      </c>
      <c r="AY5" s="5" t="s">
        <v>15</v>
      </c>
      <c r="AZ5" s="5" t="s">
        <v>9</v>
      </c>
      <c r="BA5" s="5" t="s">
        <v>12</v>
      </c>
      <c r="BB5" s="5" t="s">
        <v>11</v>
      </c>
      <c r="BC5" s="5" t="s">
        <v>10</v>
      </c>
      <c r="BD5" s="5" t="s">
        <v>13</v>
      </c>
      <c r="BE5" s="5" t="s">
        <v>14</v>
      </c>
      <c r="BF5" s="5" t="s">
        <v>15</v>
      </c>
      <c r="BG5" s="5" t="s">
        <v>9</v>
      </c>
      <c r="BH5" s="5" t="s">
        <v>12</v>
      </c>
      <c r="BI5" s="5" t="s">
        <v>11</v>
      </c>
      <c r="BJ5" s="5" t="s">
        <v>10</v>
      </c>
      <c r="BK5" s="5" t="s">
        <v>13</v>
      </c>
      <c r="BL5" s="5" t="s">
        <v>14</v>
      </c>
      <c r="BM5" s="5" t="s">
        <v>15</v>
      </c>
      <c r="BN5" s="5" t="s">
        <v>9</v>
      </c>
      <c r="BO5" s="5" t="s">
        <v>12</v>
      </c>
      <c r="BP5" s="3"/>
      <c r="BQ5" s="5" t="s">
        <v>2</v>
      </c>
      <c r="BR5" s="5" t="s">
        <v>3</v>
      </c>
      <c r="BS5" s="5" t="s">
        <v>4</v>
      </c>
      <c r="BT5" s="5" t="s">
        <v>5</v>
      </c>
      <c r="BU5" s="5" t="s">
        <v>11</v>
      </c>
      <c r="BV5" s="5" t="s">
        <v>10</v>
      </c>
      <c r="BW5" s="5" t="s">
        <v>13</v>
      </c>
      <c r="BX5" s="5" t="s">
        <v>14</v>
      </c>
      <c r="BY5" s="5" t="s">
        <v>15</v>
      </c>
      <c r="BZ5" s="5" t="s">
        <v>9</v>
      </c>
      <c r="CA5" s="5" t="s">
        <v>12</v>
      </c>
      <c r="CB5" s="5" t="s">
        <v>11</v>
      </c>
      <c r="CC5" s="5" t="s">
        <v>10</v>
      </c>
      <c r="CD5" s="5" t="s">
        <v>13</v>
      </c>
      <c r="CE5" s="5" t="s">
        <v>14</v>
      </c>
      <c r="CF5" s="5" t="s">
        <v>15</v>
      </c>
      <c r="CG5" s="5" t="s">
        <v>9</v>
      </c>
      <c r="CH5" s="5" t="s">
        <v>12</v>
      </c>
      <c r="CI5" s="5" t="s">
        <v>11</v>
      </c>
      <c r="CJ5" s="5" t="s">
        <v>10</v>
      </c>
      <c r="CK5" s="5" t="s">
        <v>13</v>
      </c>
      <c r="CL5" s="5" t="s">
        <v>14</v>
      </c>
      <c r="CM5" s="5" t="s">
        <v>15</v>
      </c>
      <c r="CN5" s="5" t="s">
        <v>9</v>
      </c>
      <c r="CO5" s="5" t="s">
        <v>12</v>
      </c>
      <c r="CP5" s="5" t="s">
        <v>11</v>
      </c>
      <c r="CQ5" s="5" t="s">
        <v>10</v>
      </c>
      <c r="CR5" s="5" t="s">
        <v>13</v>
      </c>
      <c r="CS5" s="5" t="s">
        <v>14</v>
      </c>
      <c r="CT5" s="5" t="s">
        <v>15</v>
      </c>
      <c r="CU5" s="5" t="s">
        <v>9</v>
      </c>
      <c r="CV5" s="5" t="s">
        <v>12</v>
      </c>
      <c r="CW5" s="5" t="s">
        <v>11</v>
      </c>
      <c r="CX5" s="5" t="s">
        <v>10</v>
      </c>
      <c r="CY5" s="5" t="s">
        <v>13</v>
      </c>
      <c r="CZ5" s="5" t="s">
        <v>2</v>
      </c>
      <c r="DA5" s="5" t="s">
        <v>3</v>
      </c>
      <c r="DB5" s="5" t="s">
        <v>4</v>
      </c>
      <c r="DC5" s="5" t="s">
        <v>5</v>
      </c>
      <c r="DD5" s="5" t="s">
        <v>14</v>
      </c>
      <c r="DE5" s="5" t="s">
        <v>15</v>
      </c>
      <c r="DF5" s="5" t="s">
        <v>9</v>
      </c>
      <c r="DG5" s="5" t="s">
        <v>12</v>
      </c>
      <c r="DH5" s="5" t="s">
        <v>11</v>
      </c>
      <c r="DI5" s="5" t="s">
        <v>10</v>
      </c>
      <c r="DJ5" s="5" t="s">
        <v>13</v>
      </c>
      <c r="DK5" s="5" t="s">
        <v>14</v>
      </c>
      <c r="DL5" s="5" t="s">
        <v>15</v>
      </c>
      <c r="DM5" s="5" t="s">
        <v>9</v>
      </c>
      <c r="DN5" s="5" t="s">
        <v>12</v>
      </c>
      <c r="DO5" s="5" t="s">
        <v>11</v>
      </c>
      <c r="DP5" s="5" t="s">
        <v>10</v>
      </c>
      <c r="DQ5" s="5" t="s">
        <v>13</v>
      </c>
      <c r="DR5" s="5" t="s">
        <v>14</v>
      </c>
      <c r="DS5" s="5" t="s">
        <v>15</v>
      </c>
      <c r="DT5" s="5" t="s">
        <v>9</v>
      </c>
      <c r="DU5" s="5" t="s">
        <v>12</v>
      </c>
      <c r="DV5" s="5" t="s">
        <v>11</v>
      </c>
      <c r="DW5" s="5" t="s">
        <v>10</v>
      </c>
      <c r="DX5" s="5" t="s">
        <v>13</v>
      </c>
      <c r="DY5" s="5" t="s">
        <v>14</v>
      </c>
      <c r="DZ5" s="5" t="s">
        <v>15</v>
      </c>
      <c r="EA5" s="5" t="s">
        <v>9</v>
      </c>
      <c r="EB5" s="5" t="s">
        <v>12</v>
      </c>
      <c r="EC5" s="5" t="s">
        <v>11</v>
      </c>
      <c r="ED5" s="5" t="s">
        <v>10</v>
      </c>
      <c r="EE5" s="5" t="s">
        <v>13</v>
      </c>
      <c r="EF5" s="5" t="s">
        <v>14</v>
      </c>
      <c r="EG5" s="5" t="s">
        <v>15</v>
      </c>
      <c r="EH5" s="5" t="s">
        <v>9</v>
      </c>
      <c r="EI5" s="5" t="s">
        <v>2</v>
      </c>
      <c r="EJ5" s="5" t="s">
        <v>3</v>
      </c>
      <c r="EK5" s="5" t="s">
        <v>4</v>
      </c>
      <c r="EL5" s="5" t="s">
        <v>5</v>
      </c>
      <c r="EM5" s="5" t="s">
        <v>12</v>
      </c>
      <c r="EN5" s="5" t="s">
        <v>11</v>
      </c>
      <c r="EO5" s="5" t="s">
        <v>10</v>
      </c>
      <c r="EP5" s="5" t="s">
        <v>13</v>
      </c>
      <c r="EQ5" s="5" t="s">
        <v>14</v>
      </c>
      <c r="ER5" s="5" t="s">
        <v>15</v>
      </c>
      <c r="ES5" s="5" t="s">
        <v>9</v>
      </c>
      <c r="ET5" s="5" t="s">
        <v>12</v>
      </c>
      <c r="EU5" s="5" t="s">
        <v>11</v>
      </c>
      <c r="EV5" s="5" t="s">
        <v>10</v>
      </c>
      <c r="EW5" s="5" t="s">
        <v>13</v>
      </c>
      <c r="EX5" s="5" t="s">
        <v>14</v>
      </c>
      <c r="EY5" s="5" t="s">
        <v>15</v>
      </c>
      <c r="EZ5" s="5" t="s">
        <v>9</v>
      </c>
      <c r="FA5" s="5" t="s">
        <v>12</v>
      </c>
      <c r="FB5" s="5" t="s">
        <v>11</v>
      </c>
      <c r="FC5" s="5" t="s">
        <v>10</v>
      </c>
      <c r="FD5" s="5" t="s">
        <v>13</v>
      </c>
      <c r="FE5" s="5" t="s">
        <v>14</v>
      </c>
      <c r="FF5" s="5" t="s">
        <v>15</v>
      </c>
      <c r="FG5" s="5" t="s">
        <v>9</v>
      </c>
      <c r="FH5" s="5" t="s">
        <v>12</v>
      </c>
      <c r="FI5" s="5" t="s">
        <v>11</v>
      </c>
      <c r="FJ5" s="5" t="s">
        <v>10</v>
      </c>
      <c r="FK5" s="5" t="s">
        <v>13</v>
      </c>
      <c r="FL5" s="5" t="s">
        <v>14</v>
      </c>
      <c r="FM5" s="5" t="s">
        <v>15</v>
      </c>
      <c r="FN5" s="5" t="s">
        <v>9</v>
      </c>
      <c r="FO5" s="5" t="s">
        <v>12</v>
      </c>
      <c r="FP5" s="5" t="s">
        <v>11</v>
      </c>
      <c r="FQ5" s="3"/>
      <c r="FR5" s="5" t="s">
        <v>2</v>
      </c>
      <c r="FS5" s="5" t="s">
        <v>3</v>
      </c>
      <c r="FT5" s="5" t="s">
        <v>4</v>
      </c>
      <c r="FU5" s="5" t="s">
        <v>5</v>
      </c>
      <c r="FV5" s="5" t="s">
        <v>10</v>
      </c>
      <c r="FW5" s="5" t="s">
        <v>13</v>
      </c>
      <c r="FX5" s="5" t="s">
        <v>14</v>
      </c>
      <c r="FY5" s="5" t="s">
        <v>15</v>
      </c>
      <c r="FZ5" s="5" t="s">
        <v>9</v>
      </c>
      <c r="GA5" s="5" t="s">
        <v>12</v>
      </c>
      <c r="GB5" s="5" t="s">
        <v>11</v>
      </c>
      <c r="GC5" s="5" t="s">
        <v>10</v>
      </c>
      <c r="GD5" s="5" t="s">
        <v>13</v>
      </c>
      <c r="GE5" s="5" t="s">
        <v>14</v>
      </c>
      <c r="GF5" s="5" t="s">
        <v>15</v>
      </c>
      <c r="GG5" s="5" t="s">
        <v>9</v>
      </c>
      <c r="GH5" s="5" t="s">
        <v>12</v>
      </c>
      <c r="GI5" s="5" t="s">
        <v>11</v>
      </c>
      <c r="GJ5" s="5" t="s">
        <v>10</v>
      </c>
      <c r="GK5" s="5" t="s">
        <v>13</v>
      </c>
      <c r="GL5" s="5" t="s">
        <v>14</v>
      </c>
      <c r="GM5" s="5" t="s">
        <v>15</v>
      </c>
      <c r="GN5" s="5" t="s">
        <v>9</v>
      </c>
      <c r="GO5" s="5" t="s">
        <v>12</v>
      </c>
      <c r="GP5" s="5" t="s">
        <v>11</v>
      </c>
      <c r="GQ5" s="5" t="s">
        <v>10</v>
      </c>
      <c r="GR5" s="5" t="s">
        <v>13</v>
      </c>
      <c r="GS5" s="5" t="s">
        <v>14</v>
      </c>
      <c r="GT5" s="5" t="s">
        <v>15</v>
      </c>
      <c r="GU5" s="5" t="s">
        <v>9</v>
      </c>
      <c r="GV5" s="5" t="s">
        <v>12</v>
      </c>
      <c r="GW5" s="5" t="s">
        <v>11</v>
      </c>
      <c r="GX5" s="5" t="s">
        <v>10</v>
      </c>
      <c r="GY5" s="5" t="s">
        <v>13</v>
      </c>
      <c r="GZ5" s="5" t="s">
        <v>14</v>
      </c>
      <c r="HA5" s="5" t="s">
        <v>2</v>
      </c>
      <c r="HB5" s="5" t="s">
        <v>3</v>
      </c>
      <c r="HC5" s="5" t="s">
        <v>4</v>
      </c>
      <c r="HD5" s="5" t="s">
        <v>5</v>
      </c>
      <c r="HE5" s="5" t="s">
        <v>15</v>
      </c>
      <c r="HF5" s="5" t="s">
        <v>9</v>
      </c>
      <c r="HG5" s="5" t="s">
        <v>12</v>
      </c>
      <c r="HH5" s="5" t="s">
        <v>11</v>
      </c>
      <c r="HI5" s="5" t="s">
        <v>10</v>
      </c>
      <c r="HJ5" s="5" t="s">
        <v>13</v>
      </c>
      <c r="HK5" s="5" t="s">
        <v>14</v>
      </c>
      <c r="HL5" s="5" t="s">
        <v>15</v>
      </c>
      <c r="HM5" s="5" t="s">
        <v>9</v>
      </c>
      <c r="HN5" s="5" t="s">
        <v>12</v>
      </c>
      <c r="HO5" s="5" t="s">
        <v>11</v>
      </c>
      <c r="HP5" s="5" t="s">
        <v>10</v>
      </c>
      <c r="HQ5" s="5" t="s">
        <v>13</v>
      </c>
      <c r="HR5" s="5" t="s">
        <v>14</v>
      </c>
      <c r="HS5" s="5" t="s">
        <v>15</v>
      </c>
      <c r="HT5" s="5" t="s">
        <v>9</v>
      </c>
      <c r="HU5" s="5" t="s">
        <v>12</v>
      </c>
      <c r="HV5" s="5" t="s">
        <v>11</v>
      </c>
      <c r="HW5" s="5" t="s">
        <v>10</v>
      </c>
      <c r="HX5" s="5" t="s">
        <v>13</v>
      </c>
      <c r="HY5" s="5" t="s">
        <v>14</v>
      </c>
      <c r="HZ5" s="5" t="s">
        <v>15</v>
      </c>
      <c r="IA5" s="5" t="s">
        <v>9</v>
      </c>
      <c r="IB5" s="5" t="s">
        <v>12</v>
      </c>
      <c r="IC5" s="5" t="s">
        <v>11</v>
      </c>
      <c r="ID5" s="5" t="s">
        <v>10</v>
      </c>
      <c r="IE5" s="5" t="s">
        <v>13</v>
      </c>
      <c r="IF5" s="5" t="s">
        <v>14</v>
      </c>
      <c r="IG5" s="5" t="s">
        <v>15</v>
      </c>
      <c r="IH5" s="5" t="s">
        <v>9</v>
      </c>
      <c r="II5" s="3"/>
      <c r="IJ5" s="5" t="s">
        <v>2</v>
      </c>
      <c r="IK5" s="5" t="s">
        <v>3</v>
      </c>
      <c r="IL5" s="5" t="s">
        <v>4</v>
      </c>
      <c r="IM5" s="5" t="s">
        <v>5</v>
      </c>
      <c r="IN5" s="5" t="s">
        <v>12</v>
      </c>
      <c r="IO5" s="5" t="s">
        <v>11</v>
      </c>
      <c r="IP5" s="5" t="s">
        <v>10</v>
      </c>
      <c r="IQ5" s="5" t="s">
        <v>13</v>
      </c>
      <c r="IR5" s="5" t="s">
        <v>14</v>
      </c>
      <c r="IS5" s="5" t="s">
        <v>15</v>
      </c>
      <c r="IT5" s="5" t="s">
        <v>9</v>
      </c>
      <c r="IU5" s="5" t="s">
        <v>12</v>
      </c>
      <c r="IV5" s="5" t="s">
        <v>11</v>
      </c>
      <c r="IW5" s="5" t="s">
        <v>10</v>
      </c>
      <c r="IX5" s="5" t="s">
        <v>13</v>
      </c>
      <c r="IY5" s="5" t="s">
        <v>14</v>
      </c>
      <c r="IZ5" s="5" t="s">
        <v>15</v>
      </c>
      <c r="JA5" s="5" t="s">
        <v>9</v>
      </c>
      <c r="JB5" s="5" t="s">
        <v>12</v>
      </c>
      <c r="JC5" s="5" t="s">
        <v>11</v>
      </c>
      <c r="JD5" s="5" t="s">
        <v>10</v>
      </c>
      <c r="JE5" s="5" t="s">
        <v>13</v>
      </c>
      <c r="JF5" s="5" t="s">
        <v>14</v>
      </c>
      <c r="JG5" s="5" t="s">
        <v>15</v>
      </c>
      <c r="JH5" s="5" t="s">
        <v>9</v>
      </c>
      <c r="JI5" s="5" t="s">
        <v>12</v>
      </c>
      <c r="JJ5" s="5" t="s">
        <v>11</v>
      </c>
      <c r="JK5" s="5" t="s">
        <v>10</v>
      </c>
      <c r="JL5" s="5" t="s">
        <v>13</v>
      </c>
      <c r="JM5" s="5" t="s">
        <v>14</v>
      </c>
      <c r="JN5" s="5" t="s">
        <v>15</v>
      </c>
      <c r="JO5" s="5" t="s">
        <v>9</v>
      </c>
      <c r="JP5" s="5" t="s">
        <v>12</v>
      </c>
      <c r="JQ5" s="5" t="s">
        <v>11</v>
      </c>
      <c r="JR5" s="5" t="s">
        <v>10</v>
      </c>
      <c r="JS5" s="5" t="s">
        <v>2</v>
      </c>
      <c r="JT5" s="5" t="s">
        <v>3</v>
      </c>
      <c r="JU5" s="5" t="s">
        <v>4</v>
      </c>
      <c r="JV5" s="5" t="s">
        <v>5</v>
      </c>
      <c r="JW5" s="5" t="s">
        <v>13</v>
      </c>
      <c r="JX5" s="5" t="s">
        <v>14</v>
      </c>
      <c r="JY5" s="5" t="s">
        <v>15</v>
      </c>
      <c r="JZ5" s="5" t="s">
        <v>9</v>
      </c>
      <c r="KA5" s="5" t="s">
        <v>12</v>
      </c>
      <c r="KB5" s="5" t="s">
        <v>11</v>
      </c>
      <c r="KC5" s="5" t="s">
        <v>10</v>
      </c>
      <c r="KD5" s="5" t="s">
        <v>13</v>
      </c>
      <c r="KE5" s="5" t="s">
        <v>14</v>
      </c>
      <c r="KF5" s="5" t="s">
        <v>15</v>
      </c>
      <c r="KG5" s="5" t="s">
        <v>9</v>
      </c>
      <c r="KH5" s="5" t="s">
        <v>15</v>
      </c>
      <c r="KI5" s="5" t="s">
        <v>12</v>
      </c>
      <c r="KJ5" s="5" t="s">
        <v>11</v>
      </c>
      <c r="KK5" s="5" t="s">
        <v>10</v>
      </c>
      <c r="KL5" s="5" t="s">
        <v>13</v>
      </c>
      <c r="KM5" s="5" t="s">
        <v>14</v>
      </c>
      <c r="KN5" s="5" t="s">
        <v>15</v>
      </c>
      <c r="KO5" s="5" t="s">
        <v>9</v>
      </c>
      <c r="KP5" s="5" t="s">
        <v>12</v>
      </c>
      <c r="KQ5" s="5" t="s">
        <v>11</v>
      </c>
      <c r="KR5" s="5" t="s">
        <v>10</v>
      </c>
      <c r="KS5" s="5" t="s">
        <v>13</v>
      </c>
      <c r="KT5" s="5" t="s">
        <v>14</v>
      </c>
      <c r="KU5" s="5" t="s">
        <v>15</v>
      </c>
      <c r="KV5" s="5" t="s">
        <v>9</v>
      </c>
      <c r="KW5" s="5" t="s">
        <v>12</v>
      </c>
      <c r="KX5" s="5" t="s">
        <v>11</v>
      </c>
      <c r="KY5" s="5" t="s">
        <v>10</v>
      </c>
      <c r="KZ5" s="5" t="s">
        <v>13</v>
      </c>
      <c r="LA5" s="5" t="s">
        <v>14</v>
      </c>
      <c r="LB5" s="5" t="s">
        <v>2</v>
      </c>
      <c r="LC5" s="5" t="s">
        <v>3</v>
      </c>
      <c r="LD5" s="5" t="s">
        <v>4</v>
      </c>
      <c r="LE5" s="5" t="s">
        <v>5</v>
      </c>
      <c r="LF5" s="5" t="s">
        <v>14</v>
      </c>
      <c r="LG5" s="5" t="s">
        <v>15</v>
      </c>
      <c r="LH5" s="5" t="s">
        <v>9</v>
      </c>
      <c r="LI5" s="5" t="s">
        <v>12</v>
      </c>
      <c r="LJ5" s="5" t="s">
        <v>11</v>
      </c>
      <c r="LK5" s="5" t="s">
        <v>10</v>
      </c>
      <c r="LL5" s="5" t="s">
        <v>13</v>
      </c>
      <c r="LM5" s="5" t="s">
        <v>14</v>
      </c>
      <c r="LN5" s="5" t="s">
        <v>15</v>
      </c>
      <c r="LO5" s="5" t="s">
        <v>9</v>
      </c>
      <c r="LP5" s="5" t="s">
        <v>12</v>
      </c>
      <c r="LQ5" s="5" t="s">
        <v>11</v>
      </c>
      <c r="LR5" s="5" t="s">
        <v>10</v>
      </c>
      <c r="LS5" s="5" t="s">
        <v>13</v>
      </c>
      <c r="LT5" s="5" t="s">
        <v>14</v>
      </c>
      <c r="LU5" s="5" t="s">
        <v>15</v>
      </c>
      <c r="LV5" s="5" t="s">
        <v>9</v>
      </c>
      <c r="LW5" s="5" t="s">
        <v>12</v>
      </c>
      <c r="LX5" s="5" t="s">
        <v>11</v>
      </c>
      <c r="LY5" s="5" t="s">
        <v>10</v>
      </c>
      <c r="LZ5" s="5" t="s">
        <v>13</v>
      </c>
      <c r="MA5" s="5" t="s">
        <v>14</v>
      </c>
      <c r="MB5" s="5" t="s">
        <v>15</v>
      </c>
      <c r="MC5" s="5" t="s">
        <v>9</v>
      </c>
      <c r="MD5" s="5" t="s">
        <v>12</v>
      </c>
      <c r="ME5" s="5" t="s">
        <v>11</v>
      </c>
      <c r="MF5" s="5" t="s">
        <v>10</v>
      </c>
      <c r="MG5" s="5" t="s">
        <v>13</v>
      </c>
      <c r="MH5" s="5" t="s">
        <v>14</v>
      </c>
      <c r="MI5" s="3"/>
      <c r="MJ5" s="3"/>
      <c r="MK5" s="5" t="s">
        <v>2</v>
      </c>
      <c r="ML5" s="5" t="s">
        <v>3</v>
      </c>
      <c r="MM5" s="5" t="s">
        <v>4</v>
      </c>
      <c r="MN5" s="5" t="s">
        <v>5</v>
      </c>
      <c r="MO5" s="5" t="s">
        <v>9</v>
      </c>
      <c r="MP5" s="5" t="s">
        <v>12</v>
      </c>
      <c r="MQ5" s="5" t="s">
        <v>11</v>
      </c>
      <c r="MR5" s="5" t="s">
        <v>10</v>
      </c>
      <c r="MS5" s="5" t="s">
        <v>13</v>
      </c>
      <c r="MT5" s="5" t="s">
        <v>14</v>
      </c>
      <c r="MU5" s="5" t="s">
        <v>15</v>
      </c>
      <c r="MV5" s="5" t="s">
        <v>9</v>
      </c>
      <c r="MW5" s="5" t="s">
        <v>12</v>
      </c>
      <c r="MX5" s="5" t="s">
        <v>11</v>
      </c>
      <c r="MY5" s="5" t="s">
        <v>10</v>
      </c>
      <c r="MZ5" s="5" t="s">
        <v>13</v>
      </c>
      <c r="NA5" s="5" t="s">
        <v>14</v>
      </c>
      <c r="NB5" s="5" t="s">
        <v>15</v>
      </c>
      <c r="NC5" s="5" t="s">
        <v>9</v>
      </c>
      <c r="ND5" s="5" t="s">
        <v>12</v>
      </c>
      <c r="NE5" s="5" t="s">
        <v>11</v>
      </c>
      <c r="NF5" s="5" t="s">
        <v>10</v>
      </c>
      <c r="NG5" s="5" t="s">
        <v>13</v>
      </c>
      <c r="NH5" s="5" t="s">
        <v>14</v>
      </c>
      <c r="NI5" s="5" t="s">
        <v>15</v>
      </c>
      <c r="NJ5" s="5" t="s">
        <v>9</v>
      </c>
      <c r="NK5" s="5" t="s">
        <v>9</v>
      </c>
      <c r="NL5" s="5" t="s">
        <v>12</v>
      </c>
      <c r="NM5" s="5" t="s">
        <v>11</v>
      </c>
      <c r="NN5" s="5" t="s">
        <v>10</v>
      </c>
      <c r="NO5" s="5" t="s">
        <v>13</v>
      </c>
      <c r="NP5" s="5" t="s">
        <v>14</v>
      </c>
      <c r="NQ5" s="5" t="s">
        <v>15</v>
      </c>
      <c r="NR5" s="5" t="s">
        <v>9</v>
      </c>
      <c r="NS5" s="5" t="s">
        <v>12</v>
      </c>
      <c r="NT5" s="5" t="s">
        <v>2</v>
      </c>
      <c r="NU5" s="5" t="s">
        <v>3</v>
      </c>
      <c r="NV5" s="5" t="s">
        <v>4</v>
      </c>
      <c r="NW5" s="5" t="s">
        <v>5</v>
      </c>
      <c r="NX5" s="5" t="s">
        <v>11</v>
      </c>
      <c r="NY5" s="5" t="s">
        <v>10</v>
      </c>
      <c r="NZ5" s="5" t="s">
        <v>13</v>
      </c>
      <c r="OA5" s="5" t="s">
        <v>14</v>
      </c>
      <c r="OB5" s="5" t="s">
        <v>15</v>
      </c>
      <c r="OC5" s="5" t="s">
        <v>9</v>
      </c>
      <c r="OD5" s="5" t="s">
        <v>12</v>
      </c>
      <c r="OE5" s="5" t="s">
        <v>11</v>
      </c>
      <c r="OF5" s="5" t="s">
        <v>10</v>
      </c>
      <c r="OG5" s="5" t="s">
        <v>13</v>
      </c>
      <c r="OH5" s="5" t="s">
        <v>14</v>
      </c>
      <c r="OI5" s="5" t="s">
        <v>15</v>
      </c>
      <c r="OJ5" s="5" t="s">
        <v>9</v>
      </c>
      <c r="OK5" s="5" t="s">
        <v>12</v>
      </c>
      <c r="OL5" s="5" t="s">
        <v>11</v>
      </c>
      <c r="OM5" s="5" t="s">
        <v>10</v>
      </c>
      <c r="ON5" s="5" t="s">
        <v>13</v>
      </c>
      <c r="OO5" s="5" t="s">
        <v>14</v>
      </c>
      <c r="OP5" s="5" t="s">
        <v>15</v>
      </c>
      <c r="OQ5" s="5" t="s">
        <v>9</v>
      </c>
      <c r="OR5" s="5" t="s">
        <v>12</v>
      </c>
      <c r="OS5" s="5" t="s">
        <v>11</v>
      </c>
      <c r="OT5" s="5" t="s">
        <v>10</v>
      </c>
      <c r="OU5" s="5" t="s">
        <v>13</v>
      </c>
      <c r="OV5" s="5" t="s">
        <v>14</v>
      </c>
      <c r="OW5" s="5" t="s">
        <v>15</v>
      </c>
      <c r="OX5" s="5" t="s">
        <v>9</v>
      </c>
      <c r="OY5" s="5" t="s">
        <v>12</v>
      </c>
      <c r="OZ5" s="5" t="s">
        <v>11</v>
      </c>
      <c r="PA5" s="5" t="s">
        <v>10</v>
      </c>
      <c r="PB5" s="3"/>
      <c r="PC5" s="5" t="s">
        <v>2</v>
      </c>
      <c r="PD5" s="5" t="s">
        <v>3</v>
      </c>
      <c r="PE5" s="5" t="s">
        <v>4</v>
      </c>
      <c r="PF5" s="5" t="s">
        <v>5</v>
      </c>
      <c r="PG5" s="206"/>
      <c r="PH5" s="206"/>
      <c r="PI5" s="206"/>
      <c r="PJ5" s="206"/>
      <c r="PK5" s="206"/>
      <c r="PL5" s="206"/>
      <c r="PM5" s="206"/>
      <c r="PN5" s="206"/>
      <c r="PO5" s="206"/>
      <c r="PP5" s="206"/>
      <c r="PQ5" s="206"/>
      <c r="PR5" s="206"/>
      <c r="PS5" s="206"/>
      <c r="PT5" s="220"/>
    </row>
    <row r="6" spans="1:436" x14ac:dyDescent="0.4">
      <c r="A6" s="4">
        <v>1</v>
      </c>
      <c r="B6" s="19" t="str">
        <f>'ข้อมูลนร.2-3'!D4</f>
        <v>เด็กชายกฤษดา  บัวศรี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8">
        <f>$AH$4-(AI6+AJ6+AK6)</f>
        <v>11</v>
      </c>
      <c r="AI6" s="8">
        <f>COUNTIF(C6:AG6,"ป")</f>
        <v>0</v>
      </c>
      <c r="AJ6" s="8">
        <f>COUNTIF(C6:AG6,"ล")</f>
        <v>0</v>
      </c>
      <c r="AK6" s="8">
        <f>COUNTIF(C6:AG6,"ข")</f>
        <v>0</v>
      </c>
      <c r="AL6" s="4"/>
      <c r="AM6" s="4"/>
      <c r="AN6" s="4"/>
      <c r="AO6" s="4"/>
      <c r="AP6" s="4"/>
      <c r="AQ6" s="4" t="s">
        <v>258</v>
      </c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 t="s">
        <v>258</v>
      </c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8">
        <f t="shared" ref="BQ6:BQ18" si="0">$BQ$4-(BR6+BS6+BT6)</f>
        <v>17</v>
      </c>
      <c r="BR6" s="8">
        <f>COUNTIF(AL6:BP6,"ป")</f>
        <v>0</v>
      </c>
      <c r="BS6" s="8">
        <f>COUNTIF(AL6:BP6,"ล")</f>
        <v>2</v>
      </c>
      <c r="BT6" s="8">
        <f>COUNTIF(AL6:BP6,"ข")</f>
        <v>0</v>
      </c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 t="s">
        <v>258</v>
      </c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8">
        <f t="shared" ref="CZ6:CZ34" si="1">$CZ$4-(DA6+DB6+DC6)</f>
        <v>20</v>
      </c>
      <c r="DA6" s="8">
        <f>COUNTIF(BU6:CY6,"ป")</f>
        <v>0</v>
      </c>
      <c r="DB6" s="8">
        <f>COUNTIF(BU6:CY6,"ล")</f>
        <v>1</v>
      </c>
      <c r="DC6" s="8">
        <f>COUNTIF(BU6:CY6,"ข")</f>
        <v>0</v>
      </c>
      <c r="DD6" s="4"/>
      <c r="DE6" s="4"/>
      <c r="DF6" s="4"/>
      <c r="DG6" s="4"/>
      <c r="DH6" s="4"/>
      <c r="DI6" s="4"/>
      <c r="DJ6" s="4" t="s">
        <v>258</v>
      </c>
      <c r="DK6" s="4" t="s">
        <v>258</v>
      </c>
      <c r="DL6" s="4" t="s">
        <v>258</v>
      </c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8">
        <f t="shared" ref="EI6:EI34" si="2">$EI$4-(EJ6+EK6+EL6)</f>
        <v>18</v>
      </c>
      <c r="EJ6" s="8">
        <f>COUNTIF(DD6:EH6,"ป")</f>
        <v>0</v>
      </c>
      <c r="EK6" s="8">
        <f>COUNTIF(DD6:EH6,"ล")</f>
        <v>3</v>
      </c>
      <c r="EL6" s="8">
        <f>COUNTIF(DD6:EH6,"ข")</f>
        <v>0</v>
      </c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8">
        <f t="shared" ref="FR6:FR18" si="3">$FR$4-(FS6+FT6+FU6)</f>
        <v>21</v>
      </c>
      <c r="FS6" s="8">
        <f>COUNTIF(EM6:FQ6,"ป")</f>
        <v>0</v>
      </c>
      <c r="FT6" s="8">
        <f>COUNTIF(EM6:FQ6,"ล")</f>
        <v>0</v>
      </c>
      <c r="FU6" s="8">
        <f>COUNTIF(EM6:FQ6,"ข")</f>
        <v>0</v>
      </c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8">
        <f t="shared" ref="HA6:HA18" si="4">$HA$4-(HB6+HC6+HD6)</f>
        <v>6</v>
      </c>
      <c r="HB6" s="8">
        <f>COUNTIF(FV6:GZ6,"ป")</f>
        <v>0</v>
      </c>
      <c r="HC6" s="8">
        <f>COUNTIF(FV6:GZ6,"ล")</f>
        <v>0</v>
      </c>
      <c r="HD6" s="8">
        <f>COUNTIF(FV6:GZ6,"ข")</f>
        <v>0</v>
      </c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8">
        <f t="shared" ref="IJ6:IJ18" si="5">$IJ$4-(IK6+IL6+IM6)</f>
        <v>21</v>
      </c>
      <c r="IK6" s="8">
        <f>COUNTIF(HE6:II6,"ป")</f>
        <v>0</v>
      </c>
      <c r="IL6" s="8">
        <f>COUNTIF(HE6:II6,"ล")</f>
        <v>0</v>
      </c>
      <c r="IM6" s="8">
        <f>COUNTIF(HE6:II6,"ข")</f>
        <v>0</v>
      </c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8">
        <f t="shared" ref="JS6:JS18" si="6">$JS$4-(JT6+JU6+JV6)</f>
        <v>18</v>
      </c>
      <c r="JT6" s="8">
        <f>COUNTIF(IN6:JR6,"ป")</f>
        <v>0</v>
      </c>
      <c r="JU6" s="8">
        <f>COUNTIF(IN6:JR6,"ล")</f>
        <v>0</v>
      </c>
      <c r="JV6" s="8">
        <f>COUNTIF(IN6:JR6,"ข")</f>
        <v>0</v>
      </c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8">
        <f t="shared" ref="LB6:LB18" si="7">$LB$4-(LC6+LD6+LE6)</f>
        <v>22</v>
      </c>
      <c r="LC6" s="8">
        <f>COUNTIF(JW6:LA6,"ป")</f>
        <v>0</v>
      </c>
      <c r="LD6" s="8">
        <f>COUNTIF(JW6:LA6,"ล")</f>
        <v>0</v>
      </c>
      <c r="LE6" s="8">
        <f>COUNTIF(JW6:LA6,"ข")</f>
        <v>0</v>
      </c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8">
        <f t="shared" ref="MK6:MK18" si="8">$MK$4-(ML6+MM6+MN6)</f>
        <v>20</v>
      </c>
      <c r="ML6" s="8">
        <f>COUNTIF(LF6:MJ6,"ป")</f>
        <v>0</v>
      </c>
      <c r="MM6" s="8">
        <f>COUNTIF(LF6:MJ6,"ล")</f>
        <v>0</v>
      </c>
      <c r="MN6" s="8">
        <f>COUNTIF(LF6:MJ6,"ข")</f>
        <v>0</v>
      </c>
      <c r="MO6" s="4"/>
      <c r="MP6" s="4"/>
      <c r="MQ6" s="4"/>
      <c r="MR6" s="4"/>
      <c r="MS6" s="4"/>
      <c r="MT6" s="4"/>
      <c r="MU6" s="4"/>
      <c r="MV6" s="4"/>
      <c r="MW6" s="4"/>
      <c r="MX6" s="4"/>
      <c r="MY6" s="4" t="s">
        <v>258</v>
      </c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8">
        <f t="shared" ref="NT6:NT18" si="9">$NT$4-(NU6+NV6+NW6)</f>
        <v>19</v>
      </c>
      <c r="NU6" s="8">
        <f>COUNTIF(MO6:NS6,"ป")</f>
        <v>0</v>
      </c>
      <c r="NV6" s="8">
        <f>COUNTIF(MO6:NS6,"ล")</f>
        <v>1</v>
      </c>
      <c r="NW6" s="8">
        <f>COUNTIF(MO6:NS6,"ข")</f>
        <v>0</v>
      </c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8">
        <f t="shared" ref="PC6:PC18" si="10">$PC$4-(PD6+PE6+PF6)</f>
        <v>0</v>
      </c>
      <c r="PD6" s="8">
        <f>COUNTIF(NX6:PB6,"ป")</f>
        <v>0</v>
      </c>
      <c r="PE6" s="8">
        <f>COUNTIF(NX6:PB6,"ล")</f>
        <v>0</v>
      </c>
      <c r="PF6" s="8">
        <f>COUNTIF(NX6:PB6,"ข")</f>
        <v>0</v>
      </c>
      <c r="PG6" s="3">
        <f>AH6</f>
        <v>11</v>
      </c>
      <c r="PH6" s="3">
        <f>BQ6</f>
        <v>17</v>
      </c>
      <c r="PI6" s="3">
        <f>CZ6</f>
        <v>20</v>
      </c>
      <c r="PJ6" s="3">
        <f>EI6</f>
        <v>18</v>
      </c>
      <c r="PK6" s="3">
        <f>FR6</f>
        <v>21</v>
      </c>
      <c r="PL6" s="3">
        <f>HA6</f>
        <v>6</v>
      </c>
      <c r="PM6" s="3">
        <f>IJ6</f>
        <v>21</v>
      </c>
      <c r="PN6" s="3">
        <f>JS6</f>
        <v>18</v>
      </c>
      <c r="PO6" s="3">
        <f>LB6</f>
        <v>22</v>
      </c>
      <c r="PP6" s="3">
        <f>MK6</f>
        <v>20</v>
      </c>
      <c r="PQ6" s="3">
        <f>NT6</f>
        <v>19</v>
      </c>
      <c r="PR6" s="3">
        <f>PC6</f>
        <v>0</v>
      </c>
      <c r="PS6" s="3">
        <f>SUM(PC6:PR6)</f>
        <v>193</v>
      </c>
      <c r="PT6" s="23">
        <f>PS6*100/$PS$4</f>
        <v>96.5</v>
      </c>
    </row>
    <row r="7" spans="1:436" x14ac:dyDescent="0.4">
      <c r="A7" s="4">
        <v>2</v>
      </c>
      <c r="B7" s="19" t="str">
        <f>'ข้อมูลนร.2-3'!D5</f>
        <v>เด็กชายจิรายุ  ดอบุตร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8">
        <f t="shared" ref="AH7:AH18" si="11">$AH$4-(AI7+AJ7+AK7)</f>
        <v>11</v>
      </c>
      <c r="AI7" s="8">
        <f t="shared" ref="AI7:AI18" si="12">COUNTIF(C7:AG7,"ป")</f>
        <v>0</v>
      </c>
      <c r="AJ7" s="8">
        <f t="shared" ref="AJ7:AJ18" si="13">COUNTIF(C7:AG7,"ล")</f>
        <v>0</v>
      </c>
      <c r="AK7" s="8">
        <f t="shared" ref="AK7:AK18" si="14">COUNTIF(C7:AG7,"ข")</f>
        <v>0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8">
        <f t="shared" si="0"/>
        <v>19</v>
      </c>
      <c r="BR7" s="8">
        <f t="shared" ref="BR7:BR18" si="15">COUNTIF(AL7:BP7,"ป")</f>
        <v>0</v>
      </c>
      <c r="BS7" s="8">
        <f t="shared" ref="BS7:BS18" si="16">COUNTIF(AL7:BP7,"ล")</f>
        <v>0</v>
      </c>
      <c r="BT7" s="8">
        <f t="shared" ref="BT7:BT10" si="17">COUNTIF(AL7:BP7,"ข")</f>
        <v>0</v>
      </c>
      <c r="BU7" s="4"/>
      <c r="BV7" s="4"/>
      <c r="BW7" s="4"/>
      <c r="BX7" s="4"/>
      <c r="BY7" s="4"/>
      <c r="BZ7" s="4"/>
      <c r="CA7" s="4"/>
      <c r="CB7" s="4"/>
      <c r="CC7" s="4"/>
      <c r="CD7" s="4"/>
      <c r="CE7" s="4" t="s">
        <v>258</v>
      </c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8">
        <f t="shared" si="1"/>
        <v>20</v>
      </c>
      <c r="DA7" s="8">
        <f t="shared" ref="DA7:DA34" si="18">COUNTIF(BU7:CY7,"ป")</f>
        <v>0</v>
      </c>
      <c r="DB7" s="8">
        <f t="shared" ref="DB7:DB34" si="19">COUNTIF(BU7:CY7,"ล")</f>
        <v>1</v>
      </c>
      <c r="DC7" s="8">
        <f t="shared" ref="DC7:DC34" si="20">COUNTIF(BU7:CY7,"ข")</f>
        <v>0</v>
      </c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 t="s">
        <v>258</v>
      </c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8">
        <f t="shared" si="2"/>
        <v>20</v>
      </c>
      <c r="EJ7" s="8">
        <f t="shared" ref="EJ7:EJ34" si="21">COUNTIF(DD7:EH7,"ป")</f>
        <v>0</v>
      </c>
      <c r="EK7" s="8">
        <f t="shared" ref="EK7:EK34" si="22">COUNTIF(DD7:EH7,"ล")</f>
        <v>1</v>
      </c>
      <c r="EL7" s="8">
        <f t="shared" ref="EL7:EL34" si="23">COUNTIF(DD7:EH7,"ข")</f>
        <v>0</v>
      </c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8">
        <f t="shared" si="3"/>
        <v>21</v>
      </c>
      <c r="FS7" s="8">
        <f t="shared" ref="FS7:FS18" si="24">COUNTIF(EM7:FQ7,"ป")</f>
        <v>0</v>
      </c>
      <c r="FT7" s="8">
        <f t="shared" ref="FT7:FT18" si="25">COUNTIF(EM7:FQ7,"ล")</f>
        <v>0</v>
      </c>
      <c r="FU7" s="8">
        <f t="shared" ref="FU7:FU18" si="26">COUNTIF(EM7:FQ7,"ข")</f>
        <v>0</v>
      </c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8">
        <f t="shared" si="4"/>
        <v>6</v>
      </c>
      <c r="HB7" s="8">
        <f t="shared" ref="HB7:HB18" si="27">COUNTIF(FV7:GZ7,"ป")</f>
        <v>0</v>
      </c>
      <c r="HC7" s="8">
        <f t="shared" ref="HC7:HC18" si="28">COUNTIF(FV7:GZ7,"ล")</f>
        <v>0</v>
      </c>
      <c r="HD7" s="8">
        <f t="shared" ref="HD7:HD18" si="29">COUNTIF(FV7:GZ7,"ข")</f>
        <v>0</v>
      </c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8">
        <f t="shared" si="5"/>
        <v>21</v>
      </c>
      <c r="IK7" s="8">
        <f t="shared" ref="IK7:IK18" si="30">COUNTIF(HE7:II7,"ป")</f>
        <v>0</v>
      </c>
      <c r="IL7" s="8">
        <f t="shared" ref="IL7:IL18" si="31">COUNTIF(HE7:II7,"ล")</f>
        <v>0</v>
      </c>
      <c r="IM7" s="8">
        <f t="shared" ref="IM7:IM18" si="32">COUNTIF(HE7:II7,"ข")</f>
        <v>0</v>
      </c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8">
        <f t="shared" si="6"/>
        <v>18</v>
      </c>
      <c r="JT7" s="8">
        <f t="shared" ref="JT7:JT18" si="33">COUNTIF(IN7:JR7,"ป")</f>
        <v>0</v>
      </c>
      <c r="JU7" s="8">
        <f t="shared" ref="JU7:JU18" si="34">COUNTIF(IN7:JR7,"ล")</f>
        <v>0</v>
      </c>
      <c r="JV7" s="8">
        <f t="shared" ref="JV7:JV18" si="35">COUNTIF(IN7:JR7,"ข")</f>
        <v>0</v>
      </c>
      <c r="JW7" s="4"/>
      <c r="JX7" s="4" t="s">
        <v>258</v>
      </c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 t="s">
        <v>258</v>
      </c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8">
        <f t="shared" si="7"/>
        <v>20</v>
      </c>
      <c r="LC7" s="8">
        <f t="shared" ref="LC7:LC18" si="36">COUNTIF(JW7:LA7,"ป")</f>
        <v>0</v>
      </c>
      <c r="LD7" s="8">
        <f t="shared" ref="LD7:LD18" si="37">COUNTIF(JW7:LA7,"ล")</f>
        <v>2</v>
      </c>
      <c r="LE7" s="8">
        <f t="shared" ref="LE7:LE18" si="38">COUNTIF(JW7:LA7,"ข")</f>
        <v>0</v>
      </c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8">
        <f t="shared" si="8"/>
        <v>20</v>
      </c>
      <c r="ML7" s="8">
        <f t="shared" ref="ML7:ML18" si="39">COUNTIF(LF7:MJ7,"ป")</f>
        <v>0</v>
      </c>
      <c r="MM7" s="8">
        <f t="shared" ref="MM7:MM18" si="40">COUNTIF(LF7:MJ7,"ล")</f>
        <v>0</v>
      </c>
      <c r="MN7" s="8">
        <f t="shared" ref="MN7:MN18" si="41">COUNTIF(LF7:MJ7,"ข")</f>
        <v>0</v>
      </c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8">
        <f t="shared" si="9"/>
        <v>20</v>
      </c>
      <c r="NU7" s="8">
        <f t="shared" ref="NU7:NU18" si="42">COUNTIF(MO7:NS7,"ป")</f>
        <v>0</v>
      </c>
      <c r="NV7" s="8">
        <f t="shared" ref="NV7:NV18" si="43">COUNTIF(MO7:NS7,"ล")</f>
        <v>0</v>
      </c>
      <c r="NW7" s="8">
        <f t="shared" ref="NW7:NW18" si="44">COUNTIF(MO7:NS7,"ข")</f>
        <v>0</v>
      </c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8">
        <f t="shared" si="10"/>
        <v>0</v>
      </c>
      <c r="PD7" s="8">
        <f t="shared" ref="PD7:PD18" si="45">COUNTIF(NX7:PB7,"ป")</f>
        <v>0</v>
      </c>
      <c r="PE7" s="8">
        <f t="shared" ref="PE7:PE18" si="46">COUNTIF(NX7:PB7,"ล")</f>
        <v>0</v>
      </c>
      <c r="PF7" s="8">
        <f t="shared" ref="PF7:PF18" si="47">COUNTIF(NX7:PB7,"ข")</f>
        <v>0</v>
      </c>
      <c r="PG7" s="3">
        <f t="shared" ref="PG7:PG18" si="48">AH7</f>
        <v>11</v>
      </c>
      <c r="PH7" s="3">
        <f t="shared" ref="PH7:PH18" si="49">BQ7</f>
        <v>19</v>
      </c>
      <c r="PI7" s="3">
        <f t="shared" ref="PI7:PI18" si="50">CZ7</f>
        <v>20</v>
      </c>
      <c r="PJ7" s="3">
        <f t="shared" ref="PJ7:PJ18" si="51">EI7</f>
        <v>20</v>
      </c>
      <c r="PK7" s="3">
        <f t="shared" ref="PK7:PK18" si="52">FR7</f>
        <v>21</v>
      </c>
      <c r="PL7" s="3">
        <f t="shared" ref="PL7:PL18" si="53">HA7</f>
        <v>6</v>
      </c>
      <c r="PM7" s="3">
        <f t="shared" ref="PM7:PM18" si="54">IJ7</f>
        <v>21</v>
      </c>
      <c r="PN7" s="3">
        <f t="shared" ref="PN7:PN18" si="55">JS7</f>
        <v>18</v>
      </c>
      <c r="PO7" s="3">
        <f t="shared" ref="PO7:PO18" si="56">LB7</f>
        <v>20</v>
      </c>
      <c r="PP7" s="3">
        <f t="shared" ref="PP7:PP18" si="57">MK7</f>
        <v>20</v>
      </c>
      <c r="PQ7" s="3">
        <f t="shared" ref="PQ7:PQ18" si="58">NT7</f>
        <v>20</v>
      </c>
      <c r="PR7" s="3">
        <f t="shared" ref="PR7:PR18" si="59">PC7</f>
        <v>0</v>
      </c>
      <c r="PS7" s="3">
        <f t="shared" ref="PS7:PS18" si="60">SUM(PC7:PR7)</f>
        <v>196</v>
      </c>
      <c r="PT7" s="23">
        <f t="shared" ref="PT7:PT18" si="61">PS7*100/$PS$4</f>
        <v>98</v>
      </c>
    </row>
    <row r="8" spans="1:436" x14ac:dyDescent="0.4">
      <c r="A8" s="4">
        <v>3</v>
      </c>
      <c r="B8" s="19" t="str">
        <f>'ข้อมูลนร.2-3'!D6</f>
        <v>เด็กชายจิรายุ  เนตรสว่าง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8">
        <f t="shared" si="11"/>
        <v>11</v>
      </c>
      <c r="AI8" s="8">
        <f t="shared" si="12"/>
        <v>0</v>
      </c>
      <c r="AJ8" s="8">
        <f t="shared" si="13"/>
        <v>0</v>
      </c>
      <c r="AK8" s="8">
        <f t="shared" si="14"/>
        <v>0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8">
        <f t="shared" si="0"/>
        <v>19</v>
      </c>
      <c r="BR8" s="8">
        <f t="shared" si="15"/>
        <v>0</v>
      </c>
      <c r="BS8" s="8">
        <f t="shared" si="16"/>
        <v>0</v>
      </c>
      <c r="BT8" s="8">
        <f t="shared" si="17"/>
        <v>0</v>
      </c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 t="s">
        <v>258</v>
      </c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8">
        <f t="shared" si="1"/>
        <v>20</v>
      </c>
      <c r="DA8" s="8">
        <f t="shared" si="18"/>
        <v>0</v>
      </c>
      <c r="DB8" s="8">
        <f t="shared" si="19"/>
        <v>1</v>
      </c>
      <c r="DC8" s="8">
        <f t="shared" si="20"/>
        <v>0</v>
      </c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8">
        <f t="shared" si="2"/>
        <v>21</v>
      </c>
      <c r="EJ8" s="8">
        <f t="shared" si="21"/>
        <v>0</v>
      </c>
      <c r="EK8" s="8">
        <f t="shared" si="22"/>
        <v>0</v>
      </c>
      <c r="EL8" s="8">
        <f t="shared" si="23"/>
        <v>0</v>
      </c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8">
        <f t="shared" si="3"/>
        <v>21</v>
      </c>
      <c r="FS8" s="8">
        <f t="shared" si="24"/>
        <v>0</v>
      </c>
      <c r="FT8" s="8">
        <f t="shared" si="25"/>
        <v>0</v>
      </c>
      <c r="FU8" s="8">
        <f t="shared" si="26"/>
        <v>0</v>
      </c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8">
        <f t="shared" si="4"/>
        <v>6</v>
      </c>
      <c r="HB8" s="8">
        <f t="shared" si="27"/>
        <v>0</v>
      </c>
      <c r="HC8" s="8">
        <f t="shared" si="28"/>
        <v>0</v>
      </c>
      <c r="HD8" s="8">
        <f t="shared" si="29"/>
        <v>0</v>
      </c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8">
        <f t="shared" si="5"/>
        <v>21</v>
      </c>
      <c r="IK8" s="8">
        <f t="shared" si="30"/>
        <v>0</v>
      </c>
      <c r="IL8" s="8">
        <f t="shared" si="31"/>
        <v>0</v>
      </c>
      <c r="IM8" s="8">
        <f t="shared" si="32"/>
        <v>0</v>
      </c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8">
        <f t="shared" si="6"/>
        <v>18</v>
      </c>
      <c r="JT8" s="8">
        <f t="shared" si="33"/>
        <v>0</v>
      </c>
      <c r="JU8" s="8">
        <f t="shared" si="34"/>
        <v>0</v>
      </c>
      <c r="JV8" s="8">
        <f t="shared" si="35"/>
        <v>0</v>
      </c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8">
        <f t="shared" si="7"/>
        <v>22</v>
      </c>
      <c r="LC8" s="8">
        <f t="shared" si="36"/>
        <v>0</v>
      </c>
      <c r="LD8" s="8">
        <f t="shared" si="37"/>
        <v>0</v>
      </c>
      <c r="LE8" s="8">
        <f t="shared" si="38"/>
        <v>0</v>
      </c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8">
        <f t="shared" si="8"/>
        <v>20</v>
      </c>
      <c r="ML8" s="8">
        <f t="shared" si="39"/>
        <v>0</v>
      </c>
      <c r="MM8" s="8">
        <f t="shared" si="40"/>
        <v>0</v>
      </c>
      <c r="MN8" s="8">
        <f t="shared" si="41"/>
        <v>0</v>
      </c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8">
        <f t="shared" si="9"/>
        <v>20</v>
      </c>
      <c r="NU8" s="8">
        <f t="shared" si="42"/>
        <v>0</v>
      </c>
      <c r="NV8" s="8">
        <f t="shared" si="43"/>
        <v>0</v>
      </c>
      <c r="NW8" s="8">
        <f t="shared" si="44"/>
        <v>0</v>
      </c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8">
        <f t="shared" si="10"/>
        <v>0</v>
      </c>
      <c r="PD8" s="8">
        <f t="shared" si="45"/>
        <v>0</v>
      </c>
      <c r="PE8" s="8">
        <f t="shared" si="46"/>
        <v>0</v>
      </c>
      <c r="PF8" s="8">
        <f t="shared" si="47"/>
        <v>0</v>
      </c>
      <c r="PG8" s="3">
        <f t="shared" si="48"/>
        <v>11</v>
      </c>
      <c r="PH8" s="3">
        <f t="shared" si="49"/>
        <v>19</v>
      </c>
      <c r="PI8" s="3">
        <f t="shared" si="50"/>
        <v>20</v>
      </c>
      <c r="PJ8" s="3">
        <f t="shared" si="51"/>
        <v>21</v>
      </c>
      <c r="PK8" s="3">
        <f t="shared" si="52"/>
        <v>21</v>
      </c>
      <c r="PL8" s="3">
        <f t="shared" si="53"/>
        <v>6</v>
      </c>
      <c r="PM8" s="3">
        <f t="shared" si="54"/>
        <v>21</v>
      </c>
      <c r="PN8" s="3">
        <f t="shared" si="55"/>
        <v>18</v>
      </c>
      <c r="PO8" s="3">
        <f t="shared" si="56"/>
        <v>22</v>
      </c>
      <c r="PP8" s="3">
        <f t="shared" si="57"/>
        <v>20</v>
      </c>
      <c r="PQ8" s="3">
        <f t="shared" si="58"/>
        <v>20</v>
      </c>
      <c r="PR8" s="3">
        <f t="shared" si="59"/>
        <v>0</v>
      </c>
      <c r="PS8" s="3">
        <f t="shared" si="60"/>
        <v>199</v>
      </c>
      <c r="PT8" s="23">
        <f t="shared" si="61"/>
        <v>99.5</v>
      </c>
    </row>
    <row r="9" spans="1:436" x14ac:dyDescent="0.4">
      <c r="A9" s="4">
        <v>4</v>
      </c>
      <c r="B9" s="19" t="str">
        <f>'ข้อมูลนร.2-3'!D7</f>
        <v>เด็กชายจีรภัทร  คันธมาตย์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313</v>
      </c>
      <c r="Z9" s="4"/>
      <c r="AA9" s="4"/>
      <c r="AB9" s="4"/>
      <c r="AC9" s="4"/>
      <c r="AD9" s="4"/>
      <c r="AE9" s="4"/>
      <c r="AF9" s="4"/>
      <c r="AG9" s="4"/>
      <c r="AH9" s="8">
        <f t="shared" si="11"/>
        <v>10</v>
      </c>
      <c r="AI9" s="8">
        <f t="shared" si="12"/>
        <v>1</v>
      </c>
      <c r="AJ9" s="8">
        <f t="shared" si="13"/>
        <v>0</v>
      </c>
      <c r="AK9" s="8">
        <f t="shared" si="14"/>
        <v>0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8">
        <f t="shared" si="0"/>
        <v>19</v>
      </c>
      <c r="BR9" s="8">
        <f t="shared" si="15"/>
        <v>0</v>
      </c>
      <c r="BS9" s="8">
        <f t="shared" si="16"/>
        <v>0</v>
      </c>
      <c r="BT9" s="8">
        <f t="shared" si="17"/>
        <v>0</v>
      </c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 t="s">
        <v>258</v>
      </c>
      <c r="CS9" s="4"/>
      <c r="CT9" s="4"/>
      <c r="CU9" s="4"/>
      <c r="CV9" s="4"/>
      <c r="CW9" s="4"/>
      <c r="CX9" s="4"/>
      <c r="CY9" s="4"/>
      <c r="CZ9" s="8">
        <f t="shared" si="1"/>
        <v>20</v>
      </c>
      <c r="DA9" s="8">
        <f t="shared" si="18"/>
        <v>0</v>
      </c>
      <c r="DB9" s="8">
        <f t="shared" si="19"/>
        <v>1</v>
      </c>
      <c r="DC9" s="8">
        <f t="shared" si="20"/>
        <v>0</v>
      </c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8">
        <f t="shared" si="2"/>
        <v>21</v>
      </c>
      <c r="EJ9" s="8">
        <f t="shared" si="21"/>
        <v>0</v>
      </c>
      <c r="EK9" s="8">
        <f t="shared" si="22"/>
        <v>0</v>
      </c>
      <c r="EL9" s="8">
        <f t="shared" si="23"/>
        <v>0</v>
      </c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8">
        <f t="shared" si="3"/>
        <v>21</v>
      </c>
      <c r="FS9" s="8">
        <f t="shared" si="24"/>
        <v>0</v>
      </c>
      <c r="FT9" s="8">
        <f t="shared" si="25"/>
        <v>0</v>
      </c>
      <c r="FU9" s="8">
        <f t="shared" si="26"/>
        <v>0</v>
      </c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8">
        <f t="shared" si="4"/>
        <v>6</v>
      </c>
      <c r="HB9" s="8">
        <f t="shared" si="27"/>
        <v>0</v>
      </c>
      <c r="HC9" s="8">
        <f t="shared" si="28"/>
        <v>0</v>
      </c>
      <c r="HD9" s="8">
        <f t="shared" si="29"/>
        <v>0</v>
      </c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 t="s">
        <v>258</v>
      </c>
      <c r="IA9" s="4"/>
      <c r="IB9" s="4"/>
      <c r="IC9" s="4"/>
      <c r="ID9" s="4"/>
      <c r="IE9" s="4"/>
      <c r="IF9" s="4"/>
      <c r="IG9" s="4"/>
      <c r="IH9" s="4"/>
      <c r="II9" s="4"/>
      <c r="IJ9" s="8">
        <f t="shared" si="5"/>
        <v>20</v>
      </c>
      <c r="IK9" s="8">
        <f t="shared" si="30"/>
        <v>0</v>
      </c>
      <c r="IL9" s="8">
        <f t="shared" si="31"/>
        <v>1</v>
      </c>
      <c r="IM9" s="8">
        <f t="shared" si="32"/>
        <v>0</v>
      </c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8">
        <f t="shared" si="6"/>
        <v>18</v>
      </c>
      <c r="JT9" s="8">
        <f t="shared" si="33"/>
        <v>0</v>
      </c>
      <c r="JU9" s="8">
        <f t="shared" si="34"/>
        <v>0</v>
      </c>
      <c r="JV9" s="8">
        <f t="shared" si="35"/>
        <v>0</v>
      </c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8">
        <f t="shared" si="7"/>
        <v>22</v>
      </c>
      <c r="LC9" s="8">
        <f t="shared" si="36"/>
        <v>0</v>
      </c>
      <c r="LD9" s="8">
        <f t="shared" si="37"/>
        <v>0</v>
      </c>
      <c r="LE9" s="8">
        <f t="shared" si="38"/>
        <v>0</v>
      </c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8">
        <f t="shared" si="8"/>
        <v>20</v>
      </c>
      <c r="ML9" s="8">
        <f t="shared" si="39"/>
        <v>0</v>
      </c>
      <c r="MM9" s="8">
        <f t="shared" si="40"/>
        <v>0</v>
      </c>
      <c r="MN9" s="8">
        <f t="shared" si="41"/>
        <v>0</v>
      </c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8">
        <f t="shared" si="9"/>
        <v>20</v>
      </c>
      <c r="NU9" s="8">
        <f t="shared" si="42"/>
        <v>0</v>
      </c>
      <c r="NV9" s="8">
        <f t="shared" si="43"/>
        <v>0</v>
      </c>
      <c r="NW9" s="8">
        <f t="shared" si="44"/>
        <v>0</v>
      </c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8">
        <f t="shared" si="10"/>
        <v>0</v>
      </c>
      <c r="PD9" s="8">
        <f t="shared" si="45"/>
        <v>0</v>
      </c>
      <c r="PE9" s="8">
        <f t="shared" si="46"/>
        <v>0</v>
      </c>
      <c r="PF9" s="8">
        <f t="shared" si="47"/>
        <v>0</v>
      </c>
      <c r="PG9" s="3">
        <f t="shared" si="48"/>
        <v>10</v>
      </c>
      <c r="PH9" s="3">
        <f t="shared" si="49"/>
        <v>19</v>
      </c>
      <c r="PI9" s="3">
        <f t="shared" si="50"/>
        <v>20</v>
      </c>
      <c r="PJ9" s="3">
        <f t="shared" si="51"/>
        <v>21</v>
      </c>
      <c r="PK9" s="3">
        <f t="shared" si="52"/>
        <v>21</v>
      </c>
      <c r="PL9" s="3">
        <f t="shared" si="53"/>
        <v>6</v>
      </c>
      <c r="PM9" s="3">
        <f t="shared" si="54"/>
        <v>20</v>
      </c>
      <c r="PN9" s="3">
        <f t="shared" si="55"/>
        <v>18</v>
      </c>
      <c r="PO9" s="3">
        <f t="shared" si="56"/>
        <v>22</v>
      </c>
      <c r="PP9" s="3">
        <f t="shared" si="57"/>
        <v>20</v>
      </c>
      <c r="PQ9" s="3">
        <f t="shared" si="58"/>
        <v>20</v>
      </c>
      <c r="PR9" s="3">
        <f t="shared" si="59"/>
        <v>0</v>
      </c>
      <c r="PS9" s="3">
        <f t="shared" si="60"/>
        <v>197</v>
      </c>
      <c r="PT9" s="23">
        <f t="shared" si="61"/>
        <v>98.5</v>
      </c>
    </row>
    <row r="10" spans="1:436" x14ac:dyDescent="0.4">
      <c r="A10" s="4">
        <v>5</v>
      </c>
      <c r="B10" s="19" t="str">
        <f>'ข้อมูลนร.2-3'!D8</f>
        <v>เด็กชายปรวัฒน์  โพธิ์ศรี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8">
        <f t="shared" si="11"/>
        <v>11</v>
      </c>
      <c r="AI10" s="8">
        <f t="shared" si="12"/>
        <v>0</v>
      </c>
      <c r="AJ10" s="8">
        <f t="shared" si="13"/>
        <v>0</v>
      </c>
      <c r="AK10" s="8">
        <f t="shared" si="14"/>
        <v>0</v>
      </c>
      <c r="AL10" s="4"/>
      <c r="AM10" s="4"/>
      <c r="AN10" s="4"/>
      <c r="AO10" s="4"/>
      <c r="AP10" s="4"/>
      <c r="AQ10" s="4"/>
      <c r="AR10" s="4"/>
      <c r="AS10" s="4"/>
      <c r="AT10" s="4"/>
      <c r="AU10" s="4" t="s">
        <v>258</v>
      </c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8">
        <f t="shared" si="0"/>
        <v>18</v>
      </c>
      <c r="BR10" s="8">
        <f t="shared" si="15"/>
        <v>0</v>
      </c>
      <c r="BS10" s="8">
        <f t="shared" si="16"/>
        <v>1</v>
      </c>
      <c r="BT10" s="8">
        <f t="shared" si="17"/>
        <v>0</v>
      </c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 t="s">
        <v>258</v>
      </c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8">
        <f t="shared" si="1"/>
        <v>20</v>
      </c>
      <c r="DA10" s="8">
        <f t="shared" si="18"/>
        <v>0</v>
      </c>
      <c r="DB10" s="8">
        <f t="shared" si="19"/>
        <v>1</v>
      </c>
      <c r="DC10" s="8">
        <f t="shared" si="20"/>
        <v>0</v>
      </c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 t="s">
        <v>258</v>
      </c>
      <c r="DW10" s="4" t="s">
        <v>258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8">
        <f t="shared" si="2"/>
        <v>19</v>
      </c>
      <c r="EJ10" s="8">
        <f t="shared" si="21"/>
        <v>0</v>
      </c>
      <c r="EK10" s="8">
        <f t="shared" si="22"/>
        <v>2</v>
      </c>
      <c r="EL10" s="8">
        <f t="shared" si="23"/>
        <v>0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8">
        <f t="shared" si="3"/>
        <v>21</v>
      </c>
      <c r="FS10" s="8">
        <f t="shared" si="24"/>
        <v>0</v>
      </c>
      <c r="FT10" s="8">
        <f t="shared" si="25"/>
        <v>0</v>
      </c>
      <c r="FU10" s="8">
        <f t="shared" si="26"/>
        <v>0</v>
      </c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8">
        <f t="shared" si="4"/>
        <v>6</v>
      </c>
      <c r="HB10" s="8">
        <f t="shared" si="27"/>
        <v>0</v>
      </c>
      <c r="HC10" s="8">
        <f t="shared" si="28"/>
        <v>0</v>
      </c>
      <c r="HD10" s="8">
        <f t="shared" si="29"/>
        <v>0</v>
      </c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8">
        <f t="shared" si="5"/>
        <v>21</v>
      </c>
      <c r="IK10" s="8">
        <f t="shared" si="30"/>
        <v>0</v>
      </c>
      <c r="IL10" s="8">
        <f t="shared" si="31"/>
        <v>0</v>
      </c>
      <c r="IM10" s="8">
        <f t="shared" si="32"/>
        <v>0</v>
      </c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8">
        <f t="shared" si="6"/>
        <v>18</v>
      </c>
      <c r="JT10" s="8">
        <f t="shared" si="33"/>
        <v>0</v>
      </c>
      <c r="JU10" s="8">
        <f t="shared" si="34"/>
        <v>0</v>
      </c>
      <c r="JV10" s="8">
        <f t="shared" si="35"/>
        <v>0</v>
      </c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8">
        <f t="shared" si="7"/>
        <v>22</v>
      </c>
      <c r="LC10" s="8">
        <f t="shared" si="36"/>
        <v>0</v>
      </c>
      <c r="LD10" s="8">
        <f t="shared" si="37"/>
        <v>0</v>
      </c>
      <c r="LE10" s="8">
        <f t="shared" si="38"/>
        <v>0</v>
      </c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8">
        <f t="shared" si="8"/>
        <v>20</v>
      </c>
      <c r="ML10" s="8">
        <f t="shared" si="39"/>
        <v>0</v>
      </c>
      <c r="MM10" s="8">
        <f t="shared" si="40"/>
        <v>0</v>
      </c>
      <c r="MN10" s="8">
        <f t="shared" si="41"/>
        <v>0</v>
      </c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8">
        <f t="shared" si="9"/>
        <v>20</v>
      </c>
      <c r="NU10" s="8">
        <f t="shared" si="42"/>
        <v>0</v>
      </c>
      <c r="NV10" s="8">
        <f t="shared" si="43"/>
        <v>0</v>
      </c>
      <c r="NW10" s="8">
        <f t="shared" si="44"/>
        <v>0</v>
      </c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8">
        <f t="shared" si="10"/>
        <v>0</v>
      </c>
      <c r="PD10" s="8">
        <f t="shared" si="45"/>
        <v>0</v>
      </c>
      <c r="PE10" s="8">
        <f t="shared" si="46"/>
        <v>0</v>
      </c>
      <c r="PF10" s="8">
        <f t="shared" si="47"/>
        <v>0</v>
      </c>
      <c r="PG10" s="3">
        <f t="shared" si="48"/>
        <v>11</v>
      </c>
      <c r="PH10" s="3">
        <f t="shared" si="49"/>
        <v>18</v>
      </c>
      <c r="PI10" s="3">
        <f t="shared" si="50"/>
        <v>20</v>
      </c>
      <c r="PJ10" s="3">
        <f t="shared" si="51"/>
        <v>19</v>
      </c>
      <c r="PK10" s="3">
        <f t="shared" si="52"/>
        <v>21</v>
      </c>
      <c r="PL10" s="3">
        <f t="shared" si="53"/>
        <v>6</v>
      </c>
      <c r="PM10" s="3">
        <f t="shared" si="54"/>
        <v>21</v>
      </c>
      <c r="PN10" s="3">
        <f t="shared" si="55"/>
        <v>18</v>
      </c>
      <c r="PO10" s="3">
        <f t="shared" si="56"/>
        <v>22</v>
      </c>
      <c r="PP10" s="3">
        <f t="shared" si="57"/>
        <v>20</v>
      </c>
      <c r="PQ10" s="3">
        <f t="shared" si="58"/>
        <v>20</v>
      </c>
      <c r="PR10" s="3">
        <f t="shared" si="59"/>
        <v>0</v>
      </c>
      <c r="PS10" s="3">
        <f t="shared" si="60"/>
        <v>196</v>
      </c>
      <c r="PT10" s="23">
        <f t="shared" si="61"/>
        <v>98</v>
      </c>
    </row>
    <row r="11" spans="1:436" x14ac:dyDescent="0.4">
      <c r="A11" s="4">
        <v>6</v>
      </c>
      <c r="B11" s="19" t="str">
        <f>'ข้อมูลนร.2-3'!D9</f>
        <v>เด็กชายพีรภาพ  วงคำใหญ่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 t="s">
        <v>313</v>
      </c>
      <c r="AB11" s="4"/>
      <c r="AC11" s="4"/>
      <c r="AD11" s="4"/>
      <c r="AE11" s="4"/>
      <c r="AF11" s="4"/>
      <c r="AG11" s="4"/>
      <c r="AH11" s="8">
        <f t="shared" si="11"/>
        <v>10</v>
      </c>
      <c r="AI11" s="8">
        <f t="shared" si="12"/>
        <v>1</v>
      </c>
      <c r="AJ11" s="8">
        <f t="shared" si="13"/>
        <v>0</v>
      </c>
      <c r="AK11" s="8">
        <f t="shared" si="14"/>
        <v>0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8">
        <f t="shared" si="0"/>
        <v>19</v>
      </c>
      <c r="BR11" s="8">
        <f t="shared" si="15"/>
        <v>0</v>
      </c>
      <c r="BS11" s="8">
        <f t="shared" si="16"/>
        <v>0</v>
      </c>
      <c r="BT11" s="8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8">
        <f t="shared" si="1"/>
        <v>21</v>
      </c>
      <c r="DA11" s="8">
        <f t="shared" si="18"/>
        <v>0</v>
      </c>
      <c r="DB11" s="8">
        <f t="shared" si="19"/>
        <v>0</v>
      </c>
      <c r="DC11" s="8">
        <f t="shared" si="20"/>
        <v>0</v>
      </c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8">
        <f t="shared" si="2"/>
        <v>21</v>
      </c>
      <c r="EJ11" s="8">
        <f t="shared" si="21"/>
        <v>0</v>
      </c>
      <c r="EK11" s="8">
        <f t="shared" si="22"/>
        <v>0</v>
      </c>
      <c r="EL11" s="8">
        <f t="shared" si="23"/>
        <v>0</v>
      </c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8">
        <f t="shared" si="3"/>
        <v>21</v>
      </c>
      <c r="FS11" s="8">
        <f t="shared" si="24"/>
        <v>0</v>
      </c>
      <c r="FT11" s="8">
        <f t="shared" si="25"/>
        <v>0</v>
      </c>
      <c r="FU11" s="8">
        <f t="shared" si="26"/>
        <v>0</v>
      </c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8">
        <f t="shared" si="4"/>
        <v>6</v>
      </c>
      <c r="HB11" s="8">
        <f t="shared" si="27"/>
        <v>0</v>
      </c>
      <c r="HC11" s="8">
        <f t="shared" si="28"/>
        <v>0</v>
      </c>
      <c r="HD11" s="8">
        <f t="shared" si="29"/>
        <v>0</v>
      </c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8">
        <f t="shared" si="5"/>
        <v>21</v>
      </c>
      <c r="IK11" s="8">
        <f t="shared" si="30"/>
        <v>0</v>
      </c>
      <c r="IL11" s="8">
        <f t="shared" si="31"/>
        <v>0</v>
      </c>
      <c r="IM11" s="8">
        <f t="shared" si="32"/>
        <v>0</v>
      </c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8">
        <f t="shared" si="6"/>
        <v>18</v>
      </c>
      <c r="JT11" s="8">
        <f t="shared" si="33"/>
        <v>0</v>
      </c>
      <c r="JU11" s="8">
        <f t="shared" si="34"/>
        <v>0</v>
      </c>
      <c r="JV11" s="8">
        <f t="shared" si="35"/>
        <v>0</v>
      </c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8">
        <f t="shared" si="7"/>
        <v>22</v>
      </c>
      <c r="LC11" s="8">
        <f t="shared" si="36"/>
        <v>0</v>
      </c>
      <c r="LD11" s="8">
        <f t="shared" si="37"/>
        <v>0</v>
      </c>
      <c r="LE11" s="8">
        <f t="shared" si="38"/>
        <v>0</v>
      </c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8">
        <f t="shared" si="8"/>
        <v>20</v>
      </c>
      <c r="ML11" s="8">
        <f t="shared" si="39"/>
        <v>0</v>
      </c>
      <c r="MM11" s="8">
        <f t="shared" si="40"/>
        <v>0</v>
      </c>
      <c r="MN11" s="8">
        <f t="shared" si="41"/>
        <v>0</v>
      </c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8">
        <f t="shared" si="9"/>
        <v>20</v>
      </c>
      <c r="NU11" s="8">
        <f t="shared" si="42"/>
        <v>0</v>
      </c>
      <c r="NV11" s="8">
        <f t="shared" si="43"/>
        <v>0</v>
      </c>
      <c r="NW11" s="8">
        <f t="shared" si="44"/>
        <v>0</v>
      </c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8">
        <f t="shared" si="10"/>
        <v>0</v>
      </c>
      <c r="PD11" s="8">
        <f t="shared" si="45"/>
        <v>0</v>
      </c>
      <c r="PE11" s="8">
        <f t="shared" si="46"/>
        <v>0</v>
      </c>
      <c r="PF11" s="8">
        <f t="shared" si="47"/>
        <v>0</v>
      </c>
      <c r="PG11" s="3">
        <f t="shared" si="48"/>
        <v>10</v>
      </c>
      <c r="PH11" s="3">
        <f t="shared" si="49"/>
        <v>19</v>
      </c>
      <c r="PI11" s="3">
        <f t="shared" si="50"/>
        <v>21</v>
      </c>
      <c r="PJ11" s="3">
        <f t="shared" si="51"/>
        <v>21</v>
      </c>
      <c r="PK11" s="3">
        <f t="shared" si="52"/>
        <v>21</v>
      </c>
      <c r="PL11" s="3">
        <f t="shared" si="53"/>
        <v>6</v>
      </c>
      <c r="PM11" s="3">
        <f t="shared" si="54"/>
        <v>21</v>
      </c>
      <c r="PN11" s="3">
        <f t="shared" si="55"/>
        <v>18</v>
      </c>
      <c r="PO11" s="3">
        <f t="shared" si="56"/>
        <v>22</v>
      </c>
      <c r="PP11" s="3">
        <f t="shared" si="57"/>
        <v>20</v>
      </c>
      <c r="PQ11" s="3">
        <f t="shared" si="58"/>
        <v>20</v>
      </c>
      <c r="PR11" s="3">
        <f t="shared" si="59"/>
        <v>0</v>
      </c>
      <c r="PS11" s="3">
        <f t="shared" si="60"/>
        <v>199</v>
      </c>
      <c r="PT11" s="23">
        <f t="shared" si="61"/>
        <v>99.5</v>
      </c>
    </row>
    <row r="12" spans="1:436" x14ac:dyDescent="0.4">
      <c r="A12" s="4">
        <v>7</v>
      </c>
      <c r="B12" s="19" t="str">
        <f>'ข้อมูลนร.2-3'!D10</f>
        <v>เด็กหญิงกมลรัตน์  แสดคง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8">
        <f t="shared" si="11"/>
        <v>11</v>
      </c>
      <c r="AI12" s="8">
        <f t="shared" si="12"/>
        <v>0</v>
      </c>
      <c r="AJ12" s="8">
        <f t="shared" si="13"/>
        <v>0</v>
      </c>
      <c r="AK12" s="8">
        <f t="shared" si="14"/>
        <v>0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 t="s">
        <v>258</v>
      </c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8">
        <f t="shared" si="0"/>
        <v>18</v>
      </c>
      <c r="BR12" s="8">
        <f t="shared" si="15"/>
        <v>0</v>
      </c>
      <c r="BS12" s="8">
        <f t="shared" si="16"/>
        <v>1</v>
      </c>
      <c r="BT12" s="8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8">
        <f t="shared" si="1"/>
        <v>21</v>
      </c>
      <c r="DA12" s="8">
        <f t="shared" si="18"/>
        <v>0</v>
      </c>
      <c r="DB12" s="8">
        <f t="shared" si="19"/>
        <v>0</v>
      </c>
      <c r="DC12" s="8">
        <f t="shared" si="20"/>
        <v>0</v>
      </c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8">
        <f t="shared" si="2"/>
        <v>21</v>
      </c>
      <c r="EJ12" s="8">
        <f t="shared" si="21"/>
        <v>0</v>
      </c>
      <c r="EK12" s="8">
        <f t="shared" si="22"/>
        <v>0</v>
      </c>
      <c r="EL12" s="8">
        <f t="shared" si="23"/>
        <v>0</v>
      </c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8">
        <f t="shared" si="3"/>
        <v>21</v>
      </c>
      <c r="FS12" s="8">
        <f t="shared" si="24"/>
        <v>0</v>
      </c>
      <c r="FT12" s="8">
        <f t="shared" si="25"/>
        <v>0</v>
      </c>
      <c r="FU12" s="8">
        <f t="shared" si="26"/>
        <v>0</v>
      </c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8">
        <f t="shared" si="4"/>
        <v>6</v>
      </c>
      <c r="HB12" s="8">
        <f t="shared" si="27"/>
        <v>0</v>
      </c>
      <c r="HC12" s="8">
        <f t="shared" si="28"/>
        <v>0</v>
      </c>
      <c r="HD12" s="8">
        <f t="shared" si="29"/>
        <v>0</v>
      </c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8">
        <f t="shared" si="5"/>
        <v>21</v>
      </c>
      <c r="IK12" s="8">
        <f t="shared" si="30"/>
        <v>0</v>
      </c>
      <c r="IL12" s="8">
        <f t="shared" si="31"/>
        <v>0</v>
      </c>
      <c r="IM12" s="8">
        <f t="shared" si="32"/>
        <v>0</v>
      </c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8">
        <f t="shared" si="6"/>
        <v>18</v>
      </c>
      <c r="JT12" s="8">
        <f t="shared" si="33"/>
        <v>0</v>
      </c>
      <c r="JU12" s="8">
        <f t="shared" si="34"/>
        <v>0</v>
      </c>
      <c r="JV12" s="8">
        <f t="shared" si="35"/>
        <v>0</v>
      </c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8">
        <f t="shared" si="7"/>
        <v>22</v>
      </c>
      <c r="LC12" s="8">
        <f t="shared" si="36"/>
        <v>0</v>
      </c>
      <c r="LD12" s="8">
        <f t="shared" si="37"/>
        <v>0</v>
      </c>
      <c r="LE12" s="8">
        <f t="shared" si="38"/>
        <v>0</v>
      </c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8">
        <f t="shared" si="8"/>
        <v>20</v>
      </c>
      <c r="ML12" s="8">
        <f t="shared" si="39"/>
        <v>0</v>
      </c>
      <c r="MM12" s="8">
        <f t="shared" si="40"/>
        <v>0</v>
      </c>
      <c r="MN12" s="8">
        <f t="shared" si="41"/>
        <v>0</v>
      </c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8">
        <f t="shared" si="9"/>
        <v>20</v>
      </c>
      <c r="NU12" s="8">
        <f t="shared" si="42"/>
        <v>0</v>
      </c>
      <c r="NV12" s="8">
        <f t="shared" si="43"/>
        <v>0</v>
      </c>
      <c r="NW12" s="8">
        <f t="shared" si="44"/>
        <v>0</v>
      </c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8">
        <f t="shared" si="10"/>
        <v>0</v>
      </c>
      <c r="PD12" s="8">
        <f t="shared" si="45"/>
        <v>0</v>
      </c>
      <c r="PE12" s="8">
        <f t="shared" si="46"/>
        <v>0</v>
      </c>
      <c r="PF12" s="8">
        <f t="shared" si="47"/>
        <v>0</v>
      </c>
      <c r="PG12" s="3">
        <f t="shared" si="48"/>
        <v>11</v>
      </c>
      <c r="PH12" s="3">
        <f t="shared" si="49"/>
        <v>18</v>
      </c>
      <c r="PI12" s="3">
        <f t="shared" si="50"/>
        <v>21</v>
      </c>
      <c r="PJ12" s="3">
        <f t="shared" si="51"/>
        <v>21</v>
      </c>
      <c r="PK12" s="3">
        <f t="shared" si="52"/>
        <v>21</v>
      </c>
      <c r="PL12" s="3">
        <f t="shared" si="53"/>
        <v>6</v>
      </c>
      <c r="PM12" s="3">
        <f t="shared" si="54"/>
        <v>21</v>
      </c>
      <c r="PN12" s="3">
        <f t="shared" si="55"/>
        <v>18</v>
      </c>
      <c r="PO12" s="3">
        <f t="shared" si="56"/>
        <v>22</v>
      </c>
      <c r="PP12" s="3">
        <f t="shared" si="57"/>
        <v>20</v>
      </c>
      <c r="PQ12" s="3">
        <f t="shared" si="58"/>
        <v>20</v>
      </c>
      <c r="PR12" s="3">
        <f t="shared" si="59"/>
        <v>0</v>
      </c>
      <c r="PS12" s="3">
        <f t="shared" si="60"/>
        <v>199</v>
      </c>
      <c r="PT12" s="23">
        <f t="shared" si="61"/>
        <v>99.5</v>
      </c>
    </row>
    <row r="13" spans="1:436" x14ac:dyDescent="0.4">
      <c r="A13" s="4">
        <v>8</v>
      </c>
      <c r="B13" s="19" t="str">
        <f>'ข้อมูลนร.2-3'!D11</f>
        <v>เด็กหญิงกัลยรัตน์  ทึงสุข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258</v>
      </c>
      <c r="AC13" s="4"/>
      <c r="AD13" s="4"/>
      <c r="AE13" s="4"/>
      <c r="AF13" s="4"/>
      <c r="AG13" s="4"/>
      <c r="AH13" s="8">
        <f t="shared" si="11"/>
        <v>10</v>
      </c>
      <c r="AI13" s="8">
        <f t="shared" si="12"/>
        <v>0</v>
      </c>
      <c r="AJ13" s="8">
        <f t="shared" si="13"/>
        <v>1</v>
      </c>
      <c r="AK13" s="8">
        <f t="shared" si="14"/>
        <v>0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8">
        <f t="shared" si="0"/>
        <v>19</v>
      </c>
      <c r="BR13" s="8">
        <f t="shared" si="15"/>
        <v>0</v>
      </c>
      <c r="BS13" s="8">
        <f t="shared" si="16"/>
        <v>0</v>
      </c>
      <c r="BT13" s="8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8">
        <f t="shared" si="1"/>
        <v>21</v>
      </c>
      <c r="DA13" s="8">
        <f t="shared" si="18"/>
        <v>0</v>
      </c>
      <c r="DB13" s="8">
        <f t="shared" si="19"/>
        <v>0</v>
      </c>
      <c r="DC13" s="8">
        <f t="shared" si="20"/>
        <v>0</v>
      </c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8">
        <f t="shared" si="2"/>
        <v>21</v>
      </c>
      <c r="EJ13" s="8">
        <f t="shared" si="21"/>
        <v>0</v>
      </c>
      <c r="EK13" s="8">
        <f t="shared" si="22"/>
        <v>0</v>
      </c>
      <c r="EL13" s="8">
        <f t="shared" si="23"/>
        <v>0</v>
      </c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8">
        <f t="shared" si="3"/>
        <v>21</v>
      </c>
      <c r="FS13" s="8">
        <f t="shared" si="24"/>
        <v>0</v>
      </c>
      <c r="FT13" s="8">
        <f t="shared" si="25"/>
        <v>0</v>
      </c>
      <c r="FU13" s="8">
        <f t="shared" si="26"/>
        <v>0</v>
      </c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8">
        <f t="shared" si="4"/>
        <v>6</v>
      </c>
      <c r="HB13" s="8">
        <f t="shared" si="27"/>
        <v>0</v>
      </c>
      <c r="HC13" s="8">
        <f t="shared" si="28"/>
        <v>0</v>
      </c>
      <c r="HD13" s="8">
        <f t="shared" si="29"/>
        <v>0</v>
      </c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8">
        <f t="shared" si="5"/>
        <v>21</v>
      </c>
      <c r="IK13" s="8">
        <f t="shared" si="30"/>
        <v>0</v>
      </c>
      <c r="IL13" s="8">
        <f t="shared" si="31"/>
        <v>0</v>
      </c>
      <c r="IM13" s="8">
        <f t="shared" si="32"/>
        <v>0</v>
      </c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8">
        <f t="shared" si="6"/>
        <v>18</v>
      </c>
      <c r="JT13" s="8">
        <f t="shared" si="33"/>
        <v>0</v>
      </c>
      <c r="JU13" s="8">
        <f t="shared" si="34"/>
        <v>0</v>
      </c>
      <c r="JV13" s="8">
        <f t="shared" si="35"/>
        <v>0</v>
      </c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8">
        <f t="shared" si="7"/>
        <v>22</v>
      </c>
      <c r="LC13" s="8">
        <f t="shared" si="36"/>
        <v>0</v>
      </c>
      <c r="LD13" s="8">
        <f t="shared" si="37"/>
        <v>0</v>
      </c>
      <c r="LE13" s="8">
        <f t="shared" si="38"/>
        <v>0</v>
      </c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8">
        <f t="shared" si="8"/>
        <v>20</v>
      </c>
      <c r="ML13" s="8">
        <f t="shared" si="39"/>
        <v>0</v>
      </c>
      <c r="MM13" s="8">
        <f t="shared" si="40"/>
        <v>0</v>
      </c>
      <c r="MN13" s="8">
        <f t="shared" si="41"/>
        <v>0</v>
      </c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8">
        <f t="shared" si="9"/>
        <v>20</v>
      </c>
      <c r="NU13" s="8">
        <f t="shared" si="42"/>
        <v>0</v>
      </c>
      <c r="NV13" s="8">
        <f t="shared" si="43"/>
        <v>0</v>
      </c>
      <c r="NW13" s="8">
        <f t="shared" si="44"/>
        <v>0</v>
      </c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8">
        <f t="shared" si="10"/>
        <v>0</v>
      </c>
      <c r="PD13" s="8">
        <f t="shared" si="45"/>
        <v>0</v>
      </c>
      <c r="PE13" s="8">
        <f t="shared" si="46"/>
        <v>0</v>
      </c>
      <c r="PF13" s="8">
        <f t="shared" si="47"/>
        <v>0</v>
      </c>
      <c r="PG13" s="3">
        <f t="shared" si="48"/>
        <v>10</v>
      </c>
      <c r="PH13" s="3">
        <f t="shared" si="49"/>
        <v>19</v>
      </c>
      <c r="PI13" s="3">
        <f t="shared" si="50"/>
        <v>21</v>
      </c>
      <c r="PJ13" s="3">
        <f t="shared" si="51"/>
        <v>21</v>
      </c>
      <c r="PK13" s="3">
        <f t="shared" si="52"/>
        <v>21</v>
      </c>
      <c r="PL13" s="3">
        <f t="shared" si="53"/>
        <v>6</v>
      </c>
      <c r="PM13" s="3">
        <f t="shared" si="54"/>
        <v>21</v>
      </c>
      <c r="PN13" s="3">
        <f t="shared" si="55"/>
        <v>18</v>
      </c>
      <c r="PO13" s="3">
        <f t="shared" si="56"/>
        <v>22</v>
      </c>
      <c r="PP13" s="3">
        <f t="shared" si="57"/>
        <v>20</v>
      </c>
      <c r="PQ13" s="3">
        <f t="shared" si="58"/>
        <v>20</v>
      </c>
      <c r="PR13" s="3">
        <f t="shared" si="59"/>
        <v>0</v>
      </c>
      <c r="PS13" s="3">
        <f t="shared" si="60"/>
        <v>199</v>
      </c>
      <c r="PT13" s="23">
        <f t="shared" si="61"/>
        <v>99.5</v>
      </c>
    </row>
    <row r="14" spans="1:436" x14ac:dyDescent="0.4">
      <c r="A14" s="4">
        <v>9</v>
      </c>
      <c r="B14" s="19" t="str">
        <f>'ข้อมูลนร.2-3'!D12</f>
        <v>เด็กหญิงนิตยา  พละโท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8">
        <f t="shared" si="11"/>
        <v>11</v>
      </c>
      <c r="AI14" s="8">
        <f t="shared" si="12"/>
        <v>0</v>
      </c>
      <c r="AJ14" s="8">
        <f t="shared" si="13"/>
        <v>0</v>
      </c>
      <c r="AK14" s="8">
        <f t="shared" si="14"/>
        <v>0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258</v>
      </c>
      <c r="BL14" s="4"/>
      <c r="BM14" s="4"/>
      <c r="BN14" s="4"/>
      <c r="BO14" s="4"/>
      <c r="BP14" s="4"/>
      <c r="BQ14" s="8">
        <f t="shared" si="0"/>
        <v>18</v>
      </c>
      <c r="BR14" s="8">
        <f t="shared" si="15"/>
        <v>0</v>
      </c>
      <c r="BS14" s="8">
        <f t="shared" si="16"/>
        <v>1</v>
      </c>
      <c r="BT14" s="8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8">
        <f t="shared" si="1"/>
        <v>21</v>
      </c>
      <c r="DA14" s="8">
        <f t="shared" si="18"/>
        <v>0</v>
      </c>
      <c r="DB14" s="8">
        <f t="shared" si="19"/>
        <v>0</v>
      </c>
      <c r="DC14" s="8">
        <f t="shared" si="20"/>
        <v>0</v>
      </c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8">
        <f t="shared" si="2"/>
        <v>21</v>
      </c>
      <c r="EJ14" s="8">
        <f t="shared" si="21"/>
        <v>0</v>
      </c>
      <c r="EK14" s="8">
        <f t="shared" si="22"/>
        <v>0</v>
      </c>
      <c r="EL14" s="8">
        <f t="shared" si="23"/>
        <v>0</v>
      </c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8">
        <f t="shared" si="3"/>
        <v>21</v>
      </c>
      <c r="FS14" s="8">
        <f t="shared" si="24"/>
        <v>0</v>
      </c>
      <c r="FT14" s="8">
        <f t="shared" si="25"/>
        <v>0</v>
      </c>
      <c r="FU14" s="8">
        <f t="shared" si="26"/>
        <v>0</v>
      </c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8">
        <f t="shared" si="4"/>
        <v>6</v>
      </c>
      <c r="HB14" s="8">
        <f t="shared" si="27"/>
        <v>0</v>
      </c>
      <c r="HC14" s="8">
        <f t="shared" si="28"/>
        <v>0</v>
      </c>
      <c r="HD14" s="8">
        <f t="shared" si="29"/>
        <v>0</v>
      </c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8">
        <f t="shared" si="5"/>
        <v>21</v>
      </c>
      <c r="IK14" s="8">
        <f t="shared" si="30"/>
        <v>0</v>
      </c>
      <c r="IL14" s="8">
        <f t="shared" si="31"/>
        <v>0</v>
      </c>
      <c r="IM14" s="8">
        <f t="shared" si="32"/>
        <v>0</v>
      </c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8">
        <f t="shared" si="6"/>
        <v>18</v>
      </c>
      <c r="JT14" s="8">
        <f t="shared" si="33"/>
        <v>0</v>
      </c>
      <c r="JU14" s="8">
        <f t="shared" si="34"/>
        <v>0</v>
      </c>
      <c r="JV14" s="8">
        <f t="shared" si="35"/>
        <v>0</v>
      </c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8">
        <f t="shared" si="7"/>
        <v>22</v>
      </c>
      <c r="LC14" s="8">
        <f t="shared" si="36"/>
        <v>0</v>
      </c>
      <c r="LD14" s="8">
        <f t="shared" si="37"/>
        <v>0</v>
      </c>
      <c r="LE14" s="8">
        <f t="shared" si="38"/>
        <v>0</v>
      </c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8">
        <f t="shared" si="8"/>
        <v>20</v>
      </c>
      <c r="ML14" s="8">
        <f t="shared" si="39"/>
        <v>0</v>
      </c>
      <c r="MM14" s="8">
        <f t="shared" si="40"/>
        <v>0</v>
      </c>
      <c r="MN14" s="8">
        <f t="shared" si="41"/>
        <v>0</v>
      </c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8">
        <f t="shared" si="9"/>
        <v>20</v>
      </c>
      <c r="NU14" s="8">
        <f t="shared" si="42"/>
        <v>0</v>
      </c>
      <c r="NV14" s="8">
        <f t="shared" si="43"/>
        <v>0</v>
      </c>
      <c r="NW14" s="8">
        <f t="shared" si="44"/>
        <v>0</v>
      </c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8">
        <f t="shared" si="10"/>
        <v>0</v>
      </c>
      <c r="PD14" s="8">
        <f t="shared" si="45"/>
        <v>0</v>
      </c>
      <c r="PE14" s="8">
        <f t="shared" si="46"/>
        <v>0</v>
      </c>
      <c r="PF14" s="8">
        <f t="shared" si="47"/>
        <v>0</v>
      </c>
      <c r="PG14" s="3">
        <f t="shared" si="48"/>
        <v>11</v>
      </c>
      <c r="PH14" s="3">
        <f t="shared" si="49"/>
        <v>18</v>
      </c>
      <c r="PI14" s="3">
        <f t="shared" si="50"/>
        <v>21</v>
      </c>
      <c r="PJ14" s="3">
        <f t="shared" si="51"/>
        <v>21</v>
      </c>
      <c r="PK14" s="3">
        <f t="shared" si="52"/>
        <v>21</v>
      </c>
      <c r="PL14" s="3">
        <f t="shared" si="53"/>
        <v>6</v>
      </c>
      <c r="PM14" s="3">
        <f t="shared" si="54"/>
        <v>21</v>
      </c>
      <c r="PN14" s="3">
        <f t="shared" si="55"/>
        <v>18</v>
      </c>
      <c r="PO14" s="3">
        <f t="shared" si="56"/>
        <v>22</v>
      </c>
      <c r="PP14" s="3">
        <f t="shared" si="57"/>
        <v>20</v>
      </c>
      <c r="PQ14" s="3">
        <f t="shared" si="58"/>
        <v>20</v>
      </c>
      <c r="PR14" s="3">
        <f t="shared" si="59"/>
        <v>0</v>
      </c>
      <c r="PS14" s="3">
        <f t="shared" si="60"/>
        <v>199</v>
      </c>
      <c r="PT14" s="23">
        <f t="shared" si="61"/>
        <v>99.5</v>
      </c>
    </row>
    <row r="15" spans="1:436" x14ac:dyDescent="0.4">
      <c r="A15" s="4">
        <v>10</v>
      </c>
      <c r="B15" s="19" t="str">
        <f>'ข้อมูลนร.2-3'!D13</f>
        <v>เด็กหญิงบัณฑิตา  เบ้าพงษ์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8">
        <f t="shared" si="11"/>
        <v>11</v>
      </c>
      <c r="AI15" s="8">
        <f t="shared" si="12"/>
        <v>0</v>
      </c>
      <c r="AJ15" s="8">
        <f t="shared" si="13"/>
        <v>0</v>
      </c>
      <c r="AK15" s="8">
        <f t="shared" si="14"/>
        <v>0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8">
        <f t="shared" si="0"/>
        <v>19</v>
      </c>
      <c r="BR15" s="8">
        <f t="shared" si="15"/>
        <v>0</v>
      </c>
      <c r="BS15" s="8">
        <f t="shared" si="16"/>
        <v>0</v>
      </c>
      <c r="BT15" s="8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8">
        <f t="shared" si="1"/>
        <v>21</v>
      </c>
      <c r="DA15" s="8">
        <f t="shared" si="18"/>
        <v>0</v>
      </c>
      <c r="DB15" s="8">
        <f t="shared" si="19"/>
        <v>0</v>
      </c>
      <c r="DC15" s="8">
        <f t="shared" si="20"/>
        <v>0</v>
      </c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8">
        <f t="shared" si="2"/>
        <v>21</v>
      </c>
      <c r="EJ15" s="8">
        <f t="shared" si="21"/>
        <v>0</v>
      </c>
      <c r="EK15" s="8">
        <f t="shared" si="22"/>
        <v>0</v>
      </c>
      <c r="EL15" s="8">
        <f t="shared" si="23"/>
        <v>0</v>
      </c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8">
        <f t="shared" si="3"/>
        <v>21</v>
      </c>
      <c r="FS15" s="8">
        <f t="shared" si="24"/>
        <v>0</v>
      </c>
      <c r="FT15" s="8">
        <f t="shared" si="25"/>
        <v>0</v>
      </c>
      <c r="FU15" s="8">
        <f t="shared" si="26"/>
        <v>0</v>
      </c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8">
        <f t="shared" si="4"/>
        <v>6</v>
      </c>
      <c r="HB15" s="8">
        <f t="shared" si="27"/>
        <v>0</v>
      </c>
      <c r="HC15" s="8">
        <f t="shared" si="28"/>
        <v>0</v>
      </c>
      <c r="HD15" s="8">
        <f t="shared" si="29"/>
        <v>0</v>
      </c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8">
        <f t="shared" si="5"/>
        <v>21</v>
      </c>
      <c r="IK15" s="8">
        <f t="shared" si="30"/>
        <v>0</v>
      </c>
      <c r="IL15" s="8">
        <f t="shared" si="31"/>
        <v>0</v>
      </c>
      <c r="IM15" s="8">
        <f t="shared" si="32"/>
        <v>0</v>
      </c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8">
        <f t="shared" si="6"/>
        <v>18</v>
      </c>
      <c r="JT15" s="8">
        <f t="shared" si="33"/>
        <v>0</v>
      </c>
      <c r="JU15" s="8">
        <f t="shared" si="34"/>
        <v>0</v>
      </c>
      <c r="JV15" s="8">
        <f t="shared" si="35"/>
        <v>0</v>
      </c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8">
        <f t="shared" si="7"/>
        <v>22</v>
      </c>
      <c r="LC15" s="8">
        <f t="shared" si="36"/>
        <v>0</v>
      </c>
      <c r="LD15" s="8">
        <f t="shared" si="37"/>
        <v>0</v>
      </c>
      <c r="LE15" s="8">
        <f t="shared" si="38"/>
        <v>0</v>
      </c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8">
        <f t="shared" si="8"/>
        <v>20</v>
      </c>
      <c r="ML15" s="8">
        <f t="shared" si="39"/>
        <v>0</v>
      </c>
      <c r="MM15" s="8">
        <f t="shared" si="40"/>
        <v>0</v>
      </c>
      <c r="MN15" s="8">
        <f t="shared" si="41"/>
        <v>0</v>
      </c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8">
        <f t="shared" si="9"/>
        <v>20</v>
      </c>
      <c r="NU15" s="8">
        <f t="shared" si="42"/>
        <v>0</v>
      </c>
      <c r="NV15" s="8">
        <f t="shared" si="43"/>
        <v>0</v>
      </c>
      <c r="NW15" s="8">
        <f t="shared" si="44"/>
        <v>0</v>
      </c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8">
        <f t="shared" si="10"/>
        <v>0</v>
      </c>
      <c r="PD15" s="8">
        <f t="shared" si="45"/>
        <v>0</v>
      </c>
      <c r="PE15" s="8">
        <f t="shared" si="46"/>
        <v>0</v>
      </c>
      <c r="PF15" s="8">
        <f t="shared" si="47"/>
        <v>0</v>
      </c>
      <c r="PG15" s="3">
        <f t="shared" si="48"/>
        <v>11</v>
      </c>
      <c r="PH15" s="3">
        <f t="shared" si="49"/>
        <v>19</v>
      </c>
      <c r="PI15" s="3">
        <f t="shared" si="50"/>
        <v>21</v>
      </c>
      <c r="PJ15" s="3">
        <f t="shared" si="51"/>
        <v>21</v>
      </c>
      <c r="PK15" s="3">
        <f t="shared" si="52"/>
        <v>21</v>
      </c>
      <c r="PL15" s="3">
        <f t="shared" si="53"/>
        <v>6</v>
      </c>
      <c r="PM15" s="3">
        <f t="shared" si="54"/>
        <v>21</v>
      </c>
      <c r="PN15" s="3">
        <f t="shared" si="55"/>
        <v>18</v>
      </c>
      <c r="PO15" s="3">
        <f t="shared" si="56"/>
        <v>22</v>
      </c>
      <c r="PP15" s="3">
        <f t="shared" si="57"/>
        <v>20</v>
      </c>
      <c r="PQ15" s="3">
        <f t="shared" si="58"/>
        <v>20</v>
      </c>
      <c r="PR15" s="3">
        <f t="shared" si="59"/>
        <v>0</v>
      </c>
      <c r="PS15" s="3">
        <f t="shared" si="60"/>
        <v>200</v>
      </c>
      <c r="PT15" s="23">
        <f t="shared" si="61"/>
        <v>100</v>
      </c>
    </row>
    <row r="16" spans="1:436" x14ac:dyDescent="0.4">
      <c r="A16" s="4">
        <v>11</v>
      </c>
      <c r="B16" s="19" t="str">
        <f>'ข้อมูลนร.2-3'!D14</f>
        <v>เด็กหญิงพัชรกัญญ์  บาลนาคม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8">
        <f t="shared" si="11"/>
        <v>11</v>
      </c>
      <c r="AI16" s="8">
        <f t="shared" si="12"/>
        <v>0</v>
      </c>
      <c r="AJ16" s="8">
        <f t="shared" si="13"/>
        <v>0</v>
      </c>
      <c r="AK16" s="8">
        <f t="shared" si="14"/>
        <v>0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8">
        <f t="shared" si="0"/>
        <v>19</v>
      </c>
      <c r="BR16" s="8">
        <f t="shared" si="15"/>
        <v>0</v>
      </c>
      <c r="BS16" s="8">
        <f t="shared" si="16"/>
        <v>0</v>
      </c>
      <c r="BT16" s="8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8">
        <f t="shared" si="1"/>
        <v>21</v>
      </c>
      <c r="DA16" s="8">
        <f t="shared" si="18"/>
        <v>0</v>
      </c>
      <c r="DB16" s="8">
        <f t="shared" si="19"/>
        <v>0</v>
      </c>
      <c r="DC16" s="8">
        <f t="shared" si="20"/>
        <v>0</v>
      </c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8">
        <f t="shared" si="2"/>
        <v>21</v>
      </c>
      <c r="EJ16" s="8">
        <f t="shared" si="21"/>
        <v>0</v>
      </c>
      <c r="EK16" s="8">
        <f t="shared" si="22"/>
        <v>0</v>
      </c>
      <c r="EL16" s="8">
        <f t="shared" si="23"/>
        <v>0</v>
      </c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8">
        <f t="shared" si="3"/>
        <v>21</v>
      </c>
      <c r="FS16" s="8">
        <f t="shared" si="24"/>
        <v>0</v>
      </c>
      <c r="FT16" s="8">
        <f t="shared" si="25"/>
        <v>0</v>
      </c>
      <c r="FU16" s="8">
        <f t="shared" si="26"/>
        <v>0</v>
      </c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8">
        <f t="shared" si="4"/>
        <v>6</v>
      </c>
      <c r="HB16" s="8">
        <f t="shared" si="27"/>
        <v>0</v>
      </c>
      <c r="HC16" s="8">
        <f t="shared" si="28"/>
        <v>0</v>
      </c>
      <c r="HD16" s="8">
        <f t="shared" si="29"/>
        <v>0</v>
      </c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8">
        <f t="shared" si="5"/>
        <v>21</v>
      </c>
      <c r="IK16" s="8">
        <f t="shared" si="30"/>
        <v>0</v>
      </c>
      <c r="IL16" s="8">
        <f t="shared" si="31"/>
        <v>0</v>
      </c>
      <c r="IM16" s="8">
        <f t="shared" si="32"/>
        <v>0</v>
      </c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8">
        <f t="shared" si="6"/>
        <v>18</v>
      </c>
      <c r="JT16" s="8">
        <f t="shared" si="33"/>
        <v>0</v>
      </c>
      <c r="JU16" s="8">
        <f t="shared" si="34"/>
        <v>0</v>
      </c>
      <c r="JV16" s="8">
        <f t="shared" si="35"/>
        <v>0</v>
      </c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8">
        <f t="shared" si="7"/>
        <v>22</v>
      </c>
      <c r="LC16" s="8">
        <f t="shared" si="36"/>
        <v>0</v>
      </c>
      <c r="LD16" s="8">
        <f t="shared" si="37"/>
        <v>0</v>
      </c>
      <c r="LE16" s="8">
        <f t="shared" si="38"/>
        <v>0</v>
      </c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8">
        <f t="shared" si="8"/>
        <v>20</v>
      </c>
      <c r="ML16" s="8">
        <f t="shared" si="39"/>
        <v>0</v>
      </c>
      <c r="MM16" s="8">
        <f t="shared" si="40"/>
        <v>0</v>
      </c>
      <c r="MN16" s="8">
        <f t="shared" si="41"/>
        <v>0</v>
      </c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8">
        <f t="shared" si="9"/>
        <v>20</v>
      </c>
      <c r="NU16" s="8">
        <f t="shared" si="42"/>
        <v>0</v>
      </c>
      <c r="NV16" s="8">
        <f t="shared" si="43"/>
        <v>0</v>
      </c>
      <c r="NW16" s="8">
        <f t="shared" si="44"/>
        <v>0</v>
      </c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8">
        <f t="shared" si="10"/>
        <v>0</v>
      </c>
      <c r="PD16" s="8">
        <f t="shared" si="45"/>
        <v>0</v>
      </c>
      <c r="PE16" s="8">
        <f t="shared" si="46"/>
        <v>0</v>
      </c>
      <c r="PF16" s="8">
        <f t="shared" si="47"/>
        <v>0</v>
      </c>
      <c r="PG16" s="3">
        <f t="shared" si="48"/>
        <v>11</v>
      </c>
      <c r="PH16" s="3">
        <f t="shared" si="49"/>
        <v>19</v>
      </c>
      <c r="PI16" s="3">
        <f t="shared" si="50"/>
        <v>21</v>
      </c>
      <c r="PJ16" s="3">
        <f t="shared" si="51"/>
        <v>21</v>
      </c>
      <c r="PK16" s="3">
        <f t="shared" si="52"/>
        <v>21</v>
      </c>
      <c r="PL16" s="3">
        <f t="shared" si="53"/>
        <v>6</v>
      </c>
      <c r="PM16" s="3">
        <f t="shared" si="54"/>
        <v>21</v>
      </c>
      <c r="PN16" s="3">
        <f t="shared" si="55"/>
        <v>18</v>
      </c>
      <c r="PO16" s="3">
        <f t="shared" si="56"/>
        <v>22</v>
      </c>
      <c r="PP16" s="3">
        <f t="shared" si="57"/>
        <v>20</v>
      </c>
      <c r="PQ16" s="3">
        <f t="shared" si="58"/>
        <v>20</v>
      </c>
      <c r="PR16" s="3">
        <f t="shared" si="59"/>
        <v>0</v>
      </c>
      <c r="PS16" s="3">
        <f t="shared" si="60"/>
        <v>200</v>
      </c>
      <c r="PT16" s="23">
        <f t="shared" si="61"/>
        <v>100</v>
      </c>
    </row>
    <row r="17" spans="1:436" x14ac:dyDescent="0.4">
      <c r="A17" s="4">
        <v>12</v>
      </c>
      <c r="B17" s="19" t="str">
        <f>'ข้อมูลนร.2-3'!D15</f>
        <v>เด็กหญิงสุวิชาดา  ชูจิตร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8">
        <f t="shared" si="11"/>
        <v>11</v>
      </c>
      <c r="AI17" s="8">
        <f t="shared" si="12"/>
        <v>0</v>
      </c>
      <c r="AJ17" s="8">
        <f t="shared" si="13"/>
        <v>0</v>
      </c>
      <c r="AK17" s="8">
        <f t="shared" si="14"/>
        <v>0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8">
        <f t="shared" si="0"/>
        <v>19</v>
      </c>
      <c r="BR17" s="8">
        <f t="shared" si="15"/>
        <v>0</v>
      </c>
      <c r="BS17" s="8">
        <f t="shared" si="16"/>
        <v>0</v>
      </c>
      <c r="BT17" s="8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8">
        <f t="shared" si="1"/>
        <v>21</v>
      </c>
      <c r="DA17" s="8">
        <f t="shared" si="18"/>
        <v>0</v>
      </c>
      <c r="DB17" s="8">
        <f t="shared" si="19"/>
        <v>0</v>
      </c>
      <c r="DC17" s="8">
        <f t="shared" si="20"/>
        <v>0</v>
      </c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8">
        <f t="shared" si="2"/>
        <v>21</v>
      </c>
      <c r="EJ17" s="8">
        <f t="shared" si="21"/>
        <v>0</v>
      </c>
      <c r="EK17" s="8">
        <f t="shared" si="22"/>
        <v>0</v>
      </c>
      <c r="EL17" s="8">
        <f t="shared" si="23"/>
        <v>0</v>
      </c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8">
        <f t="shared" si="3"/>
        <v>21</v>
      </c>
      <c r="FS17" s="8">
        <f t="shared" si="24"/>
        <v>0</v>
      </c>
      <c r="FT17" s="8">
        <f t="shared" si="25"/>
        <v>0</v>
      </c>
      <c r="FU17" s="8">
        <f t="shared" si="26"/>
        <v>0</v>
      </c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8">
        <f t="shared" si="4"/>
        <v>6</v>
      </c>
      <c r="HB17" s="8">
        <f t="shared" si="27"/>
        <v>0</v>
      </c>
      <c r="HC17" s="8">
        <f t="shared" si="28"/>
        <v>0</v>
      </c>
      <c r="HD17" s="8">
        <f t="shared" si="29"/>
        <v>0</v>
      </c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8">
        <f t="shared" si="5"/>
        <v>21</v>
      </c>
      <c r="IK17" s="8">
        <f t="shared" si="30"/>
        <v>0</v>
      </c>
      <c r="IL17" s="8">
        <f t="shared" si="31"/>
        <v>0</v>
      </c>
      <c r="IM17" s="8">
        <f t="shared" si="32"/>
        <v>0</v>
      </c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8">
        <f t="shared" si="6"/>
        <v>18</v>
      </c>
      <c r="JT17" s="8">
        <f t="shared" si="33"/>
        <v>0</v>
      </c>
      <c r="JU17" s="8">
        <f t="shared" si="34"/>
        <v>0</v>
      </c>
      <c r="JV17" s="8">
        <f t="shared" si="35"/>
        <v>0</v>
      </c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8">
        <f t="shared" si="7"/>
        <v>22</v>
      </c>
      <c r="LC17" s="8">
        <f t="shared" si="36"/>
        <v>0</v>
      </c>
      <c r="LD17" s="8">
        <f t="shared" si="37"/>
        <v>0</v>
      </c>
      <c r="LE17" s="8">
        <f t="shared" si="38"/>
        <v>0</v>
      </c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8">
        <f t="shared" si="8"/>
        <v>20</v>
      </c>
      <c r="ML17" s="8">
        <f t="shared" si="39"/>
        <v>0</v>
      </c>
      <c r="MM17" s="8">
        <f t="shared" si="40"/>
        <v>0</v>
      </c>
      <c r="MN17" s="8">
        <f t="shared" si="41"/>
        <v>0</v>
      </c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8">
        <f t="shared" si="9"/>
        <v>20</v>
      </c>
      <c r="NU17" s="8">
        <f t="shared" si="42"/>
        <v>0</v>
      </c>
      <c r="NV17" s="8">
        <f t="shared" si="43"/>
        <v>0</v>
      </c>
      <c r="NW17" s="8">
        <f t="shared" si="44"/>
        <v>0</v>
      </c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8">
        <f t="shared" si="10"/>
        <v>0</v>
      </c>
      <c r="PD17" s="8">
        <f t="shared" si="45"/>
        <v>0</v>
      </c>
      <c r="PE17" s="8">
        <f t="shared" si="46"/>
        <v>0</v>
      </c>
      <c r="PF17" s="8">
        <f t="shared" si="47"/>
        <v>0</v>
      </c>
      <c r="PG17" s="3">
        <f t="shared" si="48"/>
        <v>11</v>
      </c>
      <c r="PH17" s="3">
        <f t="shared" si="49"/>
        <v>19</v>
      </c>
      <c r="PI17" s="3">
        <f t="shared" si="50"/>
        <v>21</v>
      </c>
      <c r="PJ17" s="3">
        <f t="shared" si="51"/>
        <v>21</v>
      </c>
      <c r="PK17" s="3">
        <f t="shared" si="52"/>
        <v>21</v>
      </c>
      <c r="PL17" s="3">
        <f t="shared" si="53"/>
        <v>6</v>
      </c>
      <c r="PM17" s="3">
        <f t="shared" si="54"/>
        <v>21</v>
      </c>
      <c r="PN17" s="3">
        <f t="shared" si="55"/>
        <v>18</v>
      </c>
      <c r="PO17" s="3">
        <f t="shared" si="56"/>
        <v>22</v>
      </c>
      <c r="PP17" s="3">
        <f t="shared" si="57"/>
        <v>20</v>
      </c>
      <c r="PQ17" s="3">
        <f t="shared" si="58"/>
        <v>20</v>
      </c>
      <c r="PR17" s="3">
        <f t="shared" si="59"/>
        <v>0</v>
      </c>
      <c r="PS17" s="3">
        <f t="shared" si="60"/>
        <v>200</v>
      </c>
      <c r="PT17" s="23">
        <f t="shared" si="61"/>
        <v>100</v>
      </c>
    </row>
    <row r="18" spans="1:436" x14ac:dyDescent="0.4">
      <c r="A18" s="4">
        <v>13</v>
      </c>
      <c r="B18" s="19" t="str">
        <f>'ข้อมูลนร.2-3'!D16</f>
        <v>เด็กหญิงปุญญิศา  อุปทุม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258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8">
        <f t="shared" si="11"/>
        <v>10</v>
      </c>
      <c r="AI18" s="8">
        <f t="shared" si="12"/>
        <v>0</v>
      </c>
      <c r="AJ18" s="8">
        <f t="shared" si="13"/>
        <v>1</v>
      </c>
      <c r="AK18" s="8">
        <f t="shared" si="14"/>
        <v>0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8">
        <f t="shared" si="0"/>
        <v>19</v>
      </c>
      <c r="BR18" s="8">
        <f t="shared" si="15"/>
        <v>0</v>
      </c>
      <c r="BS18" s="8">
        <f t="shared" si="16"/>
        <v>0</v>
      </c>
      <c r="BT18" s="8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8">
        <f t="shared" si="1"/>
        <v>21</v>
      </c>
      <c r="DA18" s="8">
        <f t="shared" si="18"/>
        <v>0</v>
      </c>
      <c r="DB18" s="8">
        <f t="shared" si="19"/>
        <v>0</v>
      </c>
      <c r="DC18" s="8">
        <f t="shared" si="20"/>
        <v>0</v>
      </c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8">
        <f t="shared" si="2"/>
        <v>21</v>
      </c>
      <c r="EJ18" s="8">
        <f t="shared" si="21"/>
        <v>0</v>
      </c>
      <c r="EK18" s="8">
        <f t="shared" si="22"/>
        <v>0</v>
      </c>
      <c r="EL18" s="8">
        <f t="shared" si="23"/>
        <v>0</v>
      </c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8">
        <f t="shared" si="3"/>
        <v>21</v>
      </c>
      <c r="FS18" s="8">
        <f t="shared" si="24"/>
        <v>0</v>
      </c>
      <c r="FT18" s="8">
        <f t="shared" si="25"/>
        <v>0</v>
      </c>
      <c r="FU18" s="8">
        <f t="shared" si="26"/>
        <v>0</v>
      </c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8">
        <f t="shared" si="4"/>
        <v>6</v>
      </c>
      <c r="HB18" s="8">
        <f t="shared" si="27"/>
        <v>0</v>
      </c>
      <c r="HC18" s="8">
        <f t="shared" si="28"/>
        <v>0</v>
      </c>
      <c r="HD18" s="8">
        <f t="shared" si="29"/>
        <v>0</v>
      </c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8">
        <f t="shared" si="5"/>
        <v>21</v>
      </c>
      <c r="IK18" s="8">
        <f t="shared" si="30"/>
        <v>0</v>
      </c>
      <c r="IL18" s="8">
        <f t="shared" si="31"/>
        <v>0</v>
      </c>
      <c r="IM18" s="8">
        <f t="shared" si="32"/>
        <v>0</v>
      </c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8">
        <f t="shared" si="6"/>
        <v>18</v>
      </c>
      <c r="JT18" s="8">
        <f t="shared" si="33"/>
        <v>0</v>
      </c>
      <c r="JU18" s="8">
        <f t="shared" si="34"/>
        <v>0</v>
      </c>
      <c r="JV18" s="8">
        <f t="shared" si="35"/>
        <v>0</v>
      </c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8">
        <f t="shared" si="7"/>
        <v>22</v>
      </c>
      <c r="LC18" s="8">
        <f t="shared" si="36"/>
        <v>0</v>
      </c>
      <c r="LD18" s="8">
        <f t="shared" si="37"/>
        <v>0</v>
      </c>
      <c r="LE18" s="8">
        <f t="shared" si="38"/>
        <v>0</v>
      </c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8">
        <f t="shared" si="8"/>
        <v>20</v>
      </c>
      <c r="ML18" s="8">
        <f t="shared" si="39"/>
        <v>0</v>
      </c>
      <c r="MM18" s="8">
        <f t="shared" si="40"/>
        <v>0</v>
      </c>
      <c r="MN18" s="8">
        <f t="shared" si="41"/>
        <v>0</v>
      </c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8">
        <f t="shared" si="9"/>
        <v>20</v>
      </c>
      <c r="NU18" s="8">
        <f t="shared" si="42"/>
        <v>0</v>
      </c>
      <c r="NV18" s="8">
        <f t="shared" si="43"/>
        <v>0</v>
      </c>
      <c r="NW18" s="8">
        <f t="shared" si="44"/>
        <v>0</v>
      </c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8">
        <f t="shared" si="10"/>
        <v>0</v>
      </c>
      <c r="PD18" s="8">
        <f t="shared" si="45"/>
        <v>0</v>
      </c>
      <c r="PE18" s="8">
        <f t="shared" si="46"/>
        <v>0</v>
      </c>
      <c r="PF18" s="8">
        <f t="shared" si="47"/>
        <v>0</v>
      </c>
      <c r="PG18" s="3">
        <f t="shared" si="48"/>
        <v>10</v>
      </c>
      <c r="PH18" s="3">
        <f t="shared" si="49"/>
        <v>19</v>
      </c>
      <c r="PI18" s="3">
        <f t="shared" si="50"/>
        <v>21</v>
      </c>
      <c r="PJ18" s="3">
        <f t="shared" si="51"/>
        <v>21</v>
      </c>
      <c r="PK18" s="3">
        <f t="shared" si="52"/>
        <v>21</v>
      </c>
      <c r="PL18" s="3">
        <f t="shared" si="53"/>
        <v>6</v>
      </c>
      <c r="PM18" s="3">
        <f t="shared" si="54"/>
        <v>21</v>
      </c>
      <c r="PN18" s="3">
        <f t="shared" si="55"/>
        <v>18</v>
      </c>
      <c r="PO18" s="3">
        <f t="shared" si="56"/>
        <v>22</v>
      </c>
      <c r="PP18" s="3">
        <f t="shared" si="57"/>
        <v>20</v>
      </c>
      <c r="PQ18" s="3">
        <f t="shared" si="58"/>
        <v>20</v>
      </c>
      <c r="PR18" s="3">
        <f t="shared" si="59"/>
        <v>0</v>
      </c>
      <c r="PS18" s="3">
        <f t="shared" si="60"/>
        <v>199</v>
      </c>
      <c r="PT18" s="23">
        <f t="shared" si="61"/>
        <v>99.5</v>
      </c>
    </row>
    <row r="19" spans="1:436" x14ac:dyDescent="0.4">
      <c r="A19" s="4">
        <v>15</v>
      </c>
      <c r="B19" s="1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8"/>
      <c r="AI19" s="8"/>
      <c r="AJ19" s="8"/>
      <c r="AK19" s="8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8"/>
      <c r="BR19" s="8"/>
      <c r="BS19" s="8"/>
      <c r="BT19" s="8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8"/>
      <c r="DA19" s="8"/>
      <c r="DB19" s="8"/>
      <c r="DC19" s="8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8"/>
      <c r="EJ19" s="8"/>
      <c r="EK19" s="8"/>
      <c r="EL19" s="8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8"/>
      <c r="FS19" s="8"/>
      <c r="FT19" s="8"/>
      <c r="FU19" s="8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8"/>
      <c r="HB19" s="8"/>
      <c r="HC19" s="8"/>
      <c r="HD19" s="8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8"/>
      <c r="IK19" s="8"/>
      <c r="IL19" s="8"/>
      <c r="IM19" s="8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8"/>
      <c r="JT19" s="8"/>
      <c r="JU19" s="8"/>
      <c r="JV19" s="8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8"/>
      <c r="LC19" s="8"/>
      <c r="LD19" s="8"/>
      <c r="LE19" s="8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8"/>
      <c r="ML19" s="8"/>
      <c r="MM19" s="8"/>
      <c r="MN19" s="8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8"/>
      <c r="NU19" s="8"/>
      <c r="NV19" s="8"/>
      <c r="NW19" s="8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8"/>
      <c r="PD19" s="8"/>
      <c r="PE19" s="8"/>
      <c r="PF19" s="8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23"/>
    </row>
    <row r="20" spans="1:436" x14ac:dyDescent="0.4">
      <c r="A20" s="4">
        <v>16</v>
      </c>
      <c r="B20" s="1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8"/>
      <c r="AI20" s="8"/>
      <c r="AJ20" s="8"/>
      <c r="AK20" s="8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8"/>
      <c r="BR20" s="8"/>
      <c r="BS20" s="8"/>
      <c r="BT20" s="8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8"/>
      <c r="DA20" s="8"/>
      <c r="DB20" s="8"/>
      <c r="DC20" s="8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8"/>
      <c r="EJ20" s="8"/>
      <c r="EK20" s="8"/>
      <c r="EL20" s="8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8"/>
      <c r="FS20" s="8"/>
      <c r="FT20" s="8"/>
      <c r="FU20" s="8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8"/>
      <c r="HB20" s="8"/>
      <c r="HC20" s="8"/>
      <c r="HD20" s="8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8"/>
      <c r="IK20" s="8"/>
      <c r="IL20" s="8"/>
      <c r="IM20" s="8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8"/>
      <c r="JT20" s="8"/>
      <c r="JU20" s="8"/>
      <c r="JV20" s="8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8"/>
      <c r="LC20" s="8"/>
      <c r="LD20" s="8"/>
      <c r="LE20" s="8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8"/>
      <c r="ML20" s="8"/>
      <c r="MM20" s="8"/>
      <c r="MN20" s="8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8"/>
      <c r="NU20" s="8"/>
      <c r="NV20" s="8"/>
      <c r="NW20" s="8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8"/>
      <c r="PD20" s="8"/>
      <c r="PE20" s="8"/>
      <c r="PF20" s="8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23"/>
    </row>
    <row r="21" spans="1:436" x14ac:dyDescent="0.4">
      <c r="A21" s="4">
        <v>17</v>
      </c>
      <c r="B21" s="1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8"/>
      <c r="AI21" s="8"/>
      <c r="AJ21" s="8"/>
      <c r="AK21" s="8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8"/>
      <c r="BR21" s="8"/>
      <c r="BS21" s="8"/>
      <c r="BT21" s="8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8"/>
      <c r="DA21" s="8"/>
      <c r="DB21" s="8"/>
      <c r="DC21" s="8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8"/>
      <c r="EJ21" s="8"/>
      <c r="EK21" s="8"/>
      <c r="EL21" s="8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8"/>
      <c r="FS21" s="8"/>
      <c r="FT21" s="8"/>
      <c r="FU21" s="8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8"/>
      <c r="HB21" s="8"/>
      <c r="HC21" s="8"/>
      <c r="HD21" s="8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8"/>
      <c r="IK21" s="8"/>
      <c r="IL21" s="8"/>
      <c r="IM21" s="8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8"/>
      <c r="JT21" s="8"/>
      <c r="JU21" s="8"/>
      <c r="JV21" s="8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8"/>
      <c r="LC21" s="8"/>
      <c r="LD21" s="8"/>
      <c r="LE21" s="8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8"/>
      <c r="ML21" s="8"/>
      <c r="MM21" s="8"/>
      <c r="MN21" s="8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8"/>
      <c r="NU21" s="8"/>
      <c r="NV21" s="8"/>
      <c r="NW21" s="8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8"/>
      <c r="PD21" s="8"/>
      <c r="PE21" s="8"/>
      <c r="PF21" s="8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23"/>
    </row>
    <row r="22" spans="1:436" x14ac:dyDescent="0.4">
      <c r="A22" s="4">
        <v>18</v>
      </c>
      <c r="B22" s="1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8"/>
      <c r="AI22" s="8"/>
      <c r="AJ22" s="8"/>
      <c r="AK22" s="8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8"/>
      <c r="BR22" s="8"/>
      <c r="BS22" s="8"/>
      <c r="BT22" s="8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8"/>
      <c r="DA22" s="8"/>
      <c r="DB22" s="8"/>
      <c r="DC22" s="8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8"/>
      <c r="EJ22" s="8"/>
      <c r="EK22" s="8"/>
      <c r="EL22" s="8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8"/>
      <c r="FS22" s="8"/>
      <c r="FT22" s="8"/>
      <c r="FU22" s="8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8"/>
      <c r="HB22" s="8"/>
      <c r="HC22" s="8"/>
      <c r="HD22" s="8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8"/>
      <c r="IK22" s="8"/>
      <c r="IL22" s="8"/>
      <c r="IM22" s="8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8"/>
      <c r="JT22" s="8"/>
      <c r="JU22" s="8"/>
      <c r="JV22" s="8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8"/>
      <c r="LC22" s="8"/>
      <c r="LD22" s="8"/>
      <c r="LE22" s="8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8"/>
      <c r="ML22" s="8"/>
      <c r="MM22" s="8"/>
      <c r="MN22" s="8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8"/>
      <c r="NU22" s="8"/>
      <c r="NV22" s="8"/>
      <c r="NW22" s="8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8"/>
      <c r="PD22" s="8"/>
      <c r="PE22" s="8"/>
      <c r="PF22" s="8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23"/>
    </row>
    <row r="23" spans="1:436" x14ac:dyDescent="0.4">
      <c r="A23" s="4">
        <v>19</v>
      </c>
      <c r="B23" s="1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8"/>
      <c r="AI23" s="8"/>
      <c r="AJ23" s="8"/>
      <c r="AK23" s="8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8"/>
      <c r="BR23" s="8"/>
      <c r="BS23" s="8"/>
      <c r="BT23" s="8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8"/>
      <c r="DA23" s="8"/>
      <c r="DB23" s="8"/>
      <c r="DC23" s="8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8"/>
      <c r="EJ23" s="8"/>
      <c r="EK23" s="8"/>
      <c r="EL23" s="8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8"/>
      <c r="FS23" s="8"/>
      <c r="FT23" s="8"/>
      <c r="FU23" s="8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8"/>
      <c r="HB23" s="8"/>
      <c r="HC23" s="8"/>
      <c r="HD23" s="8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8"/>
      <c r="IK23" s="8"/>
      <c r="IL23" s="8"/>
      <c r="IM23" s="8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8"/>
      <c r="JT23" s="8"/>
      <c r="JU23" s="8"/>
      <c r="JV23" s="8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8"/>
      <c r="LC23" s="8"/>
      <c r="LD23" s="8"/>
      <c r="LE23" s="8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8"/>
      <c r="ML23" s="8"/>
      <c r="MM23" s="8"/>
      <c r="MN23" s="8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8"/>
      <c r="NU23" s="8"/>
      <c r="NV23" s="8"/>
      <c r="NW23" s="8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8"/>
      <c r="PD23" s="8"/>
      <c r="PE23" s="8"/>
      <c r="PF23" s="8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23"/>
    </row>
    <row r="24" spans="1:436" x14ac:dyDescent="0.4">
      <c r="A24" s="4">
        <v>20</v>
      </c>
      <c r="B24" s="1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8"/>
      <c r="AI24" s="8"/>
      <c r="AJ24" s="8"/>
      <c r="AK24" s="8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8"/>
      <c r="BR24" s="8"/>
      <c r="BS24" s="8"/>
      <c r="BT24" s="8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8"/>
      <c r="DA24" s="8"/>
      <c r="DB24" s="8"/>
      <c r="DC24" s="8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8"/>
      <c r="EJ24" s="8"/>
      <c r="EK24" s="8"/>
      <c r="EL24" s="8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8"/>
      <c r="FS24" s="8"/>
      <c r="FT24" s="8"/>
      <c r="FU24" s="8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8"/>
      <c r="HB24" s="8"/>
      <c r="HC24" s="8"/>
      <c r="HD24" s="8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8"/>
      <c r="IK24" s="8"/>
      <c r="IL24" s="8"/>
      <c r="IM24" s="8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8"/>
      <c r="JT24" s="8"/>
      <c r="JU24" s="8"/>
      <c r="JV24" s="8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8"/>
      <c r="LC24" s="8"/>
      <c r="LD24" s="8"/>
      <c r="LE24" s="8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8"/>
      <c r="ML24" s="8"/>
      <c r="MM24" s="8"/>
      <c r="MN24" s="8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8"/>
      <c r="NU24" s="8"/>
      <c r="NV24" s="8"/>
      <c r="NW24" s="8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8"/>
      <c r="PD24" s="8"/>
      <c r="PE24" s="8"/>
      <c r="PF24" s="8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23"/>
    </row>
    <row r="25" spans="1:436" x14ac:dyDescent="0.4">
      <c r="A25" s="4">
        <v>21</v>
      </c>
      <c r="B25" s="19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8"/>
      <c r="AI25" s="8"/>
      <c r="AJ25" s="8"/>
      <c r="AK25" s="8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8"/>
      <c r="BR25" s="8"/>
      <c r="BS25" s="8"/>
      <c r="BT25" s="8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8"/>
      <c r="DA25" s="8"/>
      <c r="DB25" s="8"/>
      <c r="DC25" s="8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8"/>
      <c r="EJ25" s="8"/>
      <c r="EK25" s="8"/>
      <c r="EL25" s="8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8"/>
      <c r="FS25" s="8"/>
      <c r="FT25" s="8"/>
      <c r="FU25" s="8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8"/>
      <c r="HB25" s="8"/>
      <c r="HC25" s="8"/>
      <c r="HD25" s="8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8"/>
      <c r="IK25" s="8"/>
      <c r="IL25" s="8"/>
      <c r="IM25" s="8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8"/>
      <c r="JT25" s="8"/>
      <c r="JU25" s="8"/>
      <c r="JV25" s="8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8"/>
      <c r="LC25" s="8"/>
      <c r="LD25" s="8"/>
      <c r="LE25" s="8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8"/>
      <c r="ML25" s="8"/>
      <c r="MM25" s="8"/>
      <c r="MN25" s="8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8"/>
      <c r="NU25" s="8"/>
      <c r="NV25" s="8"/>
      <c r="NW25" s="8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8"/>
      <c r="PD25" s="8"/>
      <c r="PE25" s="8"/>
      <c r="PF25" s="8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23"/>
    </row>
    <row r="26" spans="1:436" x14ac:dyDescent="0.4">
      <c r="A26" s="4">
        <v>22</v>
      </c>
      <c r="B26" s="1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8"/>
      <c r="AI26" s="8"/>
      <c r="AJ26" s="8"/>
      <c r="AK26" s="8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8"/>
      <c r="BR26" s="8"/>
      <c r="BS26" s="8"/>
      <c r="BT26" s="8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8"/>
      <c r="DA26" s="8"/>
      <c r="DB26" s="8"/>
      <c r="DC26" s="8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8"/>
      <c r="EJ26" s="8"/>
      <c r="EK26" s="8"/>
      <c r="EL26" s="8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8"/>
      <c r="FS26" s="8"/>
      <c r="FT26" s="8"/>
      <c r="FU26" s="8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8"/>
      <c r="HB26" s="8"/>
      <c r="HC26" s="8"/>
      <c r="HD26" s="8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8"/>
      <c r="IK26" s="8"/>
      <c r="IL26" s="8"/>
      <c r="IM26" s="8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8"/>
      <c r="JT26" s="8"/>
      <c r="JU26" s="8"/>
      <c r="JV26" s="8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8"/>
      <c r="LC26" s="8"/>
      <c r="LD26" s="8"/>
      <c r="LE26" s="8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8"/>
      <c r="ML26" s="8"/>
      <c r="MM26" s="8"/>
      <c r="MN26" s="8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8"/>
      <c r="NU26" s="8"/>
      <c r="NV26" s="8"/>
      <c r="NW26" s="8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8"/>
      <c r="PD26" s="8"/>
      <c r="PE26" s="8"/>
      <c r="PF26" s="8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23"/>
    </row>
    <row r="27" spans="1:436" x14ac:dyDescent="0.4">
      <c r="A27" s="4">
        <v>23</v>
      </c>
      <c r="B27" s="1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8"/>
      <c r="AI27" s="8"/>
      <c r="AJ27" s="8"/>
      <c r="AK27" s="8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8"/>
      <c r="BR27" s="8"/>
      <c r="BS27" s="8"/>
      <c r="BT27" s="8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8"/>
      <c r="DA27" s="8"/>
      <c r="DB27" s="8"/>
      <c r="DC27" s="8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8"/>
      <c r="EJ27" s="8"/>
      <c r="EK27" s="8"/>
      <c r="EL27" s="8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8"/>
      <c r="FS27" s="8"/>
      <c r="FT27" s="8"/>
      <c r="FU27" s="8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8"/>
      <c r="HB27" s="8"/>
      <c r="HC27" s="8"/>
      <c r="HD27" s="8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8"/>
      <c r="IK27" s="8"/>
      <c r="IL27" s="8"/>
      <c r="IM27" s="8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8"/>
      <c r="JT27" s="8"/>
      <c r="JU27" s="8"/>
      <c r="JV27" s="8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8"/>
      <c r="LC27" s="8"/>
      <c r="LD27" s="8"/>
      <c r="LE27" s="8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8"/>
      <c r="ML27" s="8"/>
      <c r="MM27" s="8"/>
      <c r="MN27" s="8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8"/>
      <c r="NU27" s="8"/>
      <c r="NV27" s="8"/>
      <c r="NW27" s="8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8"/>
      <c r="PD27" s="8"/>
      <c r="PE27" s="8"/>
      <c r="PF27" s="8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23"/>
    </row>
    <row r="28" spans="1:436" x14ac:dyDescent="0.4">
      <c r="A28" s="4">
        <v>24</v>
      </c>
      <c r="B28" s="1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8"/>
      <c r="AI28" s="8"/>
      <c r="AJ28" s="8"/>
      <c r="AK28" s="8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8"/>
      <c r="BR28" s="8"/>
      <c r="BS28" s="8"/>
      <c r="BT28" s="8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8">
        <f t="shared" si="1"/>
        <v>21</v>
      </c>
      <c r="DA28" s="8">
        <f t="shared" si="18"/>
        <v>0</v>
      </c>
      <c r="DB28" s="8">
        <f t="shared" si="19"/>
        <v>0</v>
      </c>
      <c r="DC28" s="8">
        <f t="shared" si="20"/>
        <v>0</v>
      </c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8">
        <f t="shared" si="2"/>
        <v>21</v>
      </c>
      <c r="EJ28" s="8">
        <f t="shared" si="21"/>
        <v>0</v>
      </c>
      <c r="EK28" s="8">
        <f t="shared" si="22"/>
        <v>0</v>
      </c>
      <c r="EL28" s="8">
        <f t="shared" si="23"/>
        <v>0</v>
      </c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8"/>
      <c r="FS28" s="8"/>
      <c r="FT28" s="8"/>
      <c r="FU28" s="8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8"/>
      <c r="HB28" s="8"/>
      <c r="HC28" s="8"/>
      <c r="HD28" s="8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8"/>
      <c r="IK28" s="8"/>
      <c r="IL28" s="8"/>
      <c r="IM28" s="8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8"/>
      <c r="JT28" s="8"/>
      <c r="JU28" s="8"/>
      <c r="JV28" s="8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8"/>
      <c r="LC28" s="8"/>
      <c r="LD28" s="8"/>
      <c r="LE28" s="8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8"/>
      <c r="ML28" s="8"/>
      <c r="MM28" s="8"/>
      <c r="MN28" s="8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8"/>
      <c r="NU28" s="8"/>
      <c r="NV28" s="8"/>
      <c r="NW28" s="8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8"/>
      <c r="PD28" s="8"/>
      <c r="PE28" s="8"/>
      <c r="PF28" s="8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23"/>
    </row>
    <row r="29" spans="1:436" x14ac:dyDescent="0.4">
      <c r="A29" s="4">
        <v>25</v>
      </c>
      <c r="B29" s="1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8"/>
      <c r="AI29" s="8"/>
      <c r="AJ29" s="8"/>
      <c r="AK29" s="8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8"/>
      <c r="BR29" s="8"/>
      <c r="BS29" s="8"/>
      <c r="BT29" s="8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8">
        <f t="shared" si="1"/>
        <v>21</v>
      </c>
      <c r="DA29" s="8">
        <f t="shared" si="18"/>
        <v>0</v>
      </c>
      <c r="DB29" s="8">
        <f t="shared" si="19"/>
        <v>0</v>
      </c>
      <c r="DC29" s="8">
        <f t="shared" si="20"/>
        <v>0</v>
      </c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8">
        <f t="shared" si="2"/>
        <v>21</v>
      </c>
      <c r="EJ29" s="8">
        <f t="shared" si="21"/>
        <v>0</v>
      </c>
      <c r="EK29" s="8">
        <f t="shared" si="22"/>
        <v>0</v>
      </c>
      <c r="EL29" s="8">
        <f t="shared" si="23"/>
        <v>0</v>
      </c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8"/>
      <c r="FS29" s="8"/>
      <c r="FT29" s="8"/>
      <c r="FU29" s="8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8"/>
      <c r="HB29" s="8"/>
      <c r="HC29" s="8"/>
      <c r="HD29" s="8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8"/>
      <c r="IK29" s="8"/>
      <c r="IL29" s="8"/>
      <c r="IM29" s="8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8"/>
      <c r="JT29" s="8"/>
      <c r="JU29" s="8"/>
      <c r="JV29" s="8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8"/>
      <c r="LC29" s="8"/>
      <c r="LD29" s="8"/>
      <c r="LE29" s="8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8"/>
      <c r="ML29" s="8"/>
      <c r="MM29" s="8"/>
      <c r="MN29" s="8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8"/>
      <c r="NU29" s="8"/>
      <c r="NV29" s="8"/>
      <c r="NW29" s="8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8"/>
      <c r="PD29" s="8"/>
      <c r="PE29" s="8"/>
      <c r="PF29" s="8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23"/>
    </row>
    <row r="30" spans="1:436" x14ac:dyDescent="0.4">
      <c r="A30" s="4">
        <v>26</v>
      </c>
      <c r="B30" s="1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8"/>
      <c r="AI30" s="8"/>
      <c r="AJ30" s="8"/>
      <c r="AK30" s="8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8"/>
      <c r="BR30" s="8"/>
      <c r="BS30" s="8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8">
        <f t="shared" si="1"/>
        <v>21</v>
      </c>
      <c r="DA30" s="8">
        <f t="shared" si="18"/>
        <v>0</v>
      </c>
      <c r="DB30" s="8">
        <f t="shared" si="19"/>
        <v>0</v>
      </c>
      <c r="DC30" s="8">
        <f t="shared" si="20"/>
        <v>0</v>
      </c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8">
        <f t="shared" si="2"/>
        <v>21</v>
      </c>
      <c r="EJ30" s="8">
        <f t="shared" si="21"/>
        <v>0</v>
      </c>
      <c r="EK30" s="8">
        <f t="shared" si="22"/>
        <v>0</v>
      </c>
      <c r="EL30" s="8">
        <f t="shared" si="23"/>
        <v>0</v>
      </c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8"/>
      <c r="FS30" s="8"/>
      <c r="FT30" s="8"/>
      <c r="FU30" s="8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8"/>
      <c r="HB30" s="8"/>
      <c r="HC30" s="8"/>
      <c r="HD30" s="8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8"/>
      <c r="IK30" s="8"/>
      <c r="IL30" s="8"/>
      <c r="IM30" s="8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8"/>
      <c r="JT30" s="8"/>
      <c r="JU30" s="8"/>
      <c r="JV30" s="8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8"/>
      <c r="LC30" s="8"/>
      <c r="LD30" s="8"/>
      <c r="LE30" s="8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8"/>
      <c r="ML30" s="8"/>
      <c r="MM30" s="8"/>
      <c r="MN30" s="8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8"/>
      <c r="NU30" s="8"/>
      <c r="NV30" s="8"/>
      <c r="NW30" s="8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8"/>
      <c r="PD30" s="8"/>
      <c r="PE30" s="8"/>
      <c r="PF30" s="8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23"/>
    </row>
    <row r="31" spans="1:436" x14ac:dyDescent="0.4">
      <c r="A31" s="4">
        <v>27</v>
      </c>
      <c r="B31" s="1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8"/>
      <c r="AI31" s="8"/>
      <c r="AJ31" s="8"/>
      <c r="AK31" s="8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8"/>
      <c r="BR31" s="8"/>
      <c r="BS31" s="8"/>
      <c r="BT31" s="8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8">
        <f t="shared" si="1"/>
        <v>21</v>
      </c>
      <c r="DA31" s="8">
        <f t="shared" si="18"/>
        <v>0</v>
      </c>
      <c r="DB31" s="8">
        <f t="shared" si="19"/>
        <v>0</v>
      </c>
      <c r="DC31" s="8">
        <f t="shared" si="20"/>
        <v>0</v>
      </c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8">
        <f t="shared" si="2"/>
        <v>21</v>
      </c>
      <c r="EJ31" s="8">
        <f t="shared" si="21"/>
        <v>0</v>
      </c>
      <c r="EK31" s="8">
        <f t="shared" si="22"/>
        <v>0</v>
      </c>
      <c r="EL31" s="8">
        <f t="shared" si="23"/>
        <v>0</v>
      </c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8"/>
      <c r="FS31" s="8"/>
      <c r="FT31" s="8"/>
      <c r="FU31" s="8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8"/>
      <c r="HB31" s="8"/>
      <c r="HC31" s="8"/>
      <c r="HD31" s="8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8"/>
      <c r="IK31" s="8"/>
      <c r="IL31" s="8"/>
      <c r="IM31" s="8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8"/>
      <c r="JT31" s="8"/>
      <c r="JU31" s="8"/>
      <c r="JV31" s="8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8"/>
      <c r="LC31" s="8"/>
      <c r="LD31" s="8"/>
      <c r="LE31" s="8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8"/>
      <c r="ML31" s="8"/>
      <c r="MM31" s="8"/>
      <c r="MN31" s="8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8"/>
      <c r="NU31" s="8"/>
      <c r="NV31" s="8"/>
      <c r="NW31" s="8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8"/>
      <c r="PD31" s="8"/>
      <c r="PE31" s="8"/>
      <c r="PF31" s="8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23"/>
    </row>
    <row r="32" spans="1:436" x14ac:dyDescent="0.4">
      <c r="A32" s="4">
        <v>28</v>
      </c>
      <c r="B32" s="19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8"/>
      <c r="AI32" s="8"/>
      <c r="AJ32" s="8"/>
      <c r="AK32" s="8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8"/>
      <c r="BR32" s="8"/>
      <c r="BS32" s="8"/>
      <c r="BT32" s="8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8">
        <f t="shared" si="1"/>
        <v>21</v>
      </c>
      <c r="DA32" s="8">
        <f t="shared" si="18"/>
        <v>0</v>
      </c>
      <c r="DB32" s="8">
        <f t="shared" si="19"/>
        <v>0</v>
      </c>
      <c r="DC32" s="8">
        <f t="shared" si="20"/>
        <v>0</v>
      </c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8">
        <f t="shared" si="2"/>
        <v>21</v>
      </c>
      <c r="EJ32" s="8">
        <f t="shared" si="21"/>
        <v>0</v>
      </c>
      <c r="EK32" s="8">
        <f t="shared" si="22"/>
        <v>0</v>
      </c>
      <c r="EL32" s="8">
        <f t="shared" si="23"/>
        <v>0</v>
      </c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8"/>
      <c r="FS32" s="8"/>
      <c r="FT32" s="8"/>
      <c r="FU32" s="8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8"/>
      <c r="HB32" s="8"/>
      <c r="HC32" s="8"/>
      <c r="HD32" s="8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8"/>
      <c r="IK32" s="8"/>
      <c r="IL32" s="8"/>
      <c r="IM32" s="8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8"/>
      <c r="JT32" s="8"/>
      <c r="JU32" s="8"/>
      <c r="JV32" s="8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8"/>
      <c r="LC32" s="8"/>
      <c r="LD32" s="8"/>
      <c r="LE32" s="8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8"/>
      <c r="ML32" s="8"/>
      <c r="MM32" s="8"/>
      <c r="MN32" s="8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8"/>
      <c r="NU32" s="8"/>
      <c r="NV32" s="8"/>
      <c r="NW32" s="8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8"/>
      <c r="PD32" s="8"/>
      <c r="PE32" s="8"/>
      <c r="PF32" s="8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23"/>
    </row>
    <row r="33" spans="1:436" x14ac:dyDescent="0.4">
      <c r="A33" s="4">
        <v>29</v>
      </c>
      <c r="B33" s="1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8"/>
      <c r="AI33" s="8"/>
      <c r="AJ33" s="8"/>
      <c r="AK33" s="8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8"/>
      <c r="BR33" s="8"/>
      <c r="BS33" s="8"/>
      <c r="BT33" s="8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8">
        <f t="shared" si="1"/>
        <v>21</v>
      </c>
      <c r="DA33" s="8">
        <f t="shared" si="18"/>
        <v>0</v>
      </c>
      <c r="DB33" s="8">
        <f t="shared" si="19"/>
        <v>0</v>
      </c>
      <c r="DC33" s="8">
        <f t="shared" si="20"/>
        <v>0</v>
      </c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8">
        <f t="shared" si="2"/>
        <v>21</v>
      </c>
      <c r="EJ33" s="8">
        <f t="shared" si="21"/>
        <v>0</v>
      </c>
      <c r="EK33" s="8">
        <f t="shared" si="22"/>
        <v>0</v>
      </c>
      <c r="EL33" s="8">
        <f t="shared" si="23"/>
        <v>0</v>
      </c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8"/>
      <c r="FS33" s="8"/>
      <c r="FT33" s="8"/>
      <c r="FU33" s="8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8"/>
      <c r="HB33" s="8"/>
      <c r="HC33" s="8"/>
      <c r="HD33" s="8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8"/>
      <c r="IK33" s="8"/>
      <c r="IL33" s="8"/>
      <c r="IM33" s="8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8"/>
      <c r="JT33" s="8"/>
      <c r="JU33" s="8"/>
      <c r="JV33" s="8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8"/>
      <c r="LC33" s="8"/>
      <c r="LD33" s="8"/>
      <c r="LE33" s="8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8"/>
      <c r="ML33" s="8"/>
      <c r="MM33" s="8"/>
      <c r="MN33" s="8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8"/>
      <c r="NU33" s="8"/>
      <c r="NV33" s="8"/>
      <c r="NW33" s="8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8"/>
      <c r="PD33" s="8"/>
      <c r="PE33" s="8"/>
      <c r="PF33" s="8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23"/>
    </row>
    <row r="34" spans="1:436" x14ac:dyDescent="0.4">
      <c r="A34" s="4">
        <v>30</v>
      </c>
      <c r="B34" s="19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8"/>
      <c r="AI34" s="8"/>
      <c r="AJ34" s="8"/>
      <c r="AK34" s="8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8"/>
      <c r="BR34" s="8"/>
      <c r="BS34" s="8"/>
      <c r="BT34" s="8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8">
        <f t="shared" si="1"/>
        <v>21</v>
      </c>
      <c r="DA34" s="8">
        <f t="shared" si="18"/>
        <v>0</v>
      </c>
      <c r="DB34" s="8">
        <f t="shared" si="19"/>
        <v>0</v>
      </c>
      <c r="DC34" s="8">
        <f t="shared" si="20"/>
        <v>0</v>
      </c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8">
        <f t="shared" si="2"/>
        <v>21</v>
      </c>
      <c r="EJ34" s="8">
        <f t="shared" si="21"/>
        <v>0</v>
      </c>
      <c r="EK34" s="8">
        <f t="shared" si="22"/>
        <v>0</v>
      </c>
      <c r="EL34" s="8">
        <f t="shared" si="23"/>
        <v>0</v>
      </c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8"/>
      <c r="FS34" s="8"/>
      <c r="FT34" s="8"/>
      <c r="FU34" s="8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8"/>
      <c r="HB34" s="8"/>
      <c r="HC34" s="8"/>
      <c r="HD34" s="8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8"/>
      <c r="IK34" s="8"/>
      <c r="IL34" s="8"/>
      <c r="IM34" s="8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8"/>
      <c r="JT34" s="8"/>
      <c r="JU34" s="8"/>
      <c r="JV34" s="8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8"/>
      <c r="LC34" s="8"/>
      <c r="LD34" s="8"/>
      <c r="LE34" s="8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8"/>
      <c r="ML34" s="8"/>
      <c r="MM34" s="8"/>
      <c r="MN34" s="8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8"/>
      <c r="NU34" s="8"/>
      <c r="NV34" s="8"/>
      <c r="NW34" s="8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8"/>
      <c r="PD34" s="8"/>
      <c r="PE34" s="8"/>
      <c r="PF34" s="8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23"/>
    </row>
    <row r="35" spans="1:436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436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436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436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436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436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436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436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436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436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436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436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436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436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</sheetData>
  <mergeCells count="71">
    <mergeCell ref="NV1:NW1"/>
    <mergeCell ref="PE1:PF1"/>
    <mergeCell ref="IL1:IM1"/>
    <mergeCell ref="JU1:JV1"/>
    <mergeCell ref="LD1:LE1"/>
    <mergeCell ref="MM1:MN1"/>
    <mergeCell ref="AH3:AK3"/>
    <mergeCell ref="AH4:AJ4"/>
    <mergeCell ref="C3:AG3"/>
    <mergeCell ref="BU2:DC2"/>
    <mergeCell ref="BU3:CY3"/>
    <mergeCell ref="CZ3:DC3"/>
    <mergeCell ref="CZ4:DB4"/>
    <mergeCell ref="AL2:BT2"/>
    <mergeCell ref="AL3:BP3"/>
    <mergeCell ref="BQ3:BT3"/>
    <mergeCell ref="BQ4:BS4"/>
    <mergeCell ref="C2:AK2"/>
    <mergeCell ref="EM2:FU2"/>
    <mergeCell ref="EM3:FQ3"/>
    <mergeCell ref="FR3:FU3"/>
    <mergeCell ref="FR4:FT4"/>
    <mergeCell ref="DD2:EL2"/>
    <mergeCell ref="DD3:EH3"/>
    <mergeCell ref="EI3:EL3"/>
    <mergeCell ref="EI4:EK4"/>
    <mergeCell ref="HE2:IM2"/>
    <mergeCell ref="HE3:II3"/>
    <mergeCell ref="IJ3:IM3"/>
    <mergeCell ref="IJ4:IL4"/>
    <mergeCell ref="FV2:HD2"/>
    <mergeCell ref="FV3:GZ3"/>
    <mergeCell ref="HA3:HD3"/>
    <mergeCell ref="HA4:HC4"/>
    <mergeCell ref="JW2:LE2"/>
    <mergeCell ref="JW3:LA3"/>
    <mergeCell ref="LB3:LE3"/>
    <mergeCell ref="LB4:LD4"/>
    <mergeCell ref="IN2:JV2"/>
    <mergeCell ref="IN3:JR3"/>
    <mergeCell ref="JS3:JV3"/>
    <mergeCell ref="JS4:JU4"/>
    <mergeCell ref="A2:A5"/>
    <mergeCell ref="B2:B5"/>
    <mergeCell ref="PG2:PT2"/>
    <mergeCell ref="NX2:PF2"/>
    <mergeCell ref="NX3:PB3"/>
    <mergeCell ref="PC3:PF3"/>
    <mergeCell ref="PC4:PE4"/>
    <mergeCell ref="MO2:NW2"/>
    <mergeCell ref="MO3:NS3"/>
    <mergeCell ref="NT3:NW3"/>
    <mergeCell ref="NT4:NV4"/>
    <mergeCell ref="LF2:MN2"/>
    <mergeCell ref="LF3:MJ3"/>
    <mergeCell ref="MK3:MN3"/>
    <mergeCell ref="MK4:MM4"/>
    <mergeCell ref="PT3:PT5"/>
    <mergeCell ref="PG4:PG5"/>
    <mergeCell ref="PH4:PH5"/>
    <mergeCell ref="PI4:PI5"/>
    <mergeCell ref="PJ4:PJ5"/>
    <mergeCell ref="PK4:PK5"/>
    <mergeCell ref="PQ4:PQ5"/>
    <mergeCell ref="PR4:PR5"/>
    <mergeCell ref="PS4:PS5"/>
    <mergeCell ref="PL4:PL5"/>
    <mergeCell ref="PM4:PM5"/>
    <mergeCell ref="PN4:PN5"/>
    <mergeCell ref="PO4:PO5"/>
    <mergeCell ref="PP4:PP5"/>
  </mergeCells>
  <pageMargins left="0.28125" right="4.3402777777777776E-2" top="0.39062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5DA7-D697-4043-850C-44D707AB72D4}">
  <sheetPr>
    <tabColor rgb="FF00B050"/>
  </sheetPr>
  <dimension ref="A1:AU50"/>
  <sheetViews>
    <sheetView view="pageLayout" topLeftCell="AB5" zoomScale="90" zoomScaleNormal="100" zoomScalePageLayoutView="90" workbookViewId="0">
      <selection activeCell="AN25" sqref="AN25:AT25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10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39" width="5.6640625" style="24" customWidth="1"/>
    <col min="40" max="45" width="9" style="10"/>
    <col min="46" max="46" width="11.33203125" style="10" customWidth="1"/>
    <col min="47" max="47" width="10.1640625" style="10" customWidth="1"/>
    <col min="48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N1" s="2"/>
      <c r="O1" s="1">
        <v>21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22</v>
      </c>
      <c r="AL1" s="1">
        <v>23</v>
      </c>
      <c r="AM1" s="2"/>
      <c r="AU1" s="1">
        <v>24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315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685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ภาษาไทย  (ท15101)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ภาษาไทย  (ท15101)</v>
      </c>
      <c r="AF3" s="246"/>
      <c r="AG3" s="246"/>
      <c r="AH3" s="246"/>
      <c r="AI3" s="246"/>
      <c r="AJ3" s="246"/>
      <c r="AK3" s="246"/>
      <c r="AL3" s="246"/>
      <c r="AM3" s="247" t="s">
        <v>326</v>
      </c>
      <c r="AN3" s="242"/>
      <c r="AO3" s="242"/>
      <c r="AP3" s="242"/>
      <c r="AQ3" s="242"/>
      <c r="AR3" s="242"/>
      <c r="AS3" s="242"/>
      <c r="AT3" s="242"/>
      <c r="AU3" s="248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232"/>
      <c r="AN4" s="233"/>
      <c r="AO4" s="233"/>
      <c r="AP4" s="233"/>
      <c r="AQ4" s="233"/>
      <c r="AR4" s="233"/>
      <c r="AS4" s="233"/>
      <c r="AT4" s="233"/>
      <c r="AU4" s="234"/>
    </row>
    <row r="5" spans="1:47" s="24" customFormat="1" ht="14.25" customHeight="1" x14ac:dyDescent="0.35">
      <c r="A5" s="236"/>
      <c r="B5" s="25" t="s">
        <v>247</v>
      </c>
      <c r="C5" s="112" t="s">
        <v>225</v>
      </c>
      <c r="D5" s="112" t="s">
        <v>226</v>
      </c>
      <c r="E5" s="112" t="s">
        <v>227</v>
      </c>
      <c r="F5" s="112" t="s">
        <v>228</v>
      </c>
      <c r="G5" s="112" t="s">
        <v>259</v>
      </c>
      <c r="H5" s="112"/>
      <c r="I5" s="15"/>
      <c r="J5" s="15"/>
      <c r="K5" s="15"/>
      <c r="L5" s="15"/>
      <c r="M5" s="17" t="s">
        <v>17</v>
      </c>
      <c r="N5" s="237"/>
      <c r="O5" s="237"/>
      <c r="P5" s="236"/>
      <c r="Q5" s="25" t="s">
        <v>247</v>
      </c>
      <c r="R5" s="112" t="s">
        <v>260</v>
      </c>
      <c r="S5" s="112" t="s">
        <v>314</v>
      </c>
      <c r="T5" s="15">
        <v>8</v>
      </c>
      <c r="U5" s="15">
        <v>9</v>
      </c>
      <c r="V5" s="15">
        <v>10</v>
      </c>
      <c r="W5" s="15"/>
      <c r="X5" s="15"/>
      <c r="Y5" s="15"/>
      <c r="Z5" s="15"/>
      <c r="AA5" s="15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128">
        <v>1</v>
      </c>
      <c r="AN5" s="223" t="s">
        <v>327</v>
      </c>
      <c r="AO5" s="223"/>
      <c r="AP5" s="223"/>
      <c r="AQ5" s="223"/>
      <c r="AR5" s="223"/>
      <c r="AS5" s="223"/>
      <c r="AT5" s="223"/>
      <c r="AU5" s="141" t="s">
        <v>328</v>
      </c>
    </row>
    <row r="6" spans="1:47" ht="21" customHeight="1" x14ac:dyDescent="0.35">
      <c r="A6" s="237"/>
      <c r="B6" s="14" t="s">
        <v>16</v>
      </c>
      <c r="C6" s="15">
        <v>30</v>
      </c>
      <c r="D6" s="15"/>
      <c r="E6" s="15"/>
      <c r="F6" s="15"/>
      <c r="G6" s="15"/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30</v>
      </c>
      <c r="S6" s="15"/>
      <c r="T6" s="15"/>
      <c r="U6" s="15"/>
      <c r="V6" s="15"/>
      <c r="W6" s="15"/>
      <c r="X6" s="15"/>
      <c r="Y6" s="15"/>
      <c r="Z6" s="15"/>
      <c r="AA6" s="15"/>
      <c r="AB6" s="17"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128">
        <v>2</v>
      </c>
      <c r="AN6" s="223" t="s">
        <v>329</v>
      </c>
      <c r="AO6" s="223"/>
      <c r="AP6" s="223"/>
      <c r="AQ6" s="223"/>
      <c r="AR6" s="223"/>
      <c r="AS6" s="223"/>
      <c r="AT6" s="223"/>
      <c r="AU6" s="141" t="s">
        <v>330</v>
      </c>
    </row>
    <row r="7" spans="1:47" ht="21" customHeight="1" x14ac:dyDescent="0.4">
      <c r="A7" s="5">
        <v>1</v>
      </c>
      <c r="B7" s="19" t="str">
        <f>'เวลาเรียน4-16'!B6</f>
        <v>เด็กชายกฤษดา  บัวศรี</v>
      </c>
      <c r="C7" s="5">
        <v>25</v>
      </c>
      <c r="D7" s="5"/>
      <c r="E7" s="5"/>
      <c r="F7" s="5"/>
      <c r="G7" s="5"/>
      <c r="H7" s="5"/>
      <c r="I7" s="5"/>
      <c r="J7" s="5"/>
      <c r="K7" s="5"/>
      <c r="L7" s="5"/>
      <c r="M7" s="12">
        <f t="shared" ref="M7:M19" si="0">SUM(C7:L7)</f>
        <v>25</v>
      </c>
      <c r="N7" s="5">
        <v>14</v>
      </c>
      <c r="O7" s="11">
        <f t="shared" ref="O7:O19" si="1">SUM(M7:N7)</f>
        <v>39</v>
      </c>
      <c r="P7" s="5">
        <v>1</v>
      </c>
      <c r="Q7" s="19" t="str">
        <f t="shared" ref="Q7:Q19" si="2">B7</f>
        <v>เด็กชายกฤษดา  บัวศรี</v>
      </c>
      <c r="R7" s="5">
        <v>25</v>
      </c>
      <c r="S7" s="5"/>
      <c r="T7" s="5"/>
      <c r="U7" s="5"/>
      <c r="V7" s="5"/>
      <c r="W7" s="5"/>
      <c r="X7" s="5"/>
      <c r="Y7" s="5"/>
      <c r="Z7" s="5"/>
      <c r="AA7" s="5"/>
      <c r="AB7" s="12">
        <f t="shared" ref="AB7:AB19" si="3">SUM(R7:AA7)</f>
        <v>25</v>
      </c>
      <c r="AC7" s="5">
        <v>16</v>
      </c>
      <c r="AD7" s="11">
        <f t="shared" ref="AD7:AD19" si="4">SUM(AB7:AC7)</f>
        <v>41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39</v>
      </c>
      <c r="AH7" s="22">
        <f t="shared" ref="AH7:AH19" si="6">AD7</f>
        <v>41</v>
      </c>
      <c r="AI7" s="22">
        <f>SUM(AG7:AH7)</f>
        <v>80</v>
      </c>
      <c r="AJ7" s="22">
        <f>IF(AI7&gt;79,4,IF(AI7&gt;74,3.5,IF(AI7&gt;69,3,IF(AI7&gt;64,2.5,IF(AI7&gt;59,2,IF(AI7&gt;54,1.5,IF(AI7&gt;49,1,IF(AI7&lt;50,0))))))))</f>
        <v>4</v>
      </c>
      <c r="AK7" s="13"/>
      <c r="AL7" s="13"/>
      <c r="AM7" s="128"/>
      <c r="AN7" s="223" t="s">
        <v>331</v>
      </c>
      <c r="AO7" s="223"/>
      <c r="AP7" s="223"/>
      <c r="AQ7" s="223"/>
      <c r="AR7" s="223"/>
      <c r="AS7" s="223"/>
      <c r="AT7" s="223"/>
      <c r="AU7" s="141"/>
    </row>
    <row r="8" spans="1:47" ht="21" customHeight="1" x14ac:dyDescent="0.4">
      <c r="A8" s="5">
        <v>2</v>
      </c>
      <c r="B8" s="19" t="str">
        <f>'เวลาเรียน4-16'!B7</f>
        <v>เด็กชายจิรายุ  ดอบุตร</v>
      </c>
      <c r="C8" s="5">
        <v>22</v>
      </c>
      <c r="D8" s="5"/>
      <c r="E8" s="5"/>
      <c r="F8" s="5"/>
      <c r="G8" s="5"/>
      <c r="H8" s="5"/>
      <c r="I8" s="5"/>
      <c r="J8" s="5"/>
      <c r="K8" s="5"/>
      <c r="L8" s="5"/>
      <c r="M8" s="12">
        <f t="shared" si="0"/>
        <v>22</v>
      </c>
      <c r="N8" s="5">
        <v>13</v>
      </c>
      <c r="O8" s="11">
        <f t="shared" si="1"/>
        <v>35</v>
      </c>
      <c r="P8" s="5">
        <v>2</v>
      </c>
      <c r="Q8" s="19" t="str">
        <f t="shared" si="2"/>
        <v>เด็กชายจิรายุ  ดอบุตร</v>
      </c>
      <c r="R8" s="5">
        <v>24</v>
      </c>
      <c r="S8" s="5"/>
      <c r="T8" s="5"/>
      <c r="U8" s="5"/>
      <c r="V8" s="5"/>
      <c r="W8" s="5"/>
      <c r="X8" s="5"/>
      <c r="Y8" s="5"/>
      <c r="Z8" s="5"/>
      <c r="AA8" s="5"/>
      <c r="AB8" s="12">
        <f t="shared" si="3"/>
        <v>24</v>
      </c>
      <c r="AC8" s="5">
        <v>11</v>
      </c>
      <c r="AD8" s="11">
        <f t="shared" si="4"/>
        <v>35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35</v>
      </c>
      <c r="AH8" s="22">
        <f t="shared" si="6"/>
        <v>35</v>
      </c>
      <c r="AI8" s="22">
        <f t="shared" ref="AI8:AI19" si="7">SUM(AG8:AH8)</f>
        <v>70</v>
      </c>
      <c r="AJ8" s="22">
        <f t="shared" ref="AJ8:AJ19" si="8">IF(AI8&gt;79,4,IF(AI8&gt;74,3.5,IF(AI8&gt;69,3,IF(AI8&gt;64,2.5,IF(AI8&gt;59,2,IF(AI8&gt;54,1.5,IF(AI8&gt;49,1,IF(AI8&lt;50,0))))))))</f>
        <v>3</v>
      </c>
      <c r="AK8" s="13"/>
      <c r="AL8" s="13"/>
      <c r="AM8" s="128">
        <v>3</v>
      </c>
      <c r="AN8" s="223" t="s">
        <v>332</v>
      </c>
      <c r="AO8" s="223"/>
      <c r="AP8" s="223"/>
      <c r="AQ8" s="223"/>
      <c r="AR8" s="223"/>
      <c r="AS8" s="223"/>
      <c r="AT8" s="223"/>
      <c r="AU8" s="141" t="s">
        <v>333</v>
      </c>
    </row>
    <row r="9" spans="1:47" ht="21" customHeight="1" x14ac:dyDescent="0.4">
      <c r="A9" s="5">
        <v>3</v>
      </c>
      <c r="B9" s="19" t="str">
        <f>'เวลาเรียน4-16'!B8</f>
        <v>เด็กชายจิรายุ  เนตรสว่าง</v>
      </c>
      <c r="C9" s="5">
        <v>24</v>
      </c>
      <c r="D9" s="5"/>
      <c r="E9" s="5"/>
      <c r="F9" s="5"/>
      <c r="G9" s="5"/>
      <c r="H9" s="5"/>
      <c r="I9" s="5"/>
      <c r="J9" s="5"/>
      <c r="K9" s="5"/>
      <c r="L9" s="5"/>
      <c r="M9" s="12">
        <f t="shared" si="0"/>
        <v>24</v>
      </c>
      <c r="N9" s="5">
        <v>12</v>
      </c>
      <c r="O9" s="11">
        <f t="shared" si="1"/>
        <v>36</v>
      </c>
      <c r="P9" s="5">
        <v>3</v>
      </c>
      <c r="Q9" s="19" t="str">
        <f t="shared" si="2"/>
        <v>เด็กชายจิรายุ  เนตรสว่าง</v>
      </c>
      <c r="R9" s="5">
        <v>27</v>
      </c>
      <c r="S9" s="5"/>
      <c r="T9" s="5"/>
      <c r="U9" s="5"/>
      <c r="V9" s="5"/>
      <c r="W9" s="5"/>
      <c r="X9" s="5"/>
      <c r="Y9" s="5"/>
      <c r="Z9" s="5"/>
      <c r="AA9" s="5"/>
      <c r="AB9" s="12">
        <f t="shared" si="3"/>
        <v>27</v>
      </c>
      <c r="AC9" s="5">
        <v>13</v>
      </c>
      <c r="AD9" s="11">
        <f t="shared" si="4"/>
        <v>40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36</v>
      </c>
      <c r="AH9" s="22">
        <f t="shared" si="6"/>
        <v>40</v>
      </c>
      <c r="AI9" s="22">
        <f t="shared" si="7"/>
        <v>76</v>
      </c>
      <c r="AJ9" s="22">
        <f t="shared" si="8"/>
        <v>3.5</v>
      </c>
      <c r="AK9" s="13"/>
      <c r="AL9" s="13"/>
      <c r="AM9" s="128">
        <v>4</v>
      </c>
      <c r="AN9" s="223" t="s">
        <v>334</v>
      </c>
      <c r="AO9" s="223"/>
      <c r="AP9" s="223"/>
      <c r="AQ9" s="223"/>
      <c r="AR9" s="223"/>
      <c r="AS9" s="223"/>
      <c r="AT9" s="223"/>
      <c r="AU9" s="141" t="s">
        <v>335</v>
      </c>
    </row>
    <row r="10" spans="1:47" ht="21" customHeight="1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>
        <v>24</v>
      </c>
      <c r="D10" s="5"/>
      <c r="E10" s="5"/>
      <c r="F10" s="5"/>
      <c r="G10" s="5"/>
      <c r="H10" s="5"/>
      <c r="I10" s="5"/>
      <c r="J10" s="5"/>
      <c r="K10" s="5"/>
      <c r="L10" s="5"/>
      <c r="M10" s="12">
        <f t="shared" si="0"/>
        <v>24</v>
      </c>
      <c r="N10" s="5">
        <v>13</v>
      </c>
      <c r="O10" s="11">
        <f t="shared" si="1"/>
        <v>37</v>
      </c>
      <c r="P10" s="5">
        <v>4</v>
      </c>
      <c r="Q10" s="19" t="str">
        <f t="shared" si="2"/>
        <v>เด็กชายจีรภัทร  คันธมาตย์</v>
      </c>
      <c r="R10" s="5">
        <v>25</v>
      </c>
      <c r="S10" s="5"/>
      <c r="T10" s="5"/>
      <c r="U10" s="5"/>
      <c r="V10" s="5"/>
      <c r="W10" s="5"/>
      <c r="X10" s="5"/>
      <c r="Y10" s="5"/>
      <c r="Z10" s="5"/>
      <c r="AA10" s="5"/>
      <c r="AB10" s="12">
        <f t="shared" si="3"/>
        <v>25</v>
      </c>
      <c r="AC10" s="5">
        <v>13</v>
      </c>
      <c r="AD10" s="11">
        <f t="shared" si="4"/>
        <v>38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37</v>
      </c>
      <c r="AH10" s="22">
        <f t="shared" si="6"/>
        <v>38</v>
      </c>
      <c r="AI10" s="22">
        <f t="shared" si="7"/>
        <v>75</v>
      </c>
      <c r="AJ10" s="22">
        <f t="shared" si="8"/>
        <v>3.5</v>
      </c>
      <c r="AK10" s="13"/>
      <c r="AL10" s="13"/>
      <c r="AM10" s="128">
        <v>5</v>
      </c>
      <c r="AN10" s="223" t="s">
        <v>336</v>
      </c>
      <c r="AO10" s="223"/>
      <c r="AP10" s="223"/>
      <c r="AQ10" s="223"/>
      <c r="AR10" s="223"/>
      <c r="AS10" s="223"/>
      <c r="AT10" s="223"/>
      <c r="AU10" s="141" t="s">
        <v>337</v>
      </c>
    </row>
    <row r="11" spans="1:47" ht="21" customHeight="1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>
        <v>23</v>
      </c>
      <c r="D11" s="5"/>
      <c r="E11" s="5"/>
      <c r="F11" s="5"/>
      <c r="G11" s="5"/>
      <c r="H11" s="5"/>
      <c r="I11" s="5"/>
      <c r="J11" s="5"/>
      <c r="K11" s="5"/>
      <c r="L11" s="5"/>
      <c r="M11" s="12">
        <f t="shared" si="0"/>
        <v>23</v>
      </c>
      <c r="N11" s="5">
        <v>11</v>
      </c>
      <c r="O11" s="11">
        <f t="shared" si="1"/>
        <v>34</v>
      </c>
      <c r="P11" s="5">
        <v>5</v>
      </c>
      <c r="Q11" s="19" t="str">
        <f t="shared" si="2"/>
        <v>เด็กชายปรวัฒน์  โพธิ์ศรี</v>
      </c>
      <c r="R11" s="5">
        <v>24</v>
      </c>
      <c r="S11" s="5"/>
      <c r="T11" s="5"/>
      <c r="U11" s="5"/>
      <c r="V11" s="5"/>
      <c r="W11" s="5"/>
      <c r="X11" s="5"/>
      <c r="Y11" s="5"/>
      <c r="Z11" s="5"/>
      <c r="AA11" s="5"/>
      <c r="AB11" s="12">
        <f t="shared" si="3"/>
        <v>24</v>
      </c>
      <c r="AC11" s="5">
        <v>12</v>
      </c>
      <c r="AD11" s="11">
        <f t="shared" si="4"/>
        <v>36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34</v>
      </c>
      <c r="AH11" s="22">
        <f t="shared" si="6"/>
        <v>36</v>
      </c>
      <c r="AI11" s="22">
        <f t="shared" si="7"/>
        <v>70</v>
      </c>
      <c r="AJ11" s="22">
        <f t="shared" si="8"/>
        <v>3</v>
      </c>
      <c r="AK11" s="13"/>
      <c r="AL11" s="13"/>
      <c r="AM11" s="128">
        <v>6</v>
      </c>
      <c r="AN11" s="223" t="s">
        <v>338</v>
      </c>
      <c r="AO11" s="223"/>
      <c r="AP11" s="223"/>
      <c r="AQ11" s="223"/>
      <c r="AR11" s="223"/>
      <c r="AS11" s="223"/>
      <c r="AT11" s="223"/>
      <c r="AU11" s="141" t="s">
        <v>339</v>
      </c>
    </row>
    <row r="12" spans="1:47" ht="21" customHeight="1" x14ac:dyDescent="0.4">
      <c r="A12" s="5">
        <v>6</v>
      </c>
      <c r="B12" s="19" t="str">
        <f>'เวลาเรียน4-16'!B11</f>
        <v>เด็กชายพีรภาพ  วงคำใหญ่</v>
      </c>
      <c r="C12" s="5">
        <v>25</v>
      </c>
      <c r="D12" s="5"/>
      <c r="E12" s="5"/>
      <c r="F12" s="5"/>
      <c r="G12" s="5"/>
      <c r="H12" s="5"/>
      <c r="I12" s="5"/>
      <c r="J12" s="5"/>
      <c r="K12" s="5"/>
      <c r="L12" s="5"/>
      <c r="M12" s="12">
        <f t="shared" si="0"/>
        <v>25</v>
      </c>
      <c r="N12" s="5">
        <v>14</v>
      </c>
      <c r="O12" s="11">
        <f t="shared" si="1"/>
        <v>39</v>
      </c>
      <c r="P12" s="5">
        <v>6</v>
      </c>
      <c r="Q12" s="19" t="str">
        <f t="shared" si="2"/>
        <v>เด็กชายพีรภาพ  วงคำใหญ่</v>
      </c>
      <c r="R12" s="5">
        <v>27</v>
      </c>
      <c r="S12" s="5"/>
      <c r="T12" s="5"/>
      <c r="U12" s="5"/>
      <c r="V12" s="5"/>
      <c r="W12" s="5"/>
      <c r="X12" s="5"/>
      <c r="Y12" s="5"/>
      <c r="Z12" s="5"/>
      <c r="AA12" s="5"/>
      <c r="AB12" s="12">
        <f t="shared" si="3"/>
        <v>27</v>
      </c>
      <c r="AC12" s="5">
        <v>18</v>
      </c>
      <c r="AD12" s="11">
        <f t="shared" si="4"/>
        <v>45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39</v>
      </c>
      <c r="AH12" s="22">
        <f t="shared" si="6"/>
        <v>45</v>
      </c>
      <c r="AI12" s="22">
        <f t="shared" si="7"/>
        <v>84</v>
      </c>
      <c r="AJ12" s="22">
        <f t="shared" si="8"/>
        <v>4</v>
      </c>
      <c r="AK12" s="13"/>
      <c r="AL12" s="13"/>
      <c r="AM12" s="128">
        <v>7</v>
      </c>
      <c r="AN12" s="223" t="s">
        <v>340</v>
      </c>
      <c r="AO12" s="223"/>
      <c r="AP12" s="223"/>
      <c r="AQ12" s="223"/>
      <c r="AR12" s="223"/>
      <c r="AS12" s="223"/>
      <c r="AT12" s="223"/>
      <c r="AU12" s="141" t="s">
        <v>341</v>
      </c>
    </row>
    <row r="13" spans="1:47" ht="21" customHeight="1" x14ac:dyDescent="0.4">
      <c r="A13" s="5">
        <v>7</v>
      </c>
      <c r="B13" s="19" t="str">
        <f>'เวลาเรียน4-16'!B12</f>
        <v>เด็กหญิงกมลรัตน์  แสดคง</v>
      </c>
      <c r="C13" s="5">
        <v>26</v>
      </c>
      <c r="D13" s="5"/>
      <c r="E13" s="5"/>
      <c r="F13" s="5"/>
      <c r="G13" s="5"/>
      <c r="H13" s="5"/>
      <c r="I13" s="5"/>
      <c r="J13" s="5"/>
      <c r="K13" s="5"/>
      <c r="L13" s="5"/>
      <c r="M13" s="12">
        <f t="shared" si="0"/>
        <v>26</v>
      </c>
      <c r="N13" s="5">
        <v>14</v>
      </c>
      <c r="O13" s="11">
        <f t="shared" si="1"/>
        <v>40</v>
      </c>
      <c r="P13" s="5">
        <v>7</v>
      </c>
      <c r="Q13" s="19" t="str">
        <f t="shared" si="2"/>
        <v>เด็กหญิงกมลรัตน์  แสดคง</v>
      </c>
      <c r="R13" s="5">
        <v>27</v>
      </c>
      <c r="S13" s="5"/>
      <c r="T13" s="5"/>
      <c r="U13" s="5"/>
      <c r="V13" s="5"/>
      <c r="W13" s="5"/>
      <c r="X13" s="5"/>
      <c r="Y13" s="5"/>
      <c r="Z13" s="5"/>
      <c r="AA13" s="5"/>
      <c r="AB13" s="12">
        <f t="shared" si="3"/>
        <v>27</v>
      </c>
      <c r="AC13" s="5">
        <v>15</v>
      </c>
      <c r="AD13" s="11">
        <f t="shared" si="4"/>
        <v>42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40</v>
      </c>
      <c r="AH13" s="22">
        <f t="shared" si="6"/>
        <v>42</v>
      </c>
      <c r="AI13" s="22">
        <f t="shared" si="7"/>
        <v>82</v>
      </c>
      <c r="AJ13" s="22">
        <f t="shared" si="8"/>
        <v>4</v>
      </c>
      <c r="AK13" s="13"/>
      <c r="AL13" s="13"/>
      <c r="AM13" s="128">
        <v>8</v>
      </c>
      <c r="AN13" s="223" t="s">
        <v>342</v>
      </c>
      <c r="AO13" s="223"/>
      <c r="AP13" s="223"/>
      <c r="AQ13" s="223"/>
      <c r="AR13" s="223"/>
      <c r="AS13" s="223"/>
      <c r="AT13" s="223"/>
      <c r="AU13" s="141" t="s">
        <v>343</v>
      </c>
    </row>
    <row r="14" spans="1:47" ht="21" customHeight="1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>
        <v>27</v>
      </c>
      <c r="D14" s="5"/>
      <c r="E14" s="5"/>
      <c r="F14" s="5"/>
      <c r="G14" s="5"/>
      <c r="H14" s="5"/>
      <c r="I14" s="5"/>
      <c r="J14" s="5"/>
      <c r="K14" s="5"/>
      <c r="L14" s="5"/>
      <c r="M14" s="12">
        <f t="shared" si="0"/>
        <v>27</v>
      </c>
      <c r="N14" s="5">
        <v>15</v>
      </c>
      <c r="O14" s="11">
        <f t="shared" si="1"/>
        <v>42</v>
      </c>
      <c r="P14" s="5">
        <v>8</v>
      </c>
      <c r="Q14" s="19" t="str">
        <f t="shared" si="2"/>
        <v>เด็กหญิงกัลยรัตน์  ทึงสุข</v>
      </c>
      <c r="R14" s="5">
        <v>28</v>
      </c>
      <c r="S14" s="5"/>
      <c r="T14" s="5"/>
      <c r="U14" s="5"/>
      <c r="V14" s="5"/>
      <c r="W14" s="5"/>
      <c r="X14" s="5"/>
      <c r="Y14" s="5"/>
      <c r="Z14" s="5"/>
      <c r="AA14" s="5"/>
      <c r="AB14" s="12">
        <f t="shared" si="3"/>
        <v>28</v>
      </c>
      <c r="AC14" s="5">
        <v>18</v>
      </c>
      <c r="AD14" s="11">
        <f t="shared" si="4"/>
        <v>46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42</v>
      </c>
      <c r="AH14" s="22">
        <f t="shared" si="6"/>
        <v>46</v>
      </c>
      <c r="AI14" s="22">
        <f t="shared" si="7"/>
        <v>88</v>
      </c>
      <c r="AJ14" s="22">
        <f t="shared" si="8"/>
        <v>4</v>
      </c>
      <c r="AK14" s="13"/>
      <c r="AL14" s="13"/>
      <c r="AM14" s="128">
        <v>9</v>
      </c>
      <c r="AN14" s="223" t="s">
        <v>344</v>
      </c>
      <c r="AO14" s="223"/>
      <c r="AP14" s="223"/>
      <c r="AQ14" s="223"/>
      <c r="AR14" s="223"/>
      <c r="AS14" s="223"/>
      <c r="AT14" s="223"/>
      <c r="AU14" s="141" t="s">
        <v>345</v>
      </c>
    </row>
    <row r="15" spans="1:47" ht="21" customHeight="1" x14ac:dyDescent="0.4">
      <c r="A15" s="5">
        <v>9</v>
      </c>
      <c r="B15" s="19" t="str">
        <f>'เวลาเรียน4-16'!B14</f>
        <v>เด็กหญิงนิตยา  พละโท</v>
      </c>
      <c r="C15" s="5">
        <v>27</v>
      </c>
      <c r="D15" s="5"/>
      <c r="E15" s="5"/>
      <c r="F15" s="5"/>
      <c r="G15" s="5"/>
      <c r="H15" s="5"/>
      <c r="I15" s="5"/>
      <c r="J15" s="5"/>
      <c r="K15" s="5"/>
      <c r="L15" s="5"/>
      <c r="M15" s="12">
        <f t="shared" si="0"/>
        <v>27</v>
      </c>
      <c r="N15" s="5">
        <v>15</v>
      </c>
      <c r="O15" s="11">
        <f t="shared" si="1"/>
        <v>42</v>
      </c>
      <c r="P15" s="5">
        <v>9</v>
      </c>
      <c r="Q15" s="19" t="str">
        <f t="shared" si="2"/>
        <v>เด็กหญิงนิตยา  พละโท</v>
      </c>
      <c r="R15" s="5">
        <v>27</v>
      </c>
      <c r="S15" s="5"/>
      <c r="T15" s="5"/>
      <c r="U15" s="5"/>
      <c r="V15" s="5"/>
      <c r="W15" s="5"/>
      <c r="X15" s="5"/>
      <c r="Y15" s="5"/>
      <c r="Z15" s="5"/>
      <c r="AA15" s="5"/>
      <c r="AB15" s="12">
        <f t="shared" si="3"/>
        <v>27</v>
      </c>
      <c r="AC15" s="5">
        <v>14</v>
      </c>
      <c r="AD15" s="11">
        <f t="shared" si="4"/>
        <v>41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42</v>
      </c>
      <c r="AH15" s="22">
        <f t="shared" si="6"/>
        <v>41</v>
      </c>
      <c r="AI15" s="22">
        <f t="shared" si="7"/>
        <v>83</v>
      </c>
      <c r="AJ15" s="22">
        <f t="shared" si="8"/>
        <v>4</v>
      </c>
      <c r="AK15" s="13"/>
      <c r="AL15" s="13"/>
      <c r="AM15" s="128">
        <v>10</v>
      </c>
      <c r="AN15" s="223" t="s">
        <v>346</v>
      </c>
      <c r="AO15" s="223"/>
      <c r="AP15" s="223"/>
      <c r="AQ15" s="223"/>
      <c r="AR15" s="223"/>
      <c r="AS15" s="223"/>
      <c r="AT15" s="223"/>
      <c r="AU15" s="141" t="s">
        <v>347</v>
      </c>
    </row>
    <row r="16" spans="1:47" ht="21" customHeight="1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>
        <v>25</v>
      </c>
      <c r="D16" s="5"/>
      <c r="E16" s="5"/>
      <c r="F16" s="5"/>
      <c r="G16" s="5"/>
      <c r="H16" s="5"/>
      <c r="I16" s="5"/>
      <c r="J16" s="5"/>
      <c r="K16" s="5"/>
      <c r="L16" s="5"/>
      <c r="M16" s="12">
        <f t="shared" si="0"/>
        <v>25</v>
      </c>
      <c r="N16" s="5">
        <v>13</v>
      </c>
      <c r="O16" s="11">
        <f t="shared" si="1"/>
        <v>38</v>
      </c>
      <c r="P16" s="5">
        <v>10</v>
      </c>
      <c r="Q16" s="19" t="str">
        <f t="shared" si="2"/>
        <v>เด็กหญิงบัณฑิตา  เบ้าพงษ์</v>
      </c>
      <c r="R16" s="5">
        <v>25</v>
      </c>
      <c r="S16" s="5"/>
      <c r="T16" s="5"/>
      <c r="U16" s="5"/>
      <c r="V16" s="5"/>
      <c r="W16" s="5"/>
      <c r="X16" s="5"/>
      <c r="Y16" s="5"/>
      <c r="Z16" s="5"/>
      <c r="AA16" s="5"/>
      <c r="AB16" s="12">
        <f t="shared" si="3"/>
        <v>25</v>
      </c>
      <c r="AC16" s="5">
        <v>14</v>
      </c>
      <c r="AD16" s="11">
        <f t="shared" si="4"/>
        <v>39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38</v>
      </c>
      <c r="AH16" s="22">
        <f t="shared" si="6"/>
        <v>39</v>
      </c>
      <c r="AI16" s="22">
        <f t="shared" si="7"/>
        <v>77</v>
      </c>
      <c r="AJ16" s="22">
        <f t="shared" si="8"/>
        <v>3.5</v>
      </c>
      <c r="AK16" s="13"/>
      <c r="AL16" s="13"/>
      <c r="AM16" s="128">
        <v>11</v>
      </c>
      <c r="AN16" s="223" t="s">
        <v>348</v>
      </c>
      <c r="AO16" s="223"/>
      <c r="AP16" s="223"/>
      <c r="AQ16" s="223"/>
      <c r="AR16" s="223"/>
      <c r="AS16" s="223"/>
      <c r="AT16" s="223"/>
      <c r="AU16" s="141" t="s">
        <v>349</v>
      </c>
    </row>
    <row r="17" spans="1:47" ht="21" customHeight="1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>
        <v>26</v>
      </c>
      <c r="D17" s="5"/>
      <c r="E17" s="5"/>
      <c r="F17" s="5"/>
      <c r="G17" s="5"/>
      <c r="H17" s="5"/>
      <c r="I17" s="5"/>
      <c r="J17" s="5"/>
      <c r="K17" s="5"/>
      <c r="L17" s="5"/>
      <c r="M17" s="12">
        <f t="shared" si="0"/>
        <v>26</v>
      </c>
      <c r="N17" s="5">
        <v>13</v>
      </c>
      <c r="O17" s="11">
        <f t="shared" si="1"/>
        <v>39</v>
      </c>
      <c r="P17" s="5">
        <v>11</v>
      </c>
      <c r="Q17" s="19" t="str">
        <f t="shared" si="2"/>
        <v>เด็กหญิงพัชรกัญญ์  บาลนาคม</v>
      </c>
      <c r="R17" s="5">
        <v>28</v>
      </c>
      <c r="S17" s="5"/>
      <c r="T17" s="5"/>
      <c r="U17" s="5"/>
      <c r="V17" s="5"/>
      <c r="W17" s="5"/>
      <c r="X17" s="5"/>
      <c r="Y17" s="5"/>
      <c r="Z17" s="5"/>
      <c r="AA17" s="5"/>
      <c r="AB17" s="12">
        <f t="shared" si="3"/>
        <v>28</v>
      </c>
      <c r="AC17" s="5">
        <v>18</v>
      </c>
      <c r="AD17" s="11">
        <f t="shared" si="4"/>
        <v>46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39</v>
      </c>
      <c r="AH17" s="22">
        <f t="shared" si="6"/>
        <v>46</v>
      </c>
      <c r="AI17" s="22">
        <f t="shared" si="7"/>
        <v>85</v>
      </c>
      <c r="AJ17" s="22">
        <f t="shared" si="8"/>
        <v>4</v>
      </c>
      <c r="AK17" s="13"/>
      <c r="AL17" s="13"/>
      <c r="AM17" s="128">
        <v>12</v>
      </c>
      <c r="AN17" s="223" t="s">
        <v>350</v>
      </c>
      <c r="AO17" s="223"/>
      <c r="AP17" s="223"/>
      <c r="AQ17" s="223"/>
      <c r="AR17" s="223"/>
      <c r="AS17" s="223"/>
      <c r="AT17" s="223"/>
      <c r="AU17" s="141" t="s">
        <v>351</v>
      </c>
    </row>
    <row r="18" spans="1:47" ht="21" customHeight="1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>
        <v>21</v>
      </c>
      <c r="D18" s="5"/>
      <c r="E18" s="5"/>
      <c r="F18" s="5"/>
      <c r="G18" s="5"/>
      <c r="H18" s="5"/>
      <c r="I18" s="5"/>
      <c r="J18" s="5"/>
      <c r="K18" s="5"/>
      <c r="L18" s="5"/>
      <c r="M18" s="12">
        <f t="shared" si="0"/>
        <v>21</v>
      </c>
      <c r="N18" s="5">
        <v>13</v>
      </c>
      <c r="O18" s="11">
        <f t="shared" si="1"/>
        <v>34</v>
      </c>
      <c r="P18" s="5">
        <v>12</v>
      </c>
      <c r="Q18" s="19" t="str">
        <f t="shared" si="2"/>
        <v>เด็กหญิงสุวิชาดา  ชูจิตร</v>
      </c>
      <c r="R18" s="5">
        <v>25</v>
      </c>
      <c r="S18" s="5"/>
      <c r="T18" s="5"/>
      <c r="U18" s="5"/>
      <c r="V18" s="5"/>
      <c r="W18" s="5"/>
      <c r="X18" s="5"/>
      <c r="Y18" s="5"/>
      <c r="Z18" s="5"/>
      <c r="AA18" s="5"/>
      <c r="AB18" s="12">
        <f t="shared" si="3"/>
        <v>25</v>
      </c>
      <c r="AC18" s="5">
        <v>11</v>
      </c>
      <c r="AD18" s="11">
        <f t="shared" si="4"/>
        <v>36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34</v>
      </c>
      <c r="AH18" s="22">
        <f t="shared" si="6"/>
        <v>36</v>
      </c>
      <c r="AI18" s="22">
        <f t="shared" si="7"/>
        <v>70</v>
      </c>
      <c r="AJ18" s="22">
        <f t="shared" si="8"/>
        <v>3</v>
      </c>
      <c r="AK18" s="13"/>
      <c r="AL18" s="13"/>
      <c r="AM18" s="128">
        <v>13</v>
      </c>
      <c r="AN18" s="223" t="s">
        <v>352</v>
      </c>
      <c r="AO18" s="223"/>
      <c r="AP18" s="223"/>
      <c r="AQ18" s="223"/>
      <c r="AR18" s="223"/>
      <c r="AS18" s="223"/>
      <c r="AT18" s="223"/>
      <c r="AU18" s="141" t="s">
        <v>353</v>
      </c>
    </row>
    <row r="19" spans="1:47" ht="21" customHeight="1" x14ac:dyDescent="0.4">
      <c r="A19" s="5">
        <v>13</v>
      </c>
      <c r="B19" s="19" t="str">
        <f>'เวลาเรียน4-16'!B18</f>
        <v>เด็กหญิงปุญญิศา  อุปทุม</v>
      </c>
      <c r="C19" s="5">
        <v>24</v>
      </c>
      <c r="D19" s="5"/>
      <c r="E19" s="5"/>
      <c r="F19" s="5"/>
      <c r="G19" s="5"/>
      <c r="H19" s="5"/>
      <c r="I19" s="5"/>
      <c r="J19" s="5"/>
      <c r="K19" s="5"/>
      <c r="L19" s="5"/>
      <c r="M19" s="12">
        <f t="shared" si="0"/>
        <v>24</v>
      </c>
      <c r="N19" s="5">
        <v>14</v>
      </c>
      <c r="O19" s="11">
        <f t="shared" si="1"/>
        <v>38</v>
      </c>
      <c r="P19" s="5">
        <v>13</v>
      </c>
      <c r="Q19" s="19" t="str">
        <f t="shared" si="2"/>
        <v>เด็กหญิงปุญญิศา  อุปทุม</v>
      </c>
      <c r="R19" s="5">
        <v>28</v>
      </c>
      <c r="S19" s="5"/>
      <c r="T19" s="5"/>
      <c r="U19" s="5"/>
      <c r="V19" s="5"/>
      <c r="W19" s="5"/>
      <c r="X19" s="5"/>
      <c r="Y19" s="5"/>
      <c r="Z19" s="5"/>
      <c r="AA19" s="5"/>
      <c r="AB19" s="12">
        <f t="shared" si="3"/>
        <v>28</v>
      </c>
      <c r="AC19" s="5">
        <v>18</v>
      </c>
      <c r="AD19" s="11">
        <f t="shared" si="4"/>
        <v>46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38</v>
      </c>
      <c r="AH19" s="22">
        <f t="shared" si="6"/>
        <v>46</v>
      </c>
      <c r="AI19" s="22">
        <f t="shared" si="7"/>
        <v>84</v>
      </c>
      <c r="AJ19" s="22">
        <f t="shared" si="8"/>
        <v>4</v>
      </c>
      <c r="AK19" s="13"/>
      <c r="AL19" s="13"/>
      <c r="AM19" s="128">
        <v>14</v>
      </c>
      <c r="AN19" s="223" t="s">
        <v>354</v>
      </c>
      <c r="AO19" s="223"/>
      <c r="AP19" s="223"/>
      <c r="AQ19" s="223"/>
      <c r="AR19" s="223"/>
      <c r="AS19" s="223"/>
      <c r="AT19" s="223"/>
      <c r="AU19" s="141" t="s">
        <v>355</v>
      </c>
    </row>
    <row r="20" spans="1:47" ht="21" customHeight="1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128">
        <v>16</v>
      </c>
      <c r="AN20" s="223" t="s">
        <v>356</v>
      </c>
      <c r="AO20" s="223"/>
      <c r="AP20" s="223"/>
      <c r="AQ20" s="223"/>
      <c r="AR20" s="223"/>
      <c r="AS20" s="223"/>
      <c r="AT20" s="223"/>
      <c r="AU20" s="141" t="s">
        <v>357</v>
      </c>
    </row>
    <row r="21" spans="1:47" ht="21" customHeight="1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128">
        <v>17</v>
      </c>
      <c r="AN21" s="223" t="s">
        <v>358</v>
      </c>
      <c r="AO21" s="223"/>
      <c r="AP21" s="223"/>
      <c r="AQ21" s="223"/>
      <c r="AR21" s="223"/>
      <c r="AS21" s="223"/>
      <c r="AT21" s="223"/>
      <c r="AU21" s="141" t="s">
        <v>359</v>
      </c>
    </row>
    <row r="22" spans="1:47" ht="21" customHeight="1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128">
        <v>18</v>
      </c>
      <c r="AN22" s="223" t="s">
        <v>360</v>
      </c>
      <c r="AO22" s="223"/>
      <c r="AP22" s="223"/>
      <c r="AQ22" s="223"/>
      <c r="AR22" s="223"/>
      <c r="AS22" s="223"/>
      <c r="AT22" s="223"/>
      <c r="AU22" s="141" t="s">
        <v>361</v>
      </c>
    </row>
    <row r="23" spans="1:47" ht="21" customHeight="1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128">
        <v>19</v>
      </c>
      <c r="AN23" s="223" t="s">
        <v>362</v>
      </c>
      <c r="AO23" s="223"/>
      <c r="AP23" s="223"/>
      <c r="AQ23" s="223"/>
      <c r="AR23" s="223"/>
      <c r="AS23" s="223"/>
      <c r="AT23" s="223"/>
      <c r="AU23" s="141" t="s">
        <v>363</v>
      </c>
    </row>
    <row r="24" spans="1:47" ht="21" customHeight="1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128">
        <v>20</v>
      </c>
      <c r="AN24" s="223" t="s">
        <v>364</v>
      </c>
      <c r="AO24" s="223"/>
      <c r="AP24" s="223"/>
      <c r="AQ24" s="223"/>
      <c r="AR24" s="223"/>
      <c r="AS24" s="223"/>
      <c r="AT24" s="223"/>
      <c r="AU24" s="141" t="s">
        <v>365</v>
      </c>
    </row>
    <row r="25" spans="1:47" ht="21" customHeight="1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128">
        <v>21</v>
      </c>
      <c r="AN25" s="223" t="s">
        <v>366</v>
      </c>
      <c r="AO25" s="223"/>
      <c r="AP25" s="223"/>
      <c r="AQ25" s="223"/>
      <c r="AR25" s="223"/>
      <c r="AS25" s="223"/>
      <c r="AT25" s="223"/>
      <c r="AU25" s="141" t="s">
        <v>367</v>
      </c>
    </row>
    <row r="26" spans="1:47" ht="21" customHeight="1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128"/>
      <c r="AN26" s="223" t="s">
        <v>257</v>
      </c>
      <c r="AO26" s="223"/>
      <c r="AP26" s="223"/>
      <c r="AQ26" s="223"/>
      <c r="AR26" s="223"/>
      <c r="AS26" s="223"/>
      <c r="AT26" s="223"/>
      <c r="AU26" s="116"/>
    </row>
    <row r="27" spans="1:47" ht="21" customHeight="1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128"/>
      <c r="AN27" s="223"/>
      <c r="AO27" s="223"/>
      <c r="AP27" s="223"/>
      <c r="AQ27" s="223"/>
      <c r="AR27" s="223"/>
      <c r="AS27" s="223"/>
      <c r="AT27" s="223"/>
      <c r="AU27" s="116"/>
    </row>
    <row r="28" spans="1:47" ht="21" customHeight="1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128"/>
      <c r="AN28" s="223"/>
      <c r="AO28" s="223"/>
      <c r="AP28" s="223"/>
      <c r="AQ28" s="223"/>
      <c r="AR28" s="223"/>
      <c r="AS28" s="223"/>
      <c r="AT28" s="223"/>
      <c r="AU28" s="116"/>
    </row>
    <row r="29" spans="1:47" ht="21" customHeight="1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128"/>
      <c r="AN29" s="223"/>
      <c r="AO29" s="223"/>
      <c r="AP29" s="223"/>
      <c r="AQ29" s="223"/>
      <c r="AR29" s="223"/>
      <c r="AS29" s="223"/>
      <c r="AT29" s="223"/>
      <c r="AU29" s="116"/>
    </row>
    <row r="30" spans="1:47" ht="21" customHeight="1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128"/>
      <c r="AN30" s="223"/>
      <c r="AO30" s="223"/>
      <c r="AP30" s="223"/>
      <c r="AQ30" s="223"/>
      <c r="AR30" s="223"/>
      <c r="AS30" s="223"/>
      <c r="AT30" s="223"/>
      <c r="AU30" s="116"/>
    </row>
    <row r="31" spans="1:47" ht="21" customHeight="1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128"/>
      <c r="AN31" s="223"/>
      <c r="AO31" s="223"/>
      <c r="AP31" s="223"/>
      <c r="AQ31" s="223"/>
      <c r="AR31" s="223"/>
      <c r="AS31" s="223"/>
      <c r="AT31" s="223"/>
      <c r="AU31" s="116"/>
    </row>
    <row r="32" spans="1:47" ht="21" customHeight="1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128"/>
      <c r="AN32" s="223"/>
      <c r="AO32" s="223"/>
      <c r="AP32" s="223"/>
      <c r="AQ32" s="223"/>
      <c r="AR32" s="223"/>
      <c r="AS32" s="223"/>
      <c r="AT32" s="223"/>
      <c r="AU32" s="116"/>
    </row>
    <row r="33" spans="1:47" ht="21" customHeight="1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128"/>
      <c r="AN33" s="223"/>
      <c r="AO33" s="223"/>
      <c r="AP33" s="223"/>
      <c r="AQ33" s="223"/>
      <c r="AR33" s="223"/>
      <c r="AS33" s="223"/>
      <c r="AT33" s="223"/>
      <c r="AU33" s="116"/>
    </row>
    <row r="34" spans="1:47" ht="21" customHeight="1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128"/>
      <c r="AN34" s="223"/>
      <c r="AO34" s="223"/>
      <c r="AP34" s="223"/>
      <c r="AQ34" s="223"/>
      <c r="AR34" s="223"/>
      <c r="AS34" s="223"/>
      <c r="AT34" s="223"/>
      <c r="AU34" s="116"/>
    </row>
    <row r="35" spans="1:47" ht="21" customHeight="1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128"/>
      <c r="AN35" s="223"/>
      <c r="AO35" s="223"/>
      <c r="AP35" s="223"/>
      <c r="AQ35" s="223"/>
      <c r="AR35" s="223"/>
      <c r="AS35" s="223"/>
      <c r="AT35" s="223"/>
      <c r="AU35" s="116"/>
    </row>
    <row r="36" spans="1:47" ht="22" thickBot="1" x14ac:dyDescent="0.4">
      <c r="AM36" s="130"/>
      <c r="AN36" s="222"/>
      <c r="AO36" s="222"/>
      <c r="AP36" s="222"/>
      <c r="AQ36" s="222"/>
      <c r="AR36" s="222"/>
      <c r="AS36" s="222"/>
      <c r="AT36" s="222"/>
      <c r="AU36" s="127"/>
    </row>
    <row r="48" spans="1:47" ht="14.25" customHeight="1" x14ac:dyDescent="0.35"/>
    <row r="49" ht="14.25" customHeight="1" x14ac:dyDescent="0.35"/>
    <row r="50" ht="14.25" customHeight="1" x14ac:dyDescent="0.35"/>
  </sheetData>
  <mergeCells count="57">
    <mergeCell ref="A2:O2"/>
    <mergeCell ref="P2:AD2"/>
    <mergeCell ref="AE2:AL2"/>
    <mergeCell ref="AM2:AU2"/>
    <mergeCell ref="A3:O3"/>
    <mergeCell ref="P3:AD3"/>
    <mergeCell ref="AE3:AL3"/>
    <mergeCell ref="AM3:AU3"/>
    <mergeCell ref="AH4:AH5"/>
    <mergeCell ref="A4:A6"/>
    <mergeCell ref="C4:M4"/>
    <mergeCell ref="N4:N5"/>
    <mergeCell ref="O4:O5"/>
    <mergeCell ref="P4:P6"/>
    <mergeCell ref="R4:AB4"/>
    <mergeCell ref="AC4:AC5"/>
    <mergeCell ref="AD4:AD5"/>
    <mergeCell ref="AE4:AE6"/>
    <mergeCell ref="AF4:AF5"/>
    <mergeCell ref="AG4:AG5"/>
    <mergeCell ref="AI4:AI5"/>
    <mergeCell ref="AJ4:AJ6"/>
    <mergeCell ref="AK4:AK6"/>
    <mergeCell ref="AL4:AL6"/>
    <mergeCell ref="AM4:AU4"/>
    <mergeCell ref="AN5:AT5"/>
    <mergeCell ref="AN6:AT6"/>
    <mergeCell ref="AN18:AT18"/>
    <mergeCell ref="AN7:AT7"/>
    <mergeCell ref="AN8:AT8"/>
    <mergeCell ref="AN9:AT9"/>
    <mergeCell ref="AN10:AT10"/>
    <mergeCell ref="AN11:AT11"/>
    <mergeCell ref="AN12:AT12"/>
    <mergeCell ref="AN13:AT13"/>
    <mergeCell ref="AN14:AT14"/>
    <mergeCell ref="AN15:AT15"/>
    <mergeCell ref="AN16:AT16"/>
    <mergeCell ref="AN17:AT17"/>
    <mergeCell ref="AN29:AT29"/>
    <mergeCell ref="AN19:AT19"/>
    <mergeCell ref="AN20:AT20"/>
    <mergeCell ref="AN21:AT21"/>
    <mergeCell ref="AN22:AT22"/>
    <mergeCell ref="AN23:AT23"/>
    <mergeCell ref="AN24:AT24"/>
    <mergeCell ref="AN25:AT25"/>
    <mergeCell ref="AN26:AT26"/>
    <mergeCell ref="AN27:AT27"/>
    <mergeCell ref="AN28:AT28"/>
    <mergeCell ref="AN36:AT36"/>
    <mergeCell ref="AN30:AT30"/>
    <mergeCell ref="AN31:AT31"/>
    <mergeCell ref="AN32:AT32"/>
    <mergeCell ref="AN33:AT33"/>
    <mergeCell ref="AN34:AT34"/>
    <mergeCell ref="AN35:AT35"/>
  </mergeCells>
  <pageMargins left="0.85416666666666663" right="0.17708333333333334" top="0.38541666666666669" bottom="0.54166666666666663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U50"/>
  <sheetViews>
    <sheetView view="pageLayout" topLeftCell="W2" zoomScale="90" zoomScaleNormal="100" zoomScalePageLayoutView="90" workbookViewId="0">
      <selection activeCell="AF26" sqref="AF26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10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39" width="5.6640625" style="24" customWidth="1"/>
    <col min="40" max="45" width="9" style="10"/>
    <col min="46" max="46" width="11.33203125" style="10" customWidth="1"/>
    <col min="47" max="47" width="10.1640625" style="10" customWidth="1"/>
    <col min="48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N1" s="2"/>
      <c r="O1" s="1">
        <v>21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22</v>
      </c>
      <c r="AL1" s="1">
        <v>23</v>
      </c>
      <c r="AM1" s="2"/>
      <c r="AU1" s="1">
        <v>24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315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316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คณิตศาสตร์  (ค16101)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คณิตศาสตร์  (ค16101)</v>
      </c>
      <c r="AF3" s="246"/>
      <c r="AG3" s="246"/>
      <c r="AH3" s="246"/>
      <c r="AI3" s="246"/>
      <c r="AJ3" s="246"/>
      <c r="AK3" s="246"/>
      <c r="AL3" s="246"/>
      <c r="AM3" s="247" t="s">
        <v>326</v>
      </c>
      <c r="AN3" s="242"/>
      <c r="AO3" s="242"/>
      <c r="AP3" s="242"/>
      <c r="AQ3" s="242"/>
      <c r="AR3" s="242"/>
      <c r="AS3" s="242"/>
      <c r="AT3" s="242"/>
      <c r="AU3" s="248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232"/>
      <c r="AN4" s="233"/>
      <c r="AO4" s="233"/>
      <c r="AP4" s="233"/>
      <c r="AQ4" s="233"/>
      <c r="AR4" s="233"/>
      <c r="AS4" s="233"/>
      <c r="AT4" s="233"/>
      <c r="AU4" s="234"/>
    </row>
    <row r="5" spans="1:47" s="24" customFormat="1" ht="14.25" customHeight="1" x14ac:dyDescent="0.35">
      <c r="A5" s="236"/>
      <c r="B5" s="25" t="s">
        <v>247</v>
      </c>
      <c r="C5" s="112" t="s">
        <v>225</v>
      </c>
      <c r="D5" s="112" t="s">
        <v>226</v>
      </c>
      <c r="E5" s="112" t="s">
        <v>227</v>
      </c>
      <c r="F5" s="112" t="s">
        <v>228</v>
      </c>
      <c r="G5" s="112" t="s">
        <v>259</v>
      </c>
      <c r="H5" s="112"/>
      <c r="I5" s="15"/>
      <c r="J5" s="15"/>
      <c r="K5" s="15"/>
      <c r="L5" s="15"/>
      <c r="M5" s="17" t="s">
        <v>17</v>
      </c>
      <c r="N5" s="237"/>
      <c r="O5" s="237"/>
      <c r="P5" s="236"/>
      <c r="Q5" s="25" t="s">
        <v>247</v>
      </c>
      <c r="R5" s="112" t="s">
        <v>260</v>
      </c>
      <c r="S5" s="112" t="s">
        <v>314</v>
      </c>
      <c r="T5" s="15">
        <v>8</v>
      </c>
      <c r="U5" s="15">
        <v>9</v>
      </c>
      <c r="V5" s="15">
        <v>10</v>
      </c>
      <c r="W5" s="15"/>
      <c r="X5" s="15"/>
      <c r="Y5" s="15"/>
      <c r="Z5" s="15"/>
      <c r="AA5" s="15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128">
        <v>1</v>
      </c>
      <c r="AN5" s="223" t="s">
        <v>327</v>
      </c>
      <c r="AO5" s="223"/>
      <c r="AP5" s="223"/>
      <c r="AQ5" s="223"/>
      <c r="AR5" s="223"/>
      <c r="AS5" s="223"/>
      <c r="AT5" s="223"/>
      <c r="AU5" s="141" t="s">
        <v>328</v>
      </c>
    </row>
    <row r="6" spans="1:47" ht="21" customHeight="1" x14ac:dyDescent="0.35">
      <c r="A6" s="237"/>
      <c r="B6" s="14" t="s">
        <v>16</v>
      </c>
      <c r="C6" s="15">
        <v>10</v>
      </c>
      <c r="D6" s="15">
        <v>10</v>
      </c>
      <c r="E6" s="15">
        <v>10</v>
      </c>
      <c r="F6" s="15"/>
      <c r="G6" s="15"/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10</v>
      </c>
      <c r="S6" s="15">
        <v>10</v>
      </c>
      <c r="T6" s="15">
        <v>10</v>
      </c>
      <c r="U6" s="15"/>
      <c r="V6" s="15"/>
      <c r="W6" s="15"/>
      <c r="X6" s="15"/>
      <c r="Y6" s="15"/>
      <c r="Z6" s="15"/>
      <c r="AA6" s="15"/>
      <c r="AB6" s="17"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128">
        <v>2</v>
      </c>
      <c r="AN6" s="223" t="s">
        <v>329</v>
      </c>
      <c r="AO6" s="223"/>
      <c r="AP6" s="223"/>
      <c r="AQ6" s="223"/>
      <c r="AR6" s="223"/>
      <c r="AS6" s="223"/>
      <c r="AT6" s="223"/>
      <c r="AU6" s="141" t="s">
        <v>330</v>
      </c>
    </row>
    <row r="7" spans="1:47" ht="21" customHeight="1" x14ac:dyDescent="0.4">
      <c r="A7" s="5">
        <v>1</v>
      </c>
      <c r="B7" s="19" t="str">
        <f>'เวลาเรียน4-16'!B6</f>
        <v>เด็กชายกฤษดา  บัวศรี</v>
      </c>
      <c r="C7" s="5">
        <v>8</v>
      </c>
      <c r="D7" s="5">
        <v>9</v>
      </c>
      <c r="E7" s="5">
        <v>8</v>
      </c>
      <c r="F7" s="5"/>
      <c r="G7" s="5"/>
      <c r="H7" s="5"/>
      <c r="I7" s="5"/>
      <c r="J7" s="5"/>
      <c r="K7" s="5"/>
      <c r="L7" s="5"/>
      <c r="M7" s="12">
        <f t="shared" ref="M7:M19" si="0">SUM(C7:L7)</f>
        <v>25</v>
      </c>
      <c r="N7" s="5">
        <v>16</v>
      </c>
      <c r="O7" s="11">
        <f t="shared" ref="O7:O19" si="1">SUM(M7:N7)</f>
        <v>41</v>
      </c>
      <c r="P7" s="5">
        <v>1</v>
      </c>
      <c r="Q7" s="19" t="str">
        <f t="shared" ref="Q7:Q19" si="2">B7</f>
        <v>เด็กชายกฤษดา  บัวศรี</v>
      </c>
      <c r="R7" s="5">
        <v>8</v>
      </c>
      <c r="S7" s="5">
        <v>10</v>
      </c>
      <c r="T7" s="5">
        <v>8</v>
      </c>
      <c r="U7" s="5"/>
      <c r="V7" s="5"/>
      <c r="W7" s="5"/>
      <c r="X7" s="5"/>
      <c r="Y7" s="5"/>
      <c r="Z7" s="5"/>
      <c r="AA7" s="5"/>
      <c r="AB7" s="12">
        <f t="shared" ref="AB7:AB19" si="3">SUM(R7:AA7)</f>
        <v>26</v>
      </c>
      <c r="AC7" s="5">
        <v>14</v>
      </c>
      <c r="AD7" s="11">
        <f t="shared" ref="AD7:AD19" si="4">SUM(AB7:AC7)</f>
        <v>40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41</v>
      </c>
      <c r="AH7" s="22">
        <f t="shared" ref="AH7:AH19" si="6">AD7</f>
        <v>40</v>
      </c>
      <c r="AI7" s="22">
        <f>SUM(AG7:AH7)</f>
        <v>81</v>
      </c>
      <c r="AJ7" s="22">
        <f>IF(AI7&gt;79,4,IF(AI7&gt;74,3.5,IF(AI7&gt;69,3,IF(AI7&gt;64,2.5,IF(AI7&gt;59,2,IF(AI7&gt;54,1.5,IF(AI7&gt;49,1,IF(AI7&lt;50,0))))))))</f>
        <v>4</v>
      </c>
      <c r="AK7" s="13"/>
      <c r="AL7" s="13"/>
      <c r="AM7" s="128"/>
      <c r="AN7" s="223" t="s">
        <v>331</v>
      </c>
      <c r="AO7" s="223"/>
      <c r="AP7" s="223"/>
      <c r="AQ7" s="223"/>
      <c r="AR7" s="223"/>
      <c r="AS7" s="223"/>
      <c r="AT7" s="223"/>
      <c r="AU7" s="141"/>
    </row>
    <row r="8" spans="1:47" ht="21" customHeight="1" x14ac:dyDescent="0.4">
      <c r="A8" s="5">
        <v>2</v>
      </c>
      <c r="B8" s="19" t="str">
        <f>'เวลาเรียน4-16'!B7</f>
        <v>เด็กชายจิรายุ  ดอบุตร</v>
      </c>
      <c r="C8" s="5">
        <v>7</v>
      </c>
      <c r="D8" s="5">
        <v>8</v>
      </c>
      <c r="E8" s="5">
        <v>7</v>
      </c>
      <c r="F8" s="5"/>
      <c r="G8" s="5"/>
      <c r="H8" s="5"/>
      <c r="I8" s="5"/>
      <c r="J8" s="5"/>
      <c r="K8" s="5"/>
      <c r="L8" s="5"/>
      <c r="M8" s="12">
        <f t="shared" si="0"/>
        <v>22</v>
      </c>
      <c r="N8" s="5">
        <v>15</v>
      </c>
      <c r="O8" s="11">
        <f t="shared" si="1"/>
        <v>37</v>
      </c>
      <c r="P8" s="5">
        <v>2</v>
      </c>
      <c r="Q8" s="19" t="str">
        <f t="shared" si="2"/>
        <v>เด็กชายจิรายุ  ดอบุตร</v>
      </c>
      <c r="R8" s="5">
        <v>7</v>
      </c>
      <c r="S8" s="5">
        <v>10</v>
      </c>
      <c r="T8" s="5">
        <v>8</v>
      </c>
      <c r="U8" s="5"/>
      <c r="V8" s="5"/>
      <c r="W8" s="5"/>
      <c r="X8" s="5"/>
      <c r="Y8" s="5"/>
      <c r="Z8" s="5"/>
      <c r="AA8" s="5"/>
      <c r="AB8" s="12">
        <f t="shared" si="3"/>
        <v>25</v>
      </c>
      <c r="AC8" s="5">
        <v>15</v>
      </c>
      <c r="AD8" s="11">
        <f t="shared" si="4"/>
        <v>40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37</v>
      </c>
      <c r="AH8" s="22">
        <f t="shared" si="6"/>
        <v>40</v>
      </c>
      <c r="AI8" s="22">
        <f t="shared" ref="AI8:AI19" si="7">SUM(AG8:AH8)</f>
        <v>77</v>
      </c>
      <c r="AJ8" s="22">
        <f t="shared" ref="AJ8:AJ19" si="8">IF(AI8&gt;79,4,IF(AI8&gt;74,3.5,IF(AI8&gt;69,3,IF(AI8&gt;64,2.5,IF(AI8&gt;59,2,IF(AI8&gt;54,1.5,IF(AI8&gt;49,1,IF(AI8&lt;50,0))))))))</f>
        <v>3.5</v>
      </c>
      <c r="AK8" s="13"/>
      <c r="AL8" s="13"/>
      <c r="AM8" s="128">
        <v>3</v>
      </c>
      <c r="AN8" s="223" t="s">
        <v>332</v>
      </c>
      <c r="AO8" s="223"/>
      <c r="AP8" s="223"/>
      <c r="AQ8" s="223"/>
      <c r="AR8" s="223"/>
      <c r="AS8" s="223"/>
      <c r="AT8" s="223"/>
      <c r="AU8" s="141" t="s">
        <v>333</v>
      </c>
    </row>
    <row r="9" spans="1:47" ht="21" customHeight="1" x14ac:dyDescent="0.4">
      <c r="A9" s="5">
        <v>3</v>
      </c>
      <c r="B9" s="19" t="str">
        <f>'เวลาเรียน4-16'!B8</f>
        <v>เด็กชายจิรายุ  เนตรสว่าง</v>
      </c>
      <c r="C9" s="5">
        <v>6</v>
      </c>
      <c r="D9" s="5">
        <v>7</v>
      </c>
      <c r="E9" s="5">
        <v>6</v>
      </c>
      <c r="F9" s="5"/>
      <c r="G9" s="5"/>
      <c r="H9" s="5"/>
      <c r="I9" s="5"/>
      <c r="J9" s="5"/>
      <c r="K9" s="5"/>
      <c r="L9" s="5"/>
      <c r="M9" s="12">
        <f t="shared" si="0"/>
        <v>19</v>
      </c>
      <c r="N9" s="5">
        <v>14</v>
      </c>
      <c r="O9" s="11">
        <f t="shared" si="1"/>
        <v>33</v>
      </c>
      <c r="P9" s="5">
        <v>3</v>
      </c>
      <c r="Q9" s="19" t="str">
        <f t="shared" si="2"/>
        <v>เด็กชายจิรายุ  เนตรสว่าง</v>
      </c>
      <c r="R9" s="5">
        <v>7</v>
      </c>
      <c r="S9" s="5">
        <v>10</v>
      </c>
      <c r="T9" s="5">
        <v>9</v>
      </c>
      <c r="U9" s="5"/>
      <c r="V9" s="5"/>
      <c r="W9" s="5"/>
      <c r="X9" s="5"/>
      <c r="Y9" s="5"/>
      <c r="Z9" s="5"/>
      <c r="AA9" s="5"/>
      <c r="AB9" s="12">
        <f t="shared" si="3"/>
        <v>26</v>
      </c>
      <c r="AC9" s="5">
        <v>16</v>
      </c>
      <c r="AD9" s="11">
        <f t="shared" si="4"/>
        <v>42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33</v>
      </c>
      <c r="AH9" s="22">
        <f t="shared" si="6"/>
        <v>42</v>
      </c>
      <c r="AI9" s="22">
        <f t="shared" si="7"/>
        <v>75</v>
      </c>
      <c r="AJ9" s="22">
        <f t="shared" si="8"/>
        <v>3.5</v>
      </c>
      <c r="AK9" s="13"/>
      <c r="AL9" s="13"/>
      <c r="AM9" s="128">
        <v>4</v>
      </c>
      <c r="AN9" s="223" t="s">
        <v>334</v>
      </c>
      <c r="AO9" s="223"/>
      <c r="AP9" s="223"/>
      <c r="AQ9" s="223"/>
      <c r="AR9" s="223"/>
      <c r="AS9" s="223"/>
      <c r="AT9" s="223"/>
      <c r="AU9" s="141" t="s">
        <v>335</v>
      </c>
    </row>
    <row r="10" spans="1:47" ht="21" customHeight="1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>
        <v>6</v>
      </c>
      <c r="D10" s="5">
        <v>7</v>
      </c>
      <c r="E10" s="5">
        <v>6</v>
      </c>
      <c r="F10" s="5"/>
      <c r="G10" s="5"/>
      <c r="H10" s="5"/>
      <c r="I10" s="5"/>
      <c r="J10" s="5"/>
      <c r="K10" s="5"/>
      <c r="L10" s="5"/>
      <c r="M10" s="12">
        <f t="shared" si="0"/>
        <v>19</v>
      </c>
      <c r="N10" s="5">
        <v>14</v>
      </c>
      <c r="O10" s="11">
        <f t="shared" si="1"/>
        <v>33</v>
      </c>
      <c r="P10" s="5">
        <v>4</v>
      </c>
      <c r="Q10" s="19" t="str">
        <f t="shared" si="2"/>
        <v>เด็กชายจีรภัทร  คันธมาตย์</v>
      </c>
      <c r="R10" s="5">
        <v>7</v>
      </c>
      <c r="S10" s="5">
        <v>10</v>
      </c>
      <c r="T10" s="5">
        <v>8</v>
      </c>
      <c r="U10" s="5"/>
      <c r="V10" s="5"/>
      <c r="W10" s="5"/>
      <c r="X10" s="5"/>
      <c r="Y10" s="5"/>
      <c r="Z10" s="5"/>
      <c r="AA10" s="5"/>
      <c r="AB10" s="12">
        <f t="shared" si="3"/>
        <v>25</v>
      </c>
      <c r="AC10" s="5">
        <v>14</v>
      </c>
      <c r="AD10" s="11">
        <f t="shared" si="4"/>
        <v>39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33</v>
      </c>
      <c r="AH10" s="22">
        <f t="shared" si="6"/>
        <v>39</v>
      </c>
      <c r="AI10" s="22">
        <f t="shared" si="7"/>
        <v>72</v>
      </c>
      <c r="AJ10" s="22">
        <f t="shared" si="8"/>
        <v>3</v>
      </c>
      <c r="AK10" s="13"/>
      <c r="AL10" s="13"/>
      <c r="AM10" s="128">
        <v>5</v>
      </c>
      <c r="AN10" s="223" t="s">
        <v>336</v>
      </c>
      <c r="AO10" s="223"/>
      <c r="AP10" s="223"/>
      <c r="AQ10" s="223"/>
      <c r="AR10" s="223"/>
      <c r="AS10" s="223"/>
      <c r="AT10" s="223"/>
      <c r="AU10" s="141" t="s">
        <v>337</v>
      </c>
    </row>
    <row r="11" spans="1:47" ht="21" customHeight="1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>
        <v>6</v>
      </c>
      <c r="D11" s="5">
        <v>7</v>
      </c>
      <c r="E11" s="5">
        <v>6</v>
      </c>
      <c r="F11" s="5"/>
      <c r="G11" s="5"/>
      <c r="H11" s="5"/>
      <c r="I11" s="5"/>
      <c r="J11" s="5"/>
      <c r="K11" s="5"/>
      <c r="L11" s="5"/>
      <c r="M11" s="12">
        <f t="shared" si="0"/>
        <v>19</v>
      </c>
      <c r="N11" s="5">
        <v>14</v>
      </c>
      <c r="O11" s="11">
        <f t="shared" si="1"/>
        <v>33</v>
      </c>
      <c r="P11" s="5">
        <v>5</v>
      </c>
      <c r="Q11" s="19" t="str">
        <f t="shared" si="2"/>
        <v>เด็กชายปรวัฒน์  โพธิ์ศรี</v>
      </c>
      <c r="R11" s="5">
        <v>7</v>
      </c>
      <c r="S11" s="5">
        <v>10</v>
      </c>
      <c r="T11" s="5">
        <v>9</v>
      </c>
      <c r="U11" s="5"/>
      <c r="V11" s="5"/>
      <c r="W11" s="5"/>
      <c r="X11" s="5"/>
      <c r="Y11" s="5"/>
      <c r="Z11" s="5"/>
      <c r="AA11" s="5"/>
      <c r="AB11" s="12">
        <f t="shared" si="3"/>
        <v>26</v>
      </c>
      <c r="AC11" s="5">
        <v>14</v>
      </c>
      <c r="AD11" s="11">
        <f t="shared" si="4"/>
        <v>40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33</v>
      </c>
      <c r="AH11" s="22">
        <f t="shared" si="6"/>
        <v>40</v>
      </c>
      <c r="AI11" s="22">
        <f t="shared" si="7"/>
        <v>73</v>
      </c>
      <c r="AJ11" s="22">
        <f t="shared" si="8"/>
        <v>3</v>
      </c>
      <c r="AK11" s="13"/>
      <c r="AL11" s="13"/>
      <c r="AM11" s="128">
        <v>6</v>
      </c>
      <c r="AN11" s="223" t="s">
        <v>338</v>
      </c>
      <c r="AO11" s="223"/>
      <c r="AP11" s="223"/>
      <c r="AQ11" s="223"/>
      <c r="AR11" s="223"/>
      <c r="AS11" s="223"/>
      <c r="AT11" s="223"/>
      <c r="AU11" s="141" t="s">
        <v>339</v>
      </c>
    </row>
    <row r="12" spans="1:47" ht="21" customHeight="1" x14ac:dyDescent="0.4">
      <c r="A12" s="5">
        <v>6</v>
      </c>
      <c r="B12" s="19" t="str">
        <f>'เวลาเรียน4-16'!B11</f>
        <v>เด็กชายพีรภาพ  วงคำใหญ่</v>
      </c>
      <c r="C12" s="5">
        <v>8</v>
      </c>
      <c r="D12" s="5">
        <v>9</v>
      </c>
      <c r="E12" s="5">
        <v>8</v>
      </c>
      <c r="F12" s="5"/>
      <c r="G12" s="5"/>
      <c r="H12" s="5"/>
      <c r="I12" s="5"/>
      <c r="J12" s="5"/>
      <c r="K12" s="5"/>
      <c r="L12" s="5"/>
      <c r="M12" s="12">
        <f t="shared" si="0"/>
        <v>25</v>
      </c>
      <c r="N12" s="5">
        <v>17</v>
      </c>
      <c r="O12" s="11">
        <f t="shared" si="1"/>
        <v>42</v>
      </c>
      <c r="P12" s="5">
        <v>6</v>
      </c>
      <c r="Q12" s="19" t="str">
        <f t="shared" si="2"/>
        <v>เด็กชายพีรภาพ  วงคำใหญ่</v>
      </c>
      <c r="R12" s="5">
        <v>8</v>
      </c>
      <c r="S12" s="5">
        <v>10</v>
      </c>
      <c r="T12" s="5">
        <v>9</v>
      </c>
      <c r="U12" s="5"/>
      <c r="V12" s="5"/>
      <c r="W12" s="5"/>
      <c r="X12" s="5"/>
      <c r="Y12" s="5"/>
      <c r="Z12" s="5"/>
      <c r="AA12" s="5"/>
      <c r="AB12" s="12">
        <f t="shared" si="3"/>
        <v>27</v>
      </c>
      <c r="AC12" s="5">
        <v>16</v>
      </c>
      <c r="AD12" s="11">
        <f t="shared" si="4"/>
        <v>43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42</v>
      </c>
      <c r="AH12" s="22">
        <f t="shared" si="6"/>
        <v>43</v>
      </c>
      <c r="AI12" s="22">
        <f t="shared" si="7"/>
        <v>85</v>
      </c>
      <c r="AJ12" s="22">
        <f t="shared" si="8"/>
        <v>4</v>
      </c>
      <c r="AK12" s="13"/>
      <c r="AL12" s="13"/>
      <c r="AM12" s="128">
        <v>7</v>
      </c>
      <c r="AN12" s="223" t="s">
        <v>340</v>
      </c>
      <c r="AO12" s="223"/>
      <c r="AP12" s="223"/>
      <c r="AQ12" s="223"/>
      <c r="AR12" s="223"/>
      <c r="AS12" s="223"/>
      <c r="AT12" s="223"/>
      <c r="AU12" s="141" t="s">
        <v>341</v>
      </c>
    </row>
    <row r="13" spans="1:47" ht="21" customHeight="1" x14ac:dyDescent="0.4">
      <c r="A13" s="5">
        <v>7</v>
      </c>
      <c r="B13" s="19" t="str">
        <f>'เวลาเรียน4-16'!B12</f>
        <v>เด็กหญิงกมลรัตน์  แสดคง</v>
      </c>
      <c r="C13" s="5">
        <v>8</v>
      </c>
      <c r="D13" s="5">
        <v>9</v>
      </c>
      <c r="E13" s="5">
        <v>8</v>
      </c>
      <c r="F13" s="5"/>
      <c r="G13" s="5"/>
      <c r="H13" s="5"/>
      <c r="I13" s="5"/>
      <c r="J13" s="5"/>
      <c r="K13" s="5"/>
      <c r="L13" s="5"/>
      <c r="M13" s="12">
        <f t="shared" si="0"/>
        <v>25</v>
      </c>
      <c r="N13" s="5">
        <v>18</v>
      </c>
      <c r="O13" s="11">
        <f t="shared" si="1"/>
        <v>43</v>
      </c>
      <c r="P13" s="5">
        <v>7</v>
      </c>
      <c r="Q13" s="19" t="str">
        <f t="shared" si="2"/>
        <v>เด็กหญิงกมลรัตน์  แสดคง</v>
      </c>
      <c r="R13" s="5">
        <v>8</v>
      </c>
      <c r="S13" s="5">
        <v>10</v>
      </c>
      <c r="T13" s="5">
        <v>9</v>
      </c>
      <c r="U13" s="5"/>
      <c r="V13" s="5"/>
      <c r="W13" s="5"/>
      <c r="X13" s="5"/>
      <c r="Y13" s="5"/>
      <c r="Z13" s="5"/>
      <c r="AA13" s="5"/>
      <c r="AB13" s="12">
        <f t="shared" si="3"/>
        <v>27</v>
      </c>
      <c r="AC13" s="5">
        <v>15</v>
      </c>
      <c r="AD13" s="11">
        <f t="shared" si="4"/>
        <v>42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43</v>
      </c>
      <c r="AH13" s="22">
        <f t="shared" si="6"/>
        <v>42</v>
      </c>
      <c r="AI13" s="22">
        <f t="shared" si="7"/>
        <v>85</v>
      </c>
      <c r="AJ13" s="22">
        <f t="shared" si="8"/>
        <v>4</v>
      </c>
      <c r="AK13" s="13"/>
      <c r="AL13" s="13"/>
      <c r="AM13" s="128">
        <v>8</v>
      </c>
      <c r="AN13" s="223" t="s">
        <v>342</v>
      </c>
      <c r="AO13" s="223"/>
      <c r="AP13" s="223"/>
      <c r="AQ13" s="223"/>
      <c r="AR13" s="223"/>
      <c r="AS13" s="223"/>
      <c r="AT13" s="223"/>
      <c r="AU13" s="141" t="s">
        <v>343</v>
      </c>
    </row>
    <row r="14" spans="1:47" ht="21" customHeight="1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>
        <v>8</v>
      </c>
      <c r="D14" s="5">
        <v>9</v>
      </c>
      <c r="E14" s="5">
        <v>8</v>
      </c>
      <c r="F14" s="5"/>
      <c r="G14" s="5"/>
      <c r="H14" s="5"/>
      <c r="I14" s="5"/>
      <c r="J14" s="5"/>
      <c r="K14" s="5"/>
      <c r="L14" s="5"/>
      <c r="M14" s="12">
        <f t="shared" si="0"/>
        <v>25</v>
      </c>
      <c r="N14" s="5">
        <v>18</v>
      </c>
      <c r="O14" s="11">
        <f t="shared" si="1"/>
        <v>43</v>
      </c>
      <c r="P14" s="5">
        <v>8</v>
      </c>
      <c r="Q14" s="19" t="str">
        <f t="shared" si="2"/>
        <v>เด็กหญิงกัลยรัตน์  ทึงสุข</v>
      </c>
      <c r="R14" s="5">
        <v>8</v>
      </c>
      <c r="S14" s="5">
        <v>10</v>
      </c>
      <c r="T14" s="5">
        <v>9</v>
      </c>
      <c r="U14" s="5"/>
      <c r="V14" s="5"/>
      <c r="W14" s="5"/>
      <c r="X14" s="5"/>
      <c r="Y14" s="5"/>
      <c r="Z14" s="5"/>
      <c r="AA14" s="5"/>
      <c r="AB14" s="12">
        <f t="shared" si="3"/>
        <v>27</v>
      </c>
      <c r="AC14" s="5">
        <v>16</v>
      </c>
      <c r="AD14" s="11">
        <f t="shared" si="4"/>
        <v>43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43</v>
      </c>
      <c r="AH14" s="22">
        <f t="shared" si="6"/>
        <v>43</v>
      </c>
      <c r="AI14" s="22">
        <f t="shared" si="7"/>
        <v>86</v>
      </c>
      <c r="AJ14" s="22">
        <f t="shared" si="8"/>
        <v>4</v>
      </c>
      <c r="AK14" s="13"/>
      <c r="AL14" s="13"/>
      <c r="AM14" s="128">
        <v>9</v>
      </c>
      <c r="AN14" s="223" t="s">
        <v>344</v>
      </c>
      <c r="AO14" s="223"/>
      <c r="AP14" s="223"/>
      <c r="AQ14" s="223"/>
      <c r="AR14" s="223"/>
      <c r="AS14" s="223"/>
      <c r="AT14" s="223"/>
      <c r="AU14" s="141" t="s">
        <v>345</v>
      </c>
    </row>
    <row r="15" spans="1:47" ht="21" customHeight="1" x14ac:dyDescent="0.4">
      <c r="A15" s="5">
        <v>9</v>
      </c>
      <c r="B15" s="19" t="str">
        <f>'เวลาเรียน4-16'!B14</f>
        <v>เด็กหญิงนิตยา  พละโท</v>
      </c>
      <c r="C15" s="5">
        <v>8</v>
      </c>
      <c r="D15" s="5">
        <v>9</v>
      </c>
      <c r="E15" s="5">
        <v>8</v>
      </c>
      <c r="F15" s="5"/>
      <c r="G15" s="5"/>
      <c r="H15" s="5"/>
      <c r="I15" s="5"/>
      <c r="J15" s="5"/>
      <c r="K15" s="5"/>
      <c r="L15" s="5"/>
      <c r="M15" s="12">
        <f t="shared" si="0"/>
        <v>25</v>
      </c>
      <c r="N15" s="5">
        <v>18</v>
      </c>
      <c r="O15" s="11">
        <f t="shared" si="1"/>
        <v>43</v>
      </c>
      <c r="P15" s="5">
        <v>9</v>
      </c>
      <c r="Q15" s="19" t="str">
        <f t="shared" si="2"/>
        <v>เด็กหญิงนิตยา  พละโท</v>
      </c>
      <c r="R15" s="5">
        <v>8</v>
      </c>
      <c r="S15" s="5">
        <v>10</v>
      </c>
      <c r="T15" s="5">
        <v>9</v>
      </c>
      <c r="U15" s="5"/>
      <c r="V15" s="5"/>
      <c r="W15" s="5"/>
      <c r="X15" s="5"/>
      <c r="Y15" s="5"/>
      <c r="Z15" s="5"/>
      <c r="AA15" s="5"/>
      <c r="AB15" s="12">
        <f t="shared" si="3"/>
        <v>27</v>
      </c>
      <c r="AC15" s="5">
        <v>16</v>
      </c>
      <c r="AD15" s="11">
        <f t="shared" si="4"/>
        <v>43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43</v>
      </c>
      <c r="AH15" s="22">
        <f t="shared" si="6"/>
        <v>43</v>
      </c>
      <c r="AI15" s="22">
        <f t="shared" si="7"/>
        <v>86</v>
      </c>
      <c r="AJ15" s="22">
        <f t="shared" si="8"/>
        <v>4</v>
      </c>
      <c r="AK15" s="13"/>
      <c r="AL15" s="13"/>
      <c r="AM15" s="128">
        <v>10</v>
      </c>
      <c r="AN15" s="223" t="s">
        <v>346</v>
      </c>
      <c r="AO15" s="223"/>
      <c r="AP15" s="223"/>
      <c r="AQ15" s="223"/>
      <c r="AR15" s="223"/>
      <c r="AS15" s="223"/>
      <c r="AT15" s="223"/>
      <c r="AU15" s="141" t="s">
        <v>347</v>
      </c>
    </row>
    <row r="16" spans="1:47" ht="21" customHeight="1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>
        <v>8</v>
      </c>
      <c r="D16" s="5">
        <v>9</v>
      </c>
      <c r="E16" s="5">
        <v>8</v>
      </c>
      <c r="F16" s="5"/>
      <c r="G16" s="5"/>
      <c r="H16" s="5"/>
      <c r="I16" s="5"/>
      <c r="J16" s="5"/>
      <c r="K16" s="5"/>
      <c r="L16" s="5"/>
      <c r="M16" s="12">
        <f t="shared" si="0"/>
        <v>25</v>
      </c>
      <c r="N16" s="5">
        <v>18</v>
      </c>
      <c r="O16" s="11">
        <f t="shared" si="1"/>
        <v>43</v>
      </c>
      <c r="P16" s="5">
        <v>10</v>
      </c>
      <c r="Q16" s="19" t="str">
        <f t="shared" si="2"/>
        <v>เด็กหญิงบัณฑิตา  เบ้าพงษ์</v>
      </c>
      <c r="R16" s="5">
        <v>8</v>
      </c>
      <c r="S16" s="5">
        <v>10</v>
      </c>
      <c r="T16" s="5">
        <v>9</v>
      </c>
      <c r="U16" s="5"/>
      <c r="V16" s="5"/>
      <c r="W16" s="5"/>
      <c r="X16" s="5"/>
      <c r="Y16" s="5"/>
      <c r="Z16" s="5"/>
      <c r="AA16" s="5"/>
      <c r="AB16" s="12">
        <f t="shared" si="3"/>
        <v>27</v>
      </c>
      <c r="AC16" s="5">
        <v>15</v>
      </c>
      <c r="AD16" s="11">
        <f t="shared" si="4"/>
        <v>42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43</v>
      </c>
      <c r="AH16" s="22">
        <f t="shared" si="6"/>
        <v>42</v>
      </c>
      <c r="AI16" s="22">
        <f t="shared" si="7"/>
        <v>85</v>
      </c>
      <c r="AJ16" s="22">
        <f t="shared" si="8"/>
        <v>4</v>
      </c>
      <c r="AK16" s="13"/>
      <c r="AL16" s="13"/>
      <c r="AM16" s="128">
        <v>11</v>
      </c>
      <c r="AN16" s="223" t="s">
        <v>348</v>
      </c>
      <c r="AO16" s="223"/>
      <c r="AP16" s="223"/>
      <c r="AQ16" s="223"/>
      <c r="AR16" s="223"/>
      <c r="AS16" s="223"/>
      <c r="AT16" s="223"/>
      <c r="AU16" s="141" t="s">
        <v>349</v>
      </c>
    </row>
    <row r="17" spans="1:47" ht="21" customHeight="1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>
        <v>8</v>
      </c>
      <c r="D17" s="5">
        <v>9</v>
      </c>
      <c r="E17" s="5">
        <v>8</v>
      </c>
      <c r="F17" s="5"/>
      <c r="G17" s="5"/>
      <c r="H17" s="5"/>
      <c r="I17" s="5"/>
      <c r="J17" s="5"/>
      <c r="K17" s="5"/>
      <c r="L17" s="5"/>
      <c r="M17" s="12">
        <f t="shared" si="0"/>
        <v>25</v>
      </c>
      <c r="N17" s="5">
        <v>18</v>
      </c>
      <c r="O17" s="11">
        <f t="shared" si="1"/>
        <v>43</v>
      </c>
      <c r="P17" s="5">
        <v>11</v>
      </c>
      <c r="Q17" s="19" t="str">
        <f t="shared" si="2"/>
        <v>เด็กหญิงพัชรกัญญ์  บาลนาคม</v>
      </c>
      <c r="R17" s="5">
        <v>8</v>
      </c>
      <c r="S17" s="5">
        <v>10</v>
      </c>
      <c r="T17" s="5">
        <v>9</v>
      </c>
      <c r="U17" s="5"/>
      <c r="V17" s="5"/>
      <c r="W17" s="5"/>
      <c r="X17" s="5"/>
      <c r="Y17" s="5"/>
      <c r="Z17" s="5"/>
      <c r="AA17" s="5"/>
      <c r="AB17" s="12">
        <f t="shared" si="3"/>
        <v>27</v>
      </c>
      <c r="AC17" s="5">
        <v>15</v>
      </c>
      <c r="AD17" s="11">
        <f t="shared" si="4"/>
        <v>42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43</v>
      </c>
      <c r="AH17" s="22">
        <f t="shared" si="6"/>
        <v>42</v>
      </c>
      <c r="AI17" s="22">
        <f t="shared" si="7"/>
        <v>85</v>
      </c>
      <c r="AJ17" s="22">
        <f t="shared" si="8"/>
        <v>4</v>
      </c>
      <c r="AK17" s="13"/>
      <c r="AL17" s="13"/>
      <c r="AM17" s="128">
        <v>12</v>
      </c>
      <c r="AN17" s="223" t="s">
        <v>350</v>
      </c>
      <c r="AO17" s="223"/>
      <c r="AP17" s="223"/>
      <c r="AQ17" s="223"/>
      <c r="AR17" s="223"/>
      <c r="AS17" s="223"/>
      <c r="AT17" s="223"/>
      <c r="AU17" s="141" t="s">
        <v>351</v>
      </c>
    </row>
    <row r="18" spans="1:47" ht="21" customHeight="1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>
        <v>7</v>
      </c>
      <c r="D18" s="5">
        <v>9</v>
      </c>
      <c r="E18" s="5">
        <v>7</v>
      </c>
      <c r="F18" s="5"/>
      <c r="G18" s="5"/>
      <c r="H18" s="5"/>
      <c r="I18" s="5"/>
      <c r="J18" s="5"/>
      <c r="K18" s="5"/>
      <c r="L18" s="5"/>
      <c r="M18" s="12">
        <f t="shared" si="0"/>
        <v>23</v>
      </c>
      <c r="N18" s="5">
        <v>16</v>
      </c>
      <c r="O18" s="11">
        <f t="shared" si="1"/>
        <v>39</v>
      </c>
      <c r="P18" s="5">
        <v>12</v>
      </c>
      <c r="Q18" s="19" t="str">
        <f t="shared" si="2"/>
        <v>เด็กหญิงสุวิชาดา  ชูจิตร</v>
      </c>
      <c r="R18" s="5">
        <v>7</v>
      </c>
      <c r="S18" s="5">
        <v>10</v>
      </c>
      <c r="T18" s="5">
        <v>7</v>
      </c>
      <c r="U18" s="5"/>
      <c r="V18" s="5"/>
      <c r="W18" s="5"/>
      <c r="X18" s="5"/>
      <c r="Y18" s="5"/>
      <c r="Z18" s="5"/>
      <c r="AA18" s="5"/>
      <c r="AB18" s="12">
        <f t="shared" si="3"/>
        <v>24</v>
      </c>
      <c r="AC18" s="5">
        <v>10</v>
      </c>
      <c r="AD18" s="11">
        <f t="shared" si="4"/>
        <v>34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39</v>
      </c>
      <c r="AH18" s="22">
        <f t="shared" si="6"/>
        <v>34</v>
      </c>
      <c r="AI18" s="22">
        <f t="shared" si="7"/>
        <v>73</v>
      </c>
      <c r="AJ18" s="22">
        <f t="shared" si="8"/>
        <v>3</v>
      </c>
      <c r="AK18" s="13"/>
      <c r="AL18" s="13"/>
      <c r="AM18" s="128">
        <v>13</v>
      </c>
      <c r="AN18" s="223" t="s">
        <v>352</v>
      </c>
      <c r="AO18" s="223"/>
      <c r="AP18" s="223"/>
      <c r="AQ18" s="223"/>
      <c r="AR18" s="223"/>
      <c r="AS18" s="223"/>
      <c r="AT18" s="223"/>
      <c r="AU18" s="141" t="s">
        <v>353</v>
      </c>
    </row>
    <row r="19" spans="1:47" ht="21" customHeight="1" x14ac:dyDescent="0.4">
      <c r="A19" s="5">
        <v>13</v>
      </c>
      <c r="B19" s="19" t="str">
        <f>'เวลาเรียน4-16'!B18</f>
        <v>เด็กหญิงปุญญิศา  อุปทุม</v>
      </c>
      <c r="C19" s="5">
        <v>8</v>
      </c>
      <c r="D19" s="5">
        <v>9</v>
      </c>
      <c r="E19" s="5">
        <v>8</v>
      </c>
      <c r="F19" s="5"/>
      <c r="G19" s="5"/>
      <c r="H19" s="5"/>
      <c r="I19" s="5"/>
      <c r="J19" s="5"/>
      <c r="K19" s="5"/>
      <c r="L19" s="5"/>
      <c r="M19" s="12">
        <f t="shared" si="0"/>
        <v>25</v>
      </c>
      <c r="N19" s="5">
        <v>18</v>
      </c>
      <c r="O19" s="11">
        <f t="shared" si="1"/>
        <v>43</v>
      </c>
      <c r="P19" s="5">
        <v>13</v>
      </c>
      <c r="Q19" s="19" t="str">
        <f t="shared" si="2"/>
        <v>เด็กหญิงปุญญิศา  อุปทุม</v>
      </c>
      <c r="R19" s="5">
        <v>8</v>
      </c>
      <c r="S19" s="5">
        <v>10</v>
      </c>
      <c r="T19" s="5">
        <v>9</v>
      </c>
      <c r="U19" s="5"/>
      <c r="V19" s="5"/>
      <c r="W19" s="5"/>
      <c r="X19" s="5"/>
      <c r="Y19" s="5"/>
      <c r="Z19" s="5"/>
      <c r="AA19" s="5"/>
      <c r="AB19" s="12">
        <f t="shared" si="3"/>
        <v>27</v>
      </c>
      <c r="AC19" s="5">
        <v>15</v>
      </c>
      <c r="AD19" s="11">
        <f t="shared" si="4"/>
        <v>42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43</v>
      </c>
      <c r="AH19" s="22">
        <f t="shared" si="6"/>
        <v>42</v>
      </c>
      <c r="AI19" s="22">
        <f t="shared" si="7"/>
        <v>85</v>
      </c>
      <c r="AJ19" s="22">
        <f t="shared" si="8"/>
        <v>4</v>
      </c>
      <c r="AK19" s="13"/>
      <c r="AL19" s="13"/>
      <c r="AM19" s="128">
        <v>14</v>
      </c>
      <c r="AN19" s="223" t="s">
        <v>354</v>
      </c>
      <c r="AO19" s="223"/>
      <c r="AP19" s="223"/>
      <c r="AQ19" s="223"/>
      <c r="AR19" s="223"/>
      <c r="AS19" s="223"/>
      <c r="AT19" s="223"/>
      <c r="AU19" s="141" t="s">
        <v>355</v>
      </c>
    </row>
    <row r="20" spans="1:47" ht="21" customHeight="1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128">
        <v>16</v>
      </c>
      <c r="AN20" s="223" t="s">
        <v>356</v>
      </c>
      <c r="AO20" s="223"/>
      <c r="AP20" s="223"/>
      <c r="AQ20" s="223"/>
      <c r="AR20" s="223"/>
      <c r="AS20" s="223"/>
      <c r="AT20" s="223"/>
      <c r="AU20" s="141" t="s">
        <v>357</v>
      </c>
    </row>
    <row r="21" spans="1:47" ht="21" customHeight="1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128">
        <v>17</v>
      </c>
      <c r="AN21" s="223" t="s">
        <v>358</v>
      </c>
      <c r="AO21" s="223"/>
      <c r="AP21" s="223"/>
      <c r="AQ21" s="223"/>
      <c r="AR21" s="223"/>
      <c r="AS21" s="223"/>
      <c r="AT21" s="223"/>
      <c r="AU21" s="141" t="s">
        <v>359</v>
      </c>
    </row>
    <row r="22" spans="1:47" ht="21" customHeight="1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128">
        <v>18</v>
      </c>
      <c r="AN22" s="223" t="s">
        <v>360</v>
      </c>
      <c r="AO22" s="223"/>
      <c r="AP22" s="223"/>
      <c r="AQ22" s="223"/>
      <c r="AR22" s="223"/>
      <c r="AS22" s="223"/>
      <c r="AT22" s="223"/>
      <c r="AU22" s="141" t="s">
        <v>361</v>
      </c>
    </row>
    <row r="23" spans="1:47" ht="21" customHeight="1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128">
        <v>19</v>
      </c>
      <c r="AN23" s="223" t="s">
        <v>362</v>
      </c>
      <c r="AO23" s="223"/>
      <c r="AP23" s="223"/>
      <c r="AQ23" s="223"/>
      <c r="AR23" s="223"/>
      <c r="AS23" s="223"/>
      <c r="AT23" s="223"/>
      <c r="AU23" s="141" t="s">
        <v>363</v>
      </c>
    </row>
    <row r="24" spans="1:47" ht="21" customHeight="1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128">
        <v>20</v>
      </c>
      <c r="AN24" s="223" t="s">
        <v>364</v>
      </c>
      <c r="AO24" s="223"/>
      <c r="AP24" s="223"/>
      <c r="AQ24" s="223"/>
      <c r="AR24" s="223"/>
      <c r="AS24" s="223"/>
      <c r="AT24" s="223"/>
      <c r="AU24" s="141" t="s">
        <v>365</v>
      </c>
    </row>
    <row r="25" spans="1:47" ht="21" customHeight="1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128">
        <v>21</v>
      </c>
      <c r="AN25" s="223" t="s">
        <v>366</v>
      </c>
      <c r="AO25" s="223"/>
      <c r="AP25" s="223"/>
      <c r="AQ25" s="223"/>
      <c r="AR25" s="223"/>
      <c r="AS25" s="223"/>
      <c r="AT25" s="223"/>
      <c r="AU25" s="141" t="s">
        <v>367</v>
      </c>
    </row>
    <row r="26" spans="1:47" ht="21" customHeight="1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128"/>
      <c r="AN26" s="223" t="s">
        <v>257</v>
      </c>
      <c r="AO26" s="223"/>
      <c r="AP26" s="223"/>
      <c r="AQ26" s="223"/>
      <c r="AR26" s="223"/>
      <c r="AS26" s="223"/>
      <c r="AT26" s="223"/>
      <c r="AU26" s="116"/>
    </row>
    <row r="27" spans="1:47" ht="21" customHeight="1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128"/>
      <c r="AN27" s="223"/>
      <c r="AO27" s="223"/>
      <c r="AP27" s="223"/>
      <c r="AQ27" s="223"/>
      <c r="AR27" s="223"/>
      <c r="AS27" s="223"/>
      <c r="AT27" s="223"/>
      <c r="AU27" s="116"/>
    </row>
    <row r="28" spans="1:47" ht="21" customHeight="1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128"/>
      <c r="AN28" s="223"/>
      <c r="AO28" s="223"/>
      <c r="AP28" s="223"/>
      <c r="AQ28" s="223"/>
      <c r="AR28" s="223"/>
      <c r="AS28" s="223"/>
      <c r="AT28" s="223"/>
      <c r="AU28" s="116"/>
    </row>
    <row r="29" spans="1:47" ht="21" customHeight="1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128"/>
      <c r="AN29" s="223"/>
      <c r="AO29" s="223"/>
      <c r="AP29" s="223"/>
      <c r="AQ29" s="223"/>
      <c r="AR29" s="223"/>
      <c r="AS29" s="223"/>
      <c r="AT29" s="223"/>
      <c r="AU29" s="116"/>
    </row>
    <row r="30" spans="1:47" ht="21" customHeight="1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128"/>
      <c r="AN30" s="223"/>
      <c r="AO30" s="223"/>
      <c r="AP30" s="223"/>
      <c r="AQ30" s="223"/>
      <c r="AR30" s="223"/>
      <c r="AS30" s="223"/>
      <c r="AT30" s="223"/>
      <c r="AU30" s="116"/>
    </row>
    <row r="31" spans="1:47" ht="21" customHeight="1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128"/>
      <c r="AN31" s="223"/>
      <c r="AO31" s="223"/>
      <c r="AP31" s="223"/>
      <c r="AQ31" s="223"/>
      <c r="AR31" s="223"/>
      <c r="AS31" s="223"/>
      <c r="AT31" s="223"/>
      <c r="AU31" s="116"/>
    </row>
    <row r="32" spans="1:47" ht="21" customHeight="1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128"/>
      <c r="AN32" s="223"/>
      <c r="AO32" s="223"/>
      <c r="AP32" s="223"/>
      <c r="AQ32" s="223"/>
      <c r="AR32" s="223"/>
      <c r="AS32" s="223"/>
      <c r="AT32" s="223"/>
      <c r="AU32" s="116"/>
    </row>
    <row r="33" spans="1:47" ht="21" customHeight="1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128"/>
      <c r="AN33" s="223"/>
      <c r="AO33" s="223"/>
      <c r="AP33" s="223"/>
      <c r="AQ33" s="223"/>
      <c r="AR33" s="223"/>
      <c r="AS33" s="223"/>
      <c r="AT33" s="223"/>
      <c r="AU33" s="116"/>
    </row>
    <row r="34" spans="1:47" ht="21" customHeight="1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128"/>
      <c r="AN34" s="223"/>
      <c r="AO34" s="223"/>
      <c r="AP34" s="223"/>
      <c r="AQ34" s="223"/>
      <c r="AR34" s="223"/>
      <c r="AS34" s="223"/>
      <c r="AT34" s="223"/>
      <c r="AU34" s="116"/>
    </row>
    <row r="35" spans="1:47" ht="21" customHeight="1" x14ac:dyDescent="0.4">
      <c r="A35" s="5"/>
      <c r="B35" s="19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128"/>
      <c r="AN35" s="223"/>
      <c r="AO35" s="223"/>
      <c r="AP35" s="223"/>
      <c r="AQ35" s="223"/>
      <c r="AR35" s="223"/>
      <c r="AS35" s="223"/>
      <c r="AT35" s="223"/>
      <c r="AU35" s="116"/>
    </row>
    <row r="36" spans="1:47" ht="22" thickBot="1" x14ac:dyDescent="0.4">
      <c r="AM36" s="130"/>
      <c r="AN36" s="222"/>
      <c r="AO36" s="222"/>
      <c r="AP36" s="222"/>
      <c r="AQ36" s="222"/>
      <c r="AR36" s="222"/>
      <c r="AS36" s="222"/>
      <c r="AT36" s="222"/>
      <c r="AU36" s="127"/>
    </row>
    <row r="48" spans="1:47" ht="14.25" customHeight="1" x14ac:dyDescent="0.35"/>
    <row r="49" ht="14.25" customHeight="1" x14ac:dyDescent="0.35"/>
    <row r="50" ht="14.25" customHeight="1" x14ac:dyDescent="0.35"/>
  </sheetData>
  <mergeCells count="57">
    <mergeCell ref="AN32:AT32"/>
    <mergeCell ref="AN33:AT33"/>
    <mergeCell ref="AN34:AT34"/>
    <mergeCell ref="AN35:AT35"/>
    <mergeCell ref="AN36:AT36"/>
    <mergeCell ref="AN27:AT27"/>
    <mergeCell ref="AN28:AT28"/>
    <mergeCell ref="AN29:AT29"/>
    <mergeCell ref="AN30:AT30"/>
    <mergeCell ref="AN31:AT31"/>
    <mergeCell ref="AN22:AT22"/>
    <mergeCell ref="AN23:AT23"/>
    <mergeCell ref="AN24:AT24"/>
    <mergeCell ref="AN25:AT25"/>
    <mergeCell ref="AN26:AT26"/>
    <mergeCell ref="AN18:AT18"/>
    <mergeCell ref="AN19:AT19"/>
    <mergeCell ref="AN20:AT20"/>
    <mergeCell ref="AN21:AT21"/>
    <mergeCell ref="R4:AB4"/>
    <mergeCell ref="AC4:AC5"/>
    <mergeCell ref="AD4:AD5"/>
    <mergeCell ref="AE4:AE6"/>
    <mergeCell ref="AF4:AF5"/>
    <mergeCell ref="AG4:AG5"/>
    <mergeCell ref="AH4:AH5"/>
    <mergeCell ref="AI4:AI5"/>
    <mergeCell ref="AJ4:AJ6"/>
    <mergeCell ref="AM4:AU4"/>
    <mergeCell ref="AN17:AT17"/>
    <mergeCell ref="AK4:AK6"/>
    <mergeCell ref="A4:A6"/>
    <mergeCell ref="C4:M4"/>
    <mergeCell ref="N4:N5"/>
    <mergeCell ref="O4:O5"/>
    <mergeCell ref="P4:P6"/>
    <mergeCell ref="AM2:AU2"/>
    <mergeCell ref="A3:O3"/>
    <mergeCell ref="P3:AD3"/>
    <mergeCell ref="AE3:AL3"/>
    <mergeCell ref="AM3:AU3"/>
    <mergeCell ref="A2:O2"/>
    <mergeCell ref="P2:AD2"/>
    <mergeCell ref="AE2:AL2"/>
    <mergeCell ref="AL4:AL6"/>
    <mergeCell ref="AN5:AT5"/>
    <mergeCell ref="AN6:AT6"/>
    <mergeCell ref="AN7:AT7"/>
    <mergeCell ref="AN8:AT8"/>
    <mergeCell ref="AN14:AT14"/>
    <mergeCell ref="AN15:AT15"/>
    <mergeCell ref="AN16:AT16"/>
    <mergeCell ref="AN9:AT9"/>
    <mergeCell ref="AN10:AT10"/>
    <mergeCell ref="AN11:AT11"/>
    <mergeCell ref="AN12:AT12"/>
    <mergeCell ref="AN13:AT13"/>
  </mergeCells>
  <pageMargins left="0.85416666666666663" right="0.17708333333333334" top="0.38541666666666669" bottom="0.54166666666666663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U50"/>
  <sheetViews>
    <sheetView view="pageLayout" topLeftCell="T3" zoomScale="124" zoomScaleNormal="100" zoomScalePageLayoutView="124" workbookViewId="0">
      <selection activeCell="AC7" sqref="AC7:AC19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10" customWidth="1"/>
    <col min="29" max="29" width="8.6640625" style="10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39" width="5" style="10" customWidth="1"/>
    <col min="40" max="45" width="9" style="10"/>
    <col min="46" max="46" width="12.1640625" style="10" customWidth="1"/>
    <col min="47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25</v>
      </c>
      <c r="R1" s="2"/>
      <c r="S1" s="2"/>
      <c r="T1" s="2"/>
      <c r="U1" s="2"/>
      <c r="V1" s="2"/>
      <c r="W1" s="2"/>
      <c r="X1" s="2"/>
      <c r="Y1" s="2"/>
      <c r="Z1" s="2"/>
      <c r="AA1" s="2"/>
      <c r="AD1" s="1">
        <v>26</v>
      </c>
      <c r="AL1" s="1">
        <v>27</v>
      </c>
      <c r="AU1" s="1">
        <v>28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262</v>
      </c>
      <c r="AF2" s="242"/>
      <c r="AG2" s="242"/>
      <c r="AH2" s="242"/>
      <c r="AI2" s="242"/>
      <c r="AJ2" s="242"/>
      <c r="AK2" s="242"/>
      <c r="AL2" s="242"/>
      <c r="AM2" s="255" t="s">
        <v>41</v>
      </c>
      <c r="AN2" s="256"/>
      <c r="AO2" s="256"/>
      <c r="AP2" s="256"/>
      <c r="AQ2" s="256"/>
      <c r="AR2" s="256"/>
      <c r="AS2" s="256"/>
      <c r="AT2" s="256"/>
      <c r="AU2" s="257"/>
    </row>
    <row r="3" spans="1:47" ht="22" thickBot="1" x14ac:dyDescent="0.4">
      <c r="A3" s="242" t="s">
        <v>317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วิทยาศาสตร์และเทคโนโลยี  (ว16101)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วิทยาศาสตร์และเทคโนโลยี  (ว16101)</v>
      </c>
      <c r="AF3" s="246"/>
      <c r="AG3" s="246"/>
      <c r="AH3" s="246"/>
      <c r="AI3" s="246"/>
      <c r="AJ3" s="246"/>
      <c r="AK3" s="246"/>
      <c r="AL3" s="246"/>
      <c r="AM3" s="258" t="s">
        <v>368</v>
      </c>
      <c r="AN3" s="259"/>
      <c r="AO3" s="259"/>
      <c r="AP3" s="259"/>
      <c r="AQ3" s="259"/>
      <c r="AR3" s="259"/>
      <c r="AS3" s="259"/>
      <c r="AT3" s="259"/>
      <c r="AU3" s="260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51" t="s">
        <v>22</v>
      </c>
      <c r="AM4" s="144">
        <v>1</v>
      </c>
      <c r="AN4" s="254" t="s">
        <v>369</v>
      </c>
      <c r="AO4" s="254"/>
      <c r="AP4" s="254"/>
      <c r="AQ4" s="254"/>
      <c r="AR4" s="254"/>
      <c r="AS4" s="254"/>
      <c r="AT4" s="254"/>
      <c r="AU4" s="142" t="s">
        <v>370</v>
      </c>
    </row>
    <row r="5" spans="1:47" s="24" customFormat="1" ht="14.25" customHeight="1" x14ac:dyDescent="0.35">
      <c r="A5" s="236"/>
      <c r="B5" s="25" t="s">
        <v>247</v>
      </c>
      <c r="C5" s="112" t="s">
        <v>225</v>
      </c>
      <c r="D5" s="112" t="s">
        <v>226</v>
      </c>
      <c r="E5" s="112" t="s">
        <v>227</v>
      </c>
      <c r="F5" s="112" t="s">
        <v>228</v>
      </c>
      <c r="G5" s="112" t="s">
        <v>259</v>
      </c>
      <c r="H5" s="112" t="s">
        <v>260</v>
      </c>
      <c r="I5" s="112"/>
      <c r="J5" s="112"/>
      <c r="K5" s="112"/>
      <c r="L5" s="112"/>
      <c r="M5" s="17" t="s">
        <v>17</v>
      </c>
      <c r="N5" s="237"/>
      <c r="O5" s="237"/>
      <c r="P5" s="236"/>
      <c r="Q5" s="25" t="s">
        <v>247</v>
      </c>
      <c r="R5" s="112" t="s">
        <v>228</v>
      </c>
      <c r="S5" s="112" t="s">
        <v>259</v>
      </c>
      <c r="T5" s="112" t="s">
        <v>260</v>
      </c>
      <c r="U5" s="112"/>
      <c r="V5" s="15"/>
      <c r="W5" s="15"/>
      <c r="X5" s="15"/>
      <c r="Y5" s="15"/>
      <c r="Z5" s="15"/>
      <c r="AA5" s="15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52"/>
      <c r="AM5" s="145">
        <v>2</v>
      </c>
      <c r="AN5" s="249" t="s">
        <v>371</v>
      </c>
      <c r="AO5" s="249"/>
      <c r="AP5" s="249"/>
      <c r="AQ5" s="249"/>
      <c r="AR5" s="249"/>
      <c r="AS5" s="249"/>
      <c r="AT5" s="249"/>
      <c r="AU5" s="115" t="s">
        <v>372</v>
      </c>
    </row>
    <row r="6" spans="1:47" ht="18.75" customHeight="1" x14ac:dyDescent="0.35">
      <c r="A6" s="237"/>
      <c r="B6" s="14" t="s">
        <v>16</v>
      </c>
      <c r="C6" s="15">
        <v>10</v>
      </c>
      <c r="D6" s="15">
        <v>10</v>
      </c>
      <c r="E6" s="15">
        <v>10</v>
      </c>
      <c r="F6" s="15"/>
      <c r="G6" s="15"/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10</v>
      </c>
      <c r="S6" s="15">
        <v>10</v>
      </c>
      <c r="T6" s="15">
        <v>10</v>
      </c>
      <c r="U6" s="15"/>
      <c r="V6" s="15"/>
      <c r="W6" s="15"/>
      <c r="X6" s="15"/>
      <c r="Y6" s="15"/>
      <c r="Z6" s="15"/>
      <c r="AA6" s="15"/>
      <c r="AB6" s="17"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53"/>
      <c r="AM6" s="145">
        <v>3</v>
      </c>
      <c r="AN6" s="249" t="s">
        <v>373</v>
      </c>
      <c r="AO6" s="249"/>
      <c r="AP6" s="249"/>
      <c r="AQ6" s="249"/>
      <c r="AR6" s="249"/>
      <c r="AS6" s="249"/>
      <c r="AT6" s="249"/>
      <c r="AU6" s="115" t="s">
        <v>374</v>
      </c>
    </row>
    <row r="7" spans="1:47" ht="24" x14ac:dyDescent="0.4">
      <c r="A7" s="5">
        <v>1</v>
      </c>
      <c r="B7" s="19" t="str">
        <f>'เวลาเรียน4-16'!B6</f>
        <v>เด็กชายกฤษดา  บัวศรี</v>
      </c>
      <c r="C7" s="5">
        <v>8</v>
      </c>
      <c r="D7" s="5">
        <v>9</v>
      </c>
      <c r="E7" s="5">
        <v>8</v>
      </c>
      <c r="F7" s="5"/>
      <c r="G7" s="5"/>
      <c r="H7" s="5"/>
      <c r="I7" s="5"/>
      <c r="J7" s="5"/>
      <c r="K7" s="5"/>
      <c r="L7" s="5"/>
      <c r="M7" s="12">
        <f t="shared" ref="M7:M19" si="0">SUM(C7:L7)</f>
        <v>25</v>
      </c>
      <c r="N7" s="5">
        <v>12</v>
      </c>
      <c r="O7" s="11">
        <f t="shared" ref="O7:O19" si="1">SUM(M7:N7)</f>
        <v>37</v>
      </c>
      <c r="P7" s="5">
        <v>1</v>
      </c>
      <c r="Q7" s="19" t="str">
        <f t="shared" ref="Q7:Q19" si="2">B7</f>
        <v>เด็กชายกฤษดา  บัวศรี</v>
      </c>
      <c r="R7" s="5">
        <v>6</v>
      </c>
      <c r="S7" s="5">
        <v>7</v>
      </c>
      <c r="T7" s="5">
        <v>8</v>
      </c>
      <c r="U7" s="5"/>
      <c r="V7" s="5"/>
      <c r="W7" s="5"/>
      <c r="X7" s="5"/>
      <c r="Y7" s="5"/>
      <c r="Z7" s="5"/>
      <c r="AA7" s="5"/>
      <c r="AB7" s="12">
        <f t="shared" ref="AB7:AB19" si="3">SUM(R7:AA7)</f>
        <v>21</v>
      </c>
      <c r="AC7" s="5">
        <v>13</v>
      </c>
      <c r="AD7" s="11">
        <f t="shared" ref="AD7:AD19" si="4">SUM(AB7:AC7)</f>
        <v>34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37</v>
      </c>
      <c r="AH7" s="22">
        <f t="shared" ref="AH7:AH19" si="6">AD7</f>
        <v>34</v>
      </c>
      <c r="AI7" s="22">
        <f>SUM(AG7:AH7)</f>
        <v>71</v>
      </c>
      <c r="AJ7" s="22">
        <f>IF(AI7&gt;79,4,IF(AI7&gt;74,3.5,IF(AI7&gt;69,3,IF(AI7&gt;64,2.5,IF(AI7&gt;59,2,IF(AI7&gt;54,1.5,IF(AI7&gt;49,1,IF(AI7&lt;50,0))))))))</f>
        <v>3</v>
      </c>
      <c r="AK7" s="13"/>
      <c r="AL7" s="13"/>
      <c r="AM7" s="145"/>
      <c r="AN7" s="249" t="s">
        <v>375</v>
      </c>
      <c r="AO7" s="249"/>
      <c r="AP7" s="249"/>
      <c r="AQ7" s="249"/>
      <c r="AR7" s="249"/>
      <c r="AS7" s="249"/>
      <c r="AT7" s="249"/>
      <c r="AU7" s="115"/>
    </row>
    <row r="8" spans="1:47" ht="21" customHeight="1" x14ac:dyDescent="0.4">
      <c r="A8" s="5">
        <v>2</v>
      </c>
      <c r="B8" s="19" t="str">
        <f>'เวลาเรียน4-16'!B7</f>
        <v>เด็กชายจิรายุ  ดอบุตร</v>
      </c>
      <c r="C8" s="5">
        <v>8</v>
      </c>
      <c r="D8" s="5">
        <v>9</v>
      </c>
      <c r="E8" s="5">
        <v>8</v>
      </c>
      <c r="F8" s="5"/>
      <c r="G8" s="5"/>
      <c r="H8" s="5"/>
      <c r="I8" s="5"/>
      <c r="J8" s="5"/>
      <c r="K8" s="5"/>
      <c r="L8" s="5"/>
      <c r="M8" s="12">
        <f t="shared" si="0"/>
        <v>25</v>
      </c>
      <c r="N8" s="5">
        <v>8</v>
      </c>
      <c r="O8" s="11">
        <f t="shared" si="1"/>
        <v>33</v>
      </c>
      <c r="P8" s="5">
        <v>2</v>
      </c>
      <c r="Q8" s="19" t="str">
        <f t="shared" si="2"/>
        <v>เด็กชายจิรายุ  ดอบุตร</v>
      </c>
      <c r="R8" s="5">
        <v>9</v>
      </c>
      <c r="S8" s="5">
        <v>9</v>
      </c>
      <c r="T8" s="5">
        <v>8</v>
      </c>
      <c r="U8" s="5"/>
      <c r="V8" s="5"/>
      <c r="W8" s="5"/>
      <c r="X8" s="5"/>
      <c r="Y8" s="5"/>
      <c r="Z8" s="5"/>
      <c r="AA8" s="5"/>
      <c r="AB8" s="12">
        <f t="shared" si="3"/>
        <v>26</v>
      </c>
      <c r="AC8" s="5">
        <v>12</v>
      </c>
      <c r="AD8" s="11">
        <f t="shared" si="4"/>
        <v>38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33</v>
      </c>
      <c r="AH8" s="22">
        <f t="shared" si="6"/>
        <v>38</v>
      </c>
      <c r="AI8" s="22">
        <f t="shared" ref="AI8:AI19" si="7">SUM(AG8:AH8)</f>
        <v>71</v>
      </c>
      <c r="AJ8" s="22">
        <f t="shared" ref="AJ8:AJ19" si="8">IF(AI8&gt;79,4,IF(AI8&gt;74,3.5,IF(AI8&gt;69,3,IF(AI8&gt;64,2.5,IF(AI8&gt;59,2,IF(AI8&gt;54,1.5,IF(AI8&gt;49,1,IF(AI8&lt;50,0))))))))</f>
        <v>3</v>
      </c>
      <c r="AK8" s="13"/>
      <c r="AL8" s="13"/>
      <c r="AM8" s="145">
        <v>4</v>
      </c>
      <c r="AN8" s="249" t="s">
        <v>376</v>
      </c>
      <c r="AO8" s="249"/>
      <c r="AP8" s="249"/>
      <c r="AQ8" s="249"/>
      <c r="AR8" s="249"/>
      <c r="AS8" s="249"/>
      <c r="AT8" s="249"/>
      <c r="AU8" s="115" t="s">
        <v>377</v>
      </c>
    </row>
    <row r="9" spans="1:47" ht="24" x14ac:dyDescent="0.4">
      <c r="A9" s="5">
        <v>3</v>
      </c>
      <c r="B9" s="19" t="str">
        <f>'เวลาเรียน4-16'!B8</f>
        <v>เด็กชายจิรายุ  เนตรสว่าง</v>
      </c>
      <c r="C9" s="5">
        <v>7</v>
      </c>
      <c r="D9" s="5">
        <v>9</v>
      </c>
      <c r="E9" s="5">
        <v>8</v>
      </c>
      <c r="F9" s="5"/>
      <c r="G9" s="5"/>
      <c r="H9" s="5"/>
      <c r="I9" s="5"/>
      <c r="J9" s="5"/>
      <c r="K9" s="5"/>
      <c r="L9" s="5"/>
      <c r="M9" s="12">
        <f t="shared" si="0"/>
        <v>24</v>
      </c>
      <c r="N9" s="5">
        <v>13</v>
      </c>
      <c r="O9" s="11">
        <f t="shared" si="1"/>
        <v>37</v>
      </c>
      <c r="P9" s="5">
        <v>3</v>
      </c>
      <c r="Q9" s="19" t="str">
        <f t="shared" si="2"/>
        <v>เด็กชายจิรายุ  เนตรสว่าง</v>
      </c>
      <c r="R9" s="5">
        <v>6</v>
      </c>
      <c r="S9" s="5">
        <v>7</v>
      </c>
      <c r="T9" s="5">
        <v>8</v>
      </c>
      <c r="U9" s="5"/>
      <c r="V9" s="5"/>
      <c r="W9" s="5"/>
      <c r="X9" s="5"/>
      <c r="Y9" s="5"/>
      <c r="Z9" s="5"/>
      <c r="AA9" s="5"/>
      <c r="AB9" s="12">
        <f t="shared" si="3"/>
        <v>21</v>
      </c>
      <c r="AC9" s="5">
        <v>14</v>
      </c>
      <c r="AD9" s="11">
        <f t="shared" si="4"/>
        <v>35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37</v>
      </c>
      <c r="AH9" s="22">
        <f t="shared" si="6"/>
        <v>35</v>
      </c>
      <c r="AI9" s="22">
        <f t="shared" si="7"/>
        <v>72</v>
      </c>
      <c r="AJ9" s="22">
        <f t="shared" si="8"/>
        <v>3</v>
      </c>
      <c r="AK9" s="13"/>
      <c r="AL9" s="13"/>
      <c r="AM9" s="145">
        <v>5</v>
      </c>
      <c r="AN9" s="249" t="s">
        <v>378</v>
      </c>
      <c r="AO9" s="249"/>
      <c r="AP9" s="249"/>
      <c r="AQ9" s="249"/>
      <c r="AR9" s="249"/>
      <c r="AS9" s="249"/>
      <c r="AT9" s="249"/>
      <c r="AU9" s="115" t="s">
        <v>379</v>
      </c>
    </row>
    <row r="10" spans="1:47" ht="24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>
        <v>8</v>
      </c>
      <c r="D10" s="5">
        <v>8</v>
      </c>
      <c r="E10" s="5">
        <v>8</v>
      </c>
      <c r="F10" s="5"/>
      <c r="G10" s="5"/>
      <c r="H10" s="5"/>
      <c r="I10" s="5"/>
      <c r="J10" s="5"/>
      <c r="K10" s="5"/>
      <c r="L10" s="5"/>
      <c r="M10" s="12">
        <f t="shared" si="0"/>
        <v>24</v>
      </c>
      <c r="N10" s="5">
        <v>10</v>
      </c>
      <c r="O10" s="11">
        <f t="shared" si="1"/>
        <v>34</v>
      </c>
      <c r="P10" s="5">
        <v>4</v>
      </c>
      <c r="Q10" s="19" t="str">
        <f t="shared" si="2"/>
        <v>เด็กชายจีรภัทร  คันธมาตย์</v>
      </c>
      <c r="R10" s="5">
        <v>8</v>
      </c>
      <c r="S10" s="5">
        <v>8</v>
      </c>
      <c r="T10" s="5">
        <v>8</v>
      </c>
      <c r="U10" s="5"/>
      <c r="V10" s="5"/>
      <c r="W10" s="5"/>
      <c r="X10" s="5"/>
      <c r="Y10" s="5"/>
      <c r="Z10" s="5"/>
      <c r="AA10" s="5"/>
      <c r="AB10" s="12">
        <f t="shared" si="3"/>
        <v>24</v>
      </c>
      <c r="AC10" s="5">
        <v>12</v>
      </c>
      <c r="AD10" s="11">
        <f t="shared" si="4"/>
        <v>36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34</v>
      </c>
      <c r="AH10" s="22">
        <f t="shared" si="6"/>
        <v>36</v>
      </c>
      <c r="AI10" s="22">
        <f t="shared" si="7"/>
        <v>70</v>
      </c>
      <c r="AJ10" s="22">
        <f t="shared" si="8"/>
        <v>3</v>
      </c>
      <c r="AK10" s="13"/>
      <c r="AL10" s="13"/>
      <c r="AM10" s="145">
        <v>6</v>
      </c>
      <c r="AN10" s="249" t="s">
        <v>380</v>
      </c>
      <c r="AO10" s="249"/>
      <c r="AP10" s="249"/>
      <c r="AQ10" s="249"/>
      <c r="AR10" s="249"/>
      <c r="AS10" s="249"/>
      <c r="AT10" s="249"/>
      <c r="AU10" s="115" t="s">
        <v>381</v>
      </c>
    </row>
    <row r="11" spans="1:47" ht="24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>
        <v>6</v>
      </c>
      <c r="D11" s="5">
        <v>9</v>
      </c>
      <c r="E11" s="5">
        <v>7</v>
      </c>
      <c r="F11" s="5"/>
      <c r="G11" s="5"/>
      <c r="H11" s="5"/>
      <c r="I11" s="5"/>
      <c r="J11" s="5"/>
      <c r="K11" s="5"/>
      <c r="L11" s="5"/>
      <c r="M11" s="12">
        <f t="shared" si="0"/>
        <v>22</v>
      </c>
      <c r="N11" s="5">
        <v>11</v>
      </c>
      <c r="O11" s="11">
        <f t="shared" si="1"/>
        <v>33</v>
      </c>
      <c r="P11" s="5">
        <v>5</v>
      </c>
      <c r="Q11" s="19" t="str">
        <f t="shared" si="2"/>
        <v>เด็กชายปรวัฒน์  โพธิ์ศรี</v>
      </c>
      <c r="R11" s="5">
        <v>8</v>
      </c>
      <c r="S11" s="5">
        <v>8</v>
      </c>
      <c r="T11" s="5">
        <v>8</v>
      </c>
      <c r="U11" s="5"/>
      <c r="V11" s="5"/>
      <c r="W11" s="5"/>
      <c r="X11" s="5"/>
      <c r="Y11" s="5"/>
      <c r="Z11" s="5"/>
      <c r="AA11" s="5"/>
      <c r="AB11" s="12">
        <f t="shared" si="3"/>
        <v>24</v>
      </c>
      <c r="AC11" s="5">
        <v>12</v>
      </c>
      <c r="AD11" s="11">
        <f t="shared" si="4"/>
        <v>36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33</v>
      </c>
      <c r="AH11" s="22">
        <f t="shared" si="6"/>
        <v>36</v>
      </c>
      <c r="AI11" s="22">
        <f t="shared" si="7"/>
        <v>69</v>
      </c>
      <c r="AJ11" s="22">
        <f t="shared" si="8"/>
        <v>2.5</v>
      </c>
      <c r="AK11" s="13"/>
      <c r="AL11" s="13"/>
      <c r="AM11" s="145"/>
      <c r="AN11" s="249" t="s">
        <v>382</v>
      </c>
      <c r="AO11" s="249"/>
      <c r="AP11" s="249"/>
      <c r="AQ11" s="249"/>
      <c r="AR11" s="249"/>
      <c r="AS11" s="249"/>
      <c r="AT11" s="249"/>
      <c r="AU11" s="115"/>
    </row>
    <row r="12" spans="1:47" ht="24" x14ac:dyDescent="0.4">
      <c r="A12" s="5">
        <v>6</v>
      </c>
      <c r="B12" s="19" t="str">
        <f>'เวลาเรียน4-16'!B11</f>
        <v>เด็กชายพีรภาพ  วงคำใหญ่</v>
      </c>
      <c r="C12" s="5">
        <v>8</v>
      </c>
      <c r="D12" s="5">
        <v>9</v>
      </c>
      <c r="E12" s="5">
        <v>8</v>
      </c>
      <c r="F12" s="5"/>
      <c r="G12" s="5"/>
      <c r="H12" s="5"/>
      <c r="I12" s="5"/>
      <c r="J12" s="5"/>
      <c r="K12" s="5"/>
      <c r="L12" s="5"/>
      <c r="M12" s="12">
        <f t="shared" si="0"/>
        <v>25</v>
      </c>
      <c r="N12" s="5">
        <v>18</v>
      </c>
      <c r="O12" s="11">
        <f t="shared" si="1"/>
        <v>43</v>
      </c>
      <c r="P12" s="5">
        <v>6</v>
      </c>
      <c r="Q12" s="19" t="str">
        <f t="shared" si="2"/>
        <v>เด็กชายพีรภาพ  วงคำใหญ่</v>
      </c>
      <c r="R12" s="5">
        <v>8</v>
      </c>
      <c r="S12" s="5">
        <v>8</v>
      </c>
      <c r="T12" s="5">
        <v>8</v>
      </c>
      <c r="U12" s="5"/>
      <c r="V12" s="5"/>
      <c r="W12" s="5"/>
      <c r="X12" s="5"/>
      <c r="Y12" s="5"/>
      <c r="Z12" s="5"/>
      <c r="AA12" s="5"/>
      <c r="AB12" s="12">
        <f t="shared" si="3"/>
        <v>24</v>
      </c>
      <c r="AC12" s="5">
        <v>20</v>
      </c>
      <c r="AD12" s="11">
        <f t="shared" si="4"/>
        <v>44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43</v>
      </c>
      <c r="AH12" s="22">
        <f t="shared" si="6"/>
        <v>44</v>
      </c>
      <c r="AI12" s="22">
        <f t="shared" si="7"/>
        <v>87</v>
      </c>
      <c r="AJ12" s="22">
        <f t="shared" si="8"/>
        <v>4</v>
      </c>
      <c r="AK12" s="13"/>
      <c r="AL12" s="13"/>
      <c r="AM12" s="145">
        <v>7</v>
      </c>
      <c r="AN12" s="249" t="s">
        <v>383</v>
      </c>
      <c r="AO12" s="249"/>
      <c r="AP12" s="249"/>
      <c r="AQ12" s="249"/>
      <c r="AR12" s="249"/>
      <c r="AS12" s="249"/>
      <c r="AT12" s="249"/>
      <c r="AU12" s="115" t="s">
        <v>384</v>
      </c>
    </row>
    <row r="13" spans="1:47" ht="24" x14ac:dyDescent="0.4">
      <c r="A13" s="5">
        <v>7</v>
      </c>
      <c r="B13" s="19" t="str">
        <f>'เวลาเรียน4-16'!B12</f>
        <v>เด็กหญิงกมลรัตน์  แสดคง</v>
      </c>
      <c r="C13" s="5">
        <v>7</v>
      </c>
      <c r="D13" s="5">
        <v>9</v>
      </c>
      <c r="E13" s="5">
        <v>9</v>
      </c>
      <c r="F13" s="5"/>
      <c r="G13" s="5"/>
      <c r="H13" s="5"/>
      <c r="I13" s="5"/>
      <c r="J13" s="5"/>
      <c r="K13" s="5"/>
      <c r="L13" s="5"/>
      <c r="M13" s="12">
        <f t="shared" si="0"/>
        <v>25</v>
      </c>
      <c r="N13" s="5">
        <v>15</v>
      </c>
      <c r="O13" s="11">
        <f t="shared" si="1"/>
        <v>40</v>
      </c>
      <c r="P13" s="5">
        <v>7</v>
      </c>
      <c r="Q13" s="19" t="str">
        <f t="shared" si="2"/>
        <v>เด็กหญิงกมลรัตน์  แสดคง</v>
      </c>
      <c r="R13" s="5">
        <v>8</v>
      </c>
      <c r="S13" s="5">
        <v>9</v>
      </c>
      <c r="T13" s="5">
        <v>8</v>
      </c>
      <c r="U13" s="5"/>
      <c r="V13" s="5"/>
      <c r="W13" s="5"/>
      <c r="X13" s="5"/>
      <c r="Y13" s="5"/>
      <c r="Z13" s="5"/>
      <c r="AA13" s="5"/>
      <c r="AB13" s="12">
        <f t="shared" si="3"/>
        <v>25</v>
      </c>
      <c r="AC13" s="5">
        <v>18</v>
      </c>
      <c r="AD13" s="11">
        <f t="shared" si="4"/>
        <v>43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40</v>
      </c>
      <c r="AH13" s="22">
        <f t="shared" si="6"/>
        <v>43</v>
      </c>
      <c r="AI13" s="22">
        <f t="shared" si="7"/>
        <v>83</v>
      </c>
      <c r="AJ13" s="22">
        <f t="shared" si="8"/>
        <v>4</v>
      </c>
      <c r="AK13" s="13"/>
      <c r="AL13" s="13"/>
      <c r="AM13" s="145">
        <v>8</v>
      </c>
      <c r="AN13" s="249" t="s">
        <v>385</v>
      </c>
      <c r="AO13" s="249"/>
      <c r="AP13" s="249"/>
      <c r="AQ13" s="249"/>
      <c r="AR13" s="249"/>
      <c r="AS13" s="249"/>
      <c r="AT13" s="249"/>
      <c r="AU13" s="115" t="s">
        <v>386</v>
      </c>
    </row>
    <row r="14" spans="1:47" ht="24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>
        <v>8</v>
      </c>
      <c r="D14" s="5">
        <v>9</v>
      </c>
      <c r="E14" s="5">
        <v>9</v>
      </c>
      <c r="F14" s="5"/>
      <c r="G14" s="5"/>
      <c r="H14" s="5"/>
      <c r="I14" s="5"/>
      <c r="J14" s="5"/>
      <c r="K14" s="5"/>
      <c r="L14" s="5"/>
      <c r="M14" s="12">
        <f t="shared" si="0"/>
        <v>26</v>
      </c>
      <c r="N14" s="5">
        <v>18</v>
      </c>
      <c r="O14" s="11">
        <f t="shared" si="1"/>
        <v>44</v>
      </c>
      <c r="P14" s="5">
        <v>8</v>
      </c>
      <c r="Q14" s="19" t="str">
        <f t="shared" si="2"/>
        <v>เด็กหญิงกัลยรัตน์  ทึงสุข</v>
      </c>
      <c r="R14" s="5">
        <v>8</v>
      </c>
      <c r="S14" s="5">
        <v>9</v>
      </c>
      <c r="T14" s="5">
        <v>8</v>
      </c>
      <c r="U14" s="5"/>
      <c r="V14" s="5"/>
      <c r="W14" s="5"/>
      <c r="X14" s="5"/>
      <c r="Y14" s="5"/>
      <c r="Z14" s="5"/>
      <c r="AA14" s="5"/>
      <c r="AB14" s="12">
        <f t="shared" si="3"/>
        <v>25</v>
      </c>
      <c r="AC14" s="5">
        <v>20</v>
      </c>
      <c r="AD14" s="11">
        <f t="shared" si="4"/>
        <v>45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44</v>
      </c>
      <c r="AH14" s="22">
        <f t="shared" si="6"/>
        <v>45</v>
      </c>
      <c r="AI14" s="22">
        <f t="shared" si="7"/>
        <v>89</v>
      </c>
      <c r="AJ14" s="22">
        <f t="shared" si="8"/>
        <v>4</v>
      </c>
      <c r="AK14" s="13"/>
      <c r="AL14" s="13"/>
      <c r="AM14" s="145">
        <v>9</v>
      </c>
      <c r="AN14" s="249" t="s">
        <v>387</v>
      </c>
      <c r="AO14" s="249"/>
      <c r="AP14" s="249"/>
      <c r="AQ14" s="249"/>
      <c r="AR14" s="249"/>
      <c r="AS14" s="249"/>
      <c r="AT14" s="249"/>
      <c r="AU14" s="115" t="s">
        <v>388</v>
      </c>
    </row>
    <row r="15" spans="1:47" ht="24" x14ac:dyDescent="0.4">
      <c r="A15" s="5">
        <v>9</v>
      </c>
      <c r="B15" s="19" t="str">
        <f>'เวลาเรียน4-16'!B14</f>
        <v>เด็กหญิงนิตยา  พละโท</v>
      </c>
      <c r="C15" s="5">
        <v>8</v>
      </c>
      <c r="D15" s="5">
        <v>9</v>
      </c>
      <c r="E15" s="5">
        <v>9</v>
      </c>
      <c r="F15" s="5"/>
      <c r="G15" s="5"/>
      <c r="H15" s="5"/>
      <c r="I15" s="5"/>
      <c r="J15" s="5"/>
      <c r="K15" s="5"/>
      <c r="L15" s="5"/>
      <c r="M15" s="12">
        <f t="shared" si="0"/>
        <v>26</v>
      </c>
      <c r="N15" s="5">
        <v>16</v>
      </c>
      <c r="O15" s="11">
        <f t="shared" si="1"/>
        <v>42</v>
      </c>
      <c r="P15" s="5">
        <v>9</v>
      </c>
      <c r="Q15" s="19" t="str">
        <f t="shared" si="2"/>
        <v>เด็กหญิงนิตยา  พละโท</v>
      </c>
      <c r="R15" s="5">
        <v>8</v>
      </c>
      <c r="S15" s="5">
        <v>9</v>
      </c>
      <c r="T15" s="5">
        <v>9</v>
      </c>
      <c r="U15" s="5"/>
      <c r="V15" s="5"/>
      <c r="W15" s="5"/>
      <c r="X15" s="5"/>
      <c r="Y15" s="5"/>
      <c r="Z15" s="5"/>
      <c r="AA15" s="5"/>
      <c r="AB15" s="12">
        <f t="shared" si="3"/>
        <v>26</v>
      </c>
      <c r="AC15" s="5">
        <v>18</v>
      </c>
      <c r="AD15" s="11">
        <f t="shared" si="4"/>
        <v>44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42</v>
      </c>
      <c r="AH15" s="22">
        <f t="shared" si="6"/>
        <v>44</v>
      </c>
      <c r="AI15" s="22">
        <f t="shared" si="7"/>
        <v>86</v>
      </c>
      <c r="AJ15" s="22">
        <f t="shared" si="8"/>
        <v>4</v>
      </c>
      <c r="AK15" s="13"/>
      <c r="AL15" s="13"/>
      <c r="AM15" s="145">
        <v>10</v>
      </c>
      <c r="AN15" s="249" t="s">
        <v>389</v>
      </c>
      <c r="AO15" s="249"/>
      <c r="AP15" s="249"/>
      <c r="AQ15" s="249"/>
      <c r="AR15" s="249"/>
      <c r="AS15" s="249"/>
      <c r="AT15" s="249"/>
      <c r="AU15" s="115" t="s">
        <v>390</v>
      </c>
    </row>
    <row r="16" spans="1:47" ht="24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>
        <v>7</v>
      </c>
      <c r="D16" s="5">
        <v>9</v>
      </c>
      <c r="E16" s="5">
        <v>9</v>
      </c>
      <c r="F16" s="5"/>
      <c r="G16" s="5"/>
      <c r="H16" s="5"/>
      <c r="I16" s="5"/>
      <c r="J16" s="5"/>
      <c r="K16" s="5"/>
      <c r="L16" s="5"/>
      <c r="M16" s="12">
        <f t="shared" si="0"/>
        <v>25</v>
      </c>
      <c r="N16" s="5">
        <v>13</v>
      </c>
      <c r="O16" s="11">
        <f t="shared" si="1"/>
        <v>38</v>
      </c>
      <c r="P16" s="5">
        <v>10</v>
      </c>
      <c r="Q16" s="19" t="str">
        <f t="shared" si="2"/>
        <v>เด็กหญิงบัณฑิตา  เบ้าพงษ์</v>
      </c>
      <c r="R16" s="5">
        <v>7</v>
      </c>
      <c r="S16" s="5">
        <v>9</v>
      </c>
      <c r="T16" s="5">
        <v>8</v>
      </c>
      <c r="U16" s="5"/>
      <c r="V16" s="5"/>
      <c r="W16" s="5"/>
      <c r="X16" s="5"/>
      <c r="Y16" s="5"/>
      <c r="Z16" s="5"/>
      <c r="AA16" s="5"/>
      <c r="AB16" s="12">
        <f t="shared" si="3"/>
        <v>24</v>
      </c>
      <c r="AC16" s="5">
        <v>15</v>
      </c>
      <c r="AD16" s="11">
        <f t="shared" si="4"/>
        <v>39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38</v>
      </c>
      <c r="AH16" s="22">
        <f t="shared" si="6"/>
        <v>39</v>
      </c>
      <c r="AI16" s="22">
        <f t="shared" si="7"/>
        <v>77</v>
      </c>
      <c r="AJ16" s="22">
        <f t="shared" si="8"/>
        <v>3.5</v>
      </c>
      <c r="AK16" s="13"/>
      <c r="AL16" s="13"/>
      <c r="AM16" s="145">
        <v>11</v>
      </c>
      <c r="AN16" s="249" t="s">
        <v>391</v>
      </c>
      <c r="AO16" s="249"/>
      <c r="AP16" s="249"/>
      <c r="AQ16" s="249"/>
      <c r="AR16" s="249"/>
      <c r="AS16" s="249"/>
      <c r="AT16" s="249"/>
      <c r="AU16" s="115" t="s">
        <v>392</v>
      </c>
    </row>
    <row r="17" spans="1:47" ht="24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>
        <v>8</v>
      </c>
      <c r="D17" s="5">
        <v>9</v>
      </c>
      <c r="E17" s="5">
        <v>9</v>
      </c>
      <c r="F17" s="5"/>
      <c r="G17" s="5"/>
      <c r="H17" s="5"/>
      <c r="I17" s="5"/>
      <c r="J17" s="5"/>
      <c r="K17" s="5"/>
      <c r="L17" s="5"/>
      <c r="M17" s="12">
        <f t="shared" si="0"/>
        <v>26</v>
      </c>
      <c r="N17" s="5">
        <v>14</v>
      </c>
      <c r="O17" s="11">
        <f t="shared" si="1"/>
        <v>40</v>
      </c>
      <c r="P17" s="5">
        <v>11</v>
      </c>
      <c r="Q17" s="19" t="str">
        <f t="shared" si="2"/>
        <v>เด็กหญิงพัชรกัญญ์  บาลนาคม</v>
      </c>
      <c r="R17" s="5">
        <v>8</v>
      </c>
      <c r="S17" s="5">
        <v>9</v>
      </c>
      <c r="T17" s="5">
        <v>8</v>
      </c>
      <c r="U17" s="5"/>
      <c r="V17" s="5"/>
      <c r="W17" s="5"/>
      <c r="X17" s="5"/>
      <c r="Y17" s="5"/>
      <c r="Z17" s="5"/>
      <c r="AA17" s="5"/>
      <c r="AB17" s="12">
        <f t="shared" si="3"/>
        <v>25</v>
      </c>
      <c r="AC17" s="5">
        <v>15</v>
      </c>
      <c r="AD17" s="11">
        <f t="shared" si="4"/>
        <v>40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40</v>
      </c>
      <c r="AH17" s="22">
        <f t="shared" si="6"/>
        <v>40</v>
      </c>
      <c r="AI17" s="22">
        <f t="shared" si="7"/>
        <v>80</v>
      </c>
      <c r="AJ17" s="22">
        <f t="shared" si="8"/>
        <v>4</v>
      </c>
      <c r="AK17" s="13"/>
      <c r="AL17" s="13"/>
      <c r="AM17" s="145">
        <v>12</v>
      </c>
      <c r="AN17" s="249" t="s">
        <v>393</v>
      </c>
      <c r="AO17" s="249"/>
      <c r="AP17" s="249"/>
      <c r="AQ17" s="249"/>
      <c r="AR17" s="249"/>
      <c r="AS17" s="249"/>
      <c r="AT17" s="249"/>
      <c r="AU17" s="115" t="s">
        <v>394</v>
      </c>
    </row>
    <row r="18" spans="1:47" ht="24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>
        <v>6</v>
      </c>
      <c r="D18" s="5">
        <v>9</v>
      </c>
      <c r="E18" s="5">
        <v>8</v>
      </c>
      <c r="F18" s="5"/>
      <c r="G18" s="5"/>
      <c r="H18" s="5"/>
      <c r="I18" s="5"/>
      <c r="J18" s="5"/>
      <c r="K18" s="5"/>
      <c r="L18" s="5"/>
      <c r="M18" s="12">
        <f t="shared" si="0"/>
        <v>23</v>
      </c>
      <c r="N18" s="5">
        <v>10</v>
      </c>
      <c r="O18" s="11">
        <f t="shared" si="1"/>
        <v>33</v>
      </c>
      <c r="P18" s="5">
        <v>12</v>
      </c>
      <c r="Q18" s="19" t="str">
        <f t="shared" si="2"/>
        <v>เด็กหญิงสุวิชาดา  ชูจิตร</v>
      </c>
      <c r="R18" s="5">
        <v>8</v>
      </c>
      <c r="S18" s="5">
        <v>8</v>
      </c>
      <c r="T18" s="5">
        <v>8</v>
      </c>
      <c r="U18" s="5"/>
      <c r="V18" s="5"/>
      <c r="W18" s="5"/>
      <c r="X18" s="5"/>
      <c r="Y18" s="5"/>
      <c r="Z18" s="5"/>
      <c r="AA18" s="5"/>
      <c r="AB18" s="12">
        <f t="shared" si="3"/>
        <v>24</v>
      </c>
      <c r="AC18" s="5">
        <v>13</v>
      </c>
      <c r="AD18" s="11">
        <f t="shared" si="4"/>
        <v>37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33</v>
      </c>
      <c r="AH18" s="22">
        <f t="shared" si="6"/>
        <v>37</v>
      </c>
      <c r="AI18" s="22">
        <f t="shared" si="7"/>
        <v>70</v>
      </c>
      <c r="AJ18" s="22">
        <f t="shared" si="8"/>
        <v>3</v>
      </c>
      <c r="AK18" s="13"/>
      <c r="AL18" s="13"/>
      <c r="AM18" s="145">
        <v>13</v>
      </c>
      <c r="AN18" s="249" t="s">
        <v>395</v>
      </c>
      <c r="AO18" s="249"/>
      <c r="AP18" s="249"/>
      <c r="AQ18" s="249"/>
      <c r="AR18" s="249"/>
      <c r="AS18" s="249"/>
      <c r="AT18" s="249"/>
      <c r="AU18" s="115" t="s">
        <v>396</v>
      </c>
    </row>
    <row r="19" spans="1:47" ht="24" x14ac:dyDescent="0.4">
      <c r="A19" s="5">
        <v>13</v>
      </c>
      <c r="B19" s="19" t="str">
        <f>'เวลาเรียน4-16'!B18</f>
        <v>เด็กหญิงปุญญิศา  อุปทุม</v>
      </c>
      <c r="C19" s="5">
        <v>8</v>
      </c>
      <c r="D19" s="5">
        <v>9</v>
      </c>
      <c r="E19" s="5">
        <v>9</v>
      </c>
      <c r="F19" s="5"/>
      <c r="G19" s="5"/>
      <c r="H19" s="5"/>
      <c r="I19" s="5"/>
      <c r="J19" s="5"/>
      <c r="K19" s="5"/>
      <c r="L19" s="5"/>
      <c r="M19" s="12">
        <f t="shared" si="0"/>
        <v>26</v>
      </c>
      <c r="N19" s="5">
        <v>18</v>
      </c>
      <c r="O19" s="11">
        <f t="shared" si="1"/>
        <v>44</v>
      </c>
      <c r="P19" s="5">
        <v>13</v>
      </c>
      <c r="Q19" s="19" t="str">
        <f t="shared" si="2"/>
        <v>เด็กหญิงปุญญิศา  อุปทุม</v>
      </c>
      <c r="R19" s="5">
        <v>8</v>
      </c>
      <c r="S19" s="5">
        <v>9</v>
      </c>
      <c r="T19" s="5">
        <v>9</v>
      </c>
      <c r="U19" s="5"/>
      <c r="V19" s="5"/>
      <c r="W19" s="5"/>
      <c r="X19" s="5"/>
      <c r="Y19" s="5"/>
      <c r="Z19" s="5"/>
      <c r="AA19" s="5"/>
      <c r="AB19" s="12">
        <f t="shared" si="3"/>
        <v>26</v>
      </c>
      <c r="AC19" s="5">
        <v>20</v>
      </c>
      <c r="AD19" s="11">
        <f t="shared" si="4"/>
        <v>46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44</v>
      </c>
      <c r="AH19" s="22">
        <f t="shared" si="6"/>
        <v>46</v>
      </c>
      <c r="AI19" s="22">
        <f t="shared" si="7"/>
        <v>90</v>
      </c>
      <c r="AJ19" s="22">
        <f t="shared" si="8"/>
        <v>4</v>
      </c>
      <c r="AK19" s="13"/>
      <c r="AL19" s="13"/>
      <c r="AM19" s="145"/>
      <c r="AN19" s="249" t="s">
        <v>397</v>
      </c>
      <c r="AO19" s="249"/>
      <c r="AP19" s="249"/>
      <c r="AQ19" s="249"/>
      <c r="AR19" s="249"/>
      <c r="AS19" s="249"/>
      <c r="AT19" s="249"/>
      <c r="AU19" s="115"/>
    </row>
    <row r="20" spans="1:47" ht="24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9"/>
      <c r="AD20" s="11"/>
      <c r="AE20" s="5"/>
      <c r="AF20" s="19"/>
      <c r="AG20" s="22"/>
      <c r="AH20" s="22"/>
      <c r="AI20" s="22"/>
      <c r="AJ20" s="22"/>
      <c r="AK20" s="13"/>
      <c r="AL20" s="13"/>
      <c r="AM20" s="145">
        <v>15</v>
      </c>
      <c r="AN20" s="249" t="s">
        <v>398</v>
      </c>
      <c r="AO20" s="249"/>
      <c r="AP20" s="249"/>
      <c r="AQ20" s="249"/>
      <c r="AR20" s="249"/>
      <c r="AS20" s="249"/>
      <c r="AT20" s="249"/>
      <c r="AU20" s="115" t="s">
        <v>399</v>
      </c>
    </row>
    <row r="21" spans="1:47" ht="24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9"/>
      <c r="AD21" s="11"/>
      <c r="AE21" s="5"/>
      <c r="AF21" s="19"/>
      <c r="AG21" s="22"/>
      <c r="AH21" s="22"/>
      <c r="AI21" s="22"/>
      <c r="AJ21" s="22"/>
      <c r="AK21" s="13"/>
      <c r="AL21" s="13"/>
      <c r="AM21" s="145">
        <v>16</v>
      </c>
      <c r="AN21" s="249" t="s">
        <v>400</v>
      </c>
      <c r="AO21" s="249"/>
      <c r="AP21" s="249"/>
      <c r="AQ21" s="249"/>
      <c r="AR21" s="249"/>
      <c r="AS21" s="249"/>
      <c r="AT21" s="249"/>
      <c r="AU21" s="115" t="s">
        <v>401</v>
      </c>
    </row>
    <row r="22" spans="1:47" ht="24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9"/>
      <c r="AD22" s="11"/>
      <c r="AE22" s="5"/>
      <c r="AF22" s="19"/>
      <c r="AG22" s="22"/>
      <c r="AH22" s="22"/>
      <c r="AI22" s="22"/>
      <c r="AJ22" s="22"/>
      <c r="AK22" s="13"/>
      <c r="AL22" s="13"/>
      <c r="AM22" s="145">
        <v>17</v>
      </c>
      <c r="AN22" s="249" t="s">
        <v>402</v>
      </c>
      <c r="AO22" s="249"/>
      <c r="AP22" s="249"/>
      <c r="AQ22" s="249"/>
      <c r="AR22" s="249"/>
      <c r="AS22" s="249"/>
      <c r="AT22" s="249"/>
      <c r="AU22" s="115" t="s">
        <v>403</v>
      </c>
    </row>
    <row r="23" spans="1:47" ht="24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9"/>
      <c r="AD23" s="11"/>
      <c r="AE23" s="5"/>
      <c r="AF23" s="19"/>
      <c r="AG23" s="22"/>
      <c r="AH23" s="22"/>
      <c r="AI23" s="22"/>
      <c r="AJ23" s="22"/>
      <c r="AK23" s="13"/>
      <c r="AL23" s="13"/>
      <c r="AM23" s="145">
        <v>18</v>
      </c>
      <c r="AN23" s="249" t="s">
        <v>404</v>
      </c>
      <c r="AO23" s="249"/>
      <c r="AP23" s="249"/>
      <c r="AQ23" s="249"/>
      <c r="AR23" s="249"/>
      <c r="AS23" s="249"/>
      <c r="AT23" s="249"/>
      <c r="AU23" s="115" t="s">
        <v>405</v>
      </c>
    </row>
    <row r="24" spans="1:47" ht="24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9"/>
      <c r="AD24" s="11"/>
      <c r="AE24" s="5"/>
      <c r="AF24" s="19"/>
      <c r="AG24" s="22"/>
      <c r="AH24" s="22"/>
      <c r="AI24" s="22"/>
      <c r="AJ24" s="22"/>
      <c r="AK24" s="13"/>
      <c r="AL24" s="13"/>
      <c r="AM24" s="145">
        <v>19</v>
      </c>
      <c r="AN24" s="249" t="s">
        <v>406</v>
      </c>
      <c r="AO24" s="249"/>
      <c r="AP24" s="249"/>
      <c r="AQ24" s="249"/>
      <c r="AR24" s="249"/>
      <c r="AS24" s="249"/>
      <c r="AT24" s="249"/>
      <c r="AU24" s="115" t="s">
        <v>407</v>
      </c>
    </row>
    <row r="25" spans="1:47" ht="24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9"/>
      <c r="AD25" s="11"/>
      <c r="AE25" s="5"/>
      <c r="AF25" s="19"/>
      <c r="AG25" s="22"/>
      <c r="AH25" s="22"/>
      <c r="AI25" s="22"/>
      <c r="AJ25" s="22"/>
      <c r="AK25" s="13"/>
      <c r="AL25" s="13"/>
      <c r="AM25" s="145">
        <v>20</v>
      </c>
      <c r="AN25" s="249" t="s">
        <v>408</v>
      </c>
      <c r="AO25" s="249"/>
      <c r="AP25" s="249"/>
      <c r="AQ25" s="249"/>
      <c r="AR25" s="249"/>
      <c r="AS25" s="249"/>
      <c r="AT25" s="249"/>
      <c r="AU25" s="115" t="s">
        <v>409</v>
      </c>
    </row>
    <row r="26" spans="1:47" ht="24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9"/>
      <c r="AD26" s="11"/>
      <c r="AE26" s="5"/>
      <c r="AF26" s="19"/>
      <c r="AG26" s="22"/>
      <c r="AH26" s="22"/>
      <c r="AI26" s="22"/>
      <c r="AJ26" s="22"/>
      <c r="AK26" s="13"/>
      <c r="AL26" s="13"/>
      <c r="AM26" s="145">
        <v>21</v>
      </c>
      <c r="AN26" s="249" t="s">
        <v>410</v>
      </c>
      <c r="AO26" s="249"/>
      <c r="AP26" s="249"/>
      <c r="AQ26" s="249"/>
      <c r="AR26" s="249"/>
      <c r="AS26" s="249"/>
      <c r="AT26" s="249"/>
      <c r="AU26" s="115" t="s">
        <v>411</v>
      </c>
    </row>
    <row r="27" spans="1:47" ht="24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9"/>
      <c r="AD27" s="11"/>
      <c r="AE27" s="5"/>
      <c r="AF27" s="19"/>
      <c r="AG27" s="22"/>
      <c r="AH27" s="22"/>
      <c r="AI27" s="22"/>
      <c r="AJ27" s="22"/>
      <c r="AK27" s="13"/>
      <c r="AL27" s="13"/>
      <c r="AM27" s="145">
        <v>22</v>
      </c>
      <c r="AN27" s="249" t="s">
        <v>412</v>
      </c>
      <c r="AO27" s="249"/>
      <c r="AP27" s="249"/>
      <c r="AQ27" s="249"/>
      <c r="AR27" s="249"/>
      <c r="AS27" s="249"/>
      <c r="AT27" s="249"/>
      <c r="AU27" s="115" t="s">
        <v>413</v>
      </c>
    </row>
    <row r="28" spans="1:47" ht="24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9"/>
      <c r="AD28" s="11"/>
      <c r="AE28" s="5"/>
      <c r="AF28" s="19"/>
      <c r="AG28" s="22"/>
      <c r="AH28" s="22"/>
      <c r="AI28" s="22"/>
      <c r="AJ28" s="22"/>
      <c r="AK28" s="13"/>
      <c r="AL28" s="13"/>
      <c r="AM28" s="145">
        <v>23</v>
      </c>
      <c r="AN28" s="249" t="s">
        <v>414</v>
      </c>
      <c r="AO28" s="249"/>
      <c r="AP28" s="249"/>
      <c r="AQ28" s="249"/>
      <c r="AR28" s="249"/>
      <c r="AS28" s="249"/>
      <c r="AT28" s="249"/>
      <c r="AU28" s="115" t="s">
        <v>415</v>
      </c>
    </row>
    <row r="29" spans="1:47" ht="24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9"/>
      <c r="AD29" s="11"/>
      <c r="AE29" s="5"/>
      <c r="AF29" s="19"/>
      <c r="AG29" s="22"/>
      <c r="AH29" s="22"/>
      <c r="AI29" s="22"/>
      <c r="AJ29" s="22"/>
      <c r="AK29" s="13"/>
      <c r="AL29" s="13"/>
      <c r="AM29" s="145"/>
      <c r="AN29" s="249" t="s">
        <v>416</v>
      </c>
      <c r="AO29" s="249"/>
      <c r="AP29" s="249"/>
      <c r="AQ29" s="249"/>
      <c r="AR29" s="249"/>
      <c r="AS29" s="249"/>
      <c r="AT29" s="249"/>
      <c r="AU29" s="115"/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9"/>
      <c r="AD30" s="11"/>
      <c r="AE30" s="5"/>
      <c r="AF30" s="19"/>
      <c r="AG30" s="22"/>
      <c r="AH30" s="22"/>
      <c r="AI30" s="22"/>
      <c r="AJ30" s="22"/>
      <c r="AK30" s="13"/>
      <c r="AL30" s="13"/>
      <c r="AM30" s="145">
        <v>24</v>
      </c>
      <c r="AN30" s="249" t="s">
        <v>417</v>
      </c>
      <c r="AO30" s="249"/>
      <c r="AP30" s="249"/>
      <c r="AQ30" s="249"/>
      <c r="AR30" s="249"/>
      <c r="AS30" s="249"/>
      <c r="AT30" s="249"/>
      <c r="AU30" s="115" t="s">
        <v>418</v>
      </c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9"/>
      <c r="AD31" s="11"/>
      <c r="AE31" s="5"/>
      <c r="AF31" s="19"/>
      <c r="AG31" s="22"/>
      <c r="AH31" s="22"/>
      <c r="AI31" s="22"/>
      <c r="AJ31" s="22"/>
      <c r="AK31" s="13"/>
      <c r="AL31" s="13"/>
      <c r="AM31" s="145">
        <v>25</v>
      </c>
      <c r="AN31" s="249" t="s">
        <v>419</v>
      </c>
      <c r="AO31" s="249"/>
      <c r="AP31" s="249"/>
      <c r="AQ31" s="249"/>
      <c r="AR31" s="249"/>
      <c r="AS31" s="249"/>
      <c r="AT31" s="249"/>
      <c r="AU31" s="115" t="s">
        <v>420</v>
      </c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9"/>
      <c r="AD32" s="11"/>
      <c r="AE32" s="5"/>
      <c r="AF32" s="19"/>
      <c r="AG32" s="22"/>
      <c r="AH32" s="22"/>
      <c r="AI32" s="22"/>
      <c r="AJ32" s="22"/>
      <c r="AK32" s="13"/>
      <c r="AL32" s="13"/>
      <c r="AM32" s="145">
        <v>26</v>
      </c>
      <c r="AN32" s="249" t="s">
        <v>421</v>
      </c>
      <c r="AO32" s="249"/>
      <c r="AP32" s="249"/>
      <c r="AQ32" s="249"/>
      <c r="AR32" s="249"/>
      <c r="AS32" s="249"/>
      <c r="AT32" s="249"/>
      <c r="AU32" s="115" t="s">
        <v>422</v>
      </c>
    </row>
    <row r="33" spans="1:47" ht="24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9"/>
      <c r="AD33" s="11"/>
      <c r="AE33" s="5"/>
      <c r="AF33" s="19"/>
      <c r="AG33" s="22"/>
      <c r="AH33" s="22"/>
      <c r="AI33" s="22"/>
      <c r="AJ33" s="22"/>
      <c r="AK33" s="13"/>
      <c r="AL33" s="13"/>
      <c r="AM33" s="145">
        <v>27</v>
      </c>
      <c r="AN33" s="249" t="s">
        <v>423</v>
      </c>
      <c r="AO33" s="249"/>
      <c r="AP33" s="249"/>
      <c r="AQ33" s="249"/>
      <c r="AR33" s="249"/>
      <c r="AS33" s="249"/>
      <c r="AT33" s="249"/>
      <c r="AU33" s="115" t="s">
        <v>424</v>
      </c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9"/>
      <c r="AD34" s="11"/>
      <c r="AE34" s="5"/>
      <c r="AF34" s="19"/>
      <c r="AG34" s="22"/>
      <c r="AH34" s="22"/>
      <c r="AI34" s="22"/>
      <c r="AJ34" s="22"/>
      <c r="AK34" s="13"/>
      <c r="AL34" s="13"/>
      <c r="AM34" s="145">
        <v>28</v>
      </c>
      <c r="AN34" s="249" t="s">
        <v>425</v>
      </c>
      <c r="AO34" s="249"/>
      <c r="AP34" s="249"/>
      <c r="AQ34" s="249"/>
      <c r="AR34" s="249"/>
      <c r="AS34" s="249"/>
      <c r="AT34" s="249"/>
      <c r="AU34" s="115" t="s">
        <v>426</v>
      </c>
    </row>
    <row r="35" spans="1:47" ht="24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9"/>
      <c r="AD35" s="11"/>
      <c r="AE35" s="5"/>
      <c r="AF35" s="19"/>
      <c r="AG35" s="22"/>
      <c r="AH35" s="22"/>
      <c r="AI35" s="22"/>
      <c r="AJ35" s="22"/>
      <c r="AK35" s="13"/>
      <c r="AL35" s="13"/>
      <c r="AM35" s="145">
        <v>29</v>
      </c>
      <c r="AN35" s="249" t="s">
        <v>427</v>
      </c>
      <c r="AO35" s="249"/>
      <c r="AP35" s="249"/>
      <c r="AQ35" s="249"/>
      <c r="AR35" s="249"/>
      <c r="AS35" s="249"/>
      <c r="AT35" s="249"/>
      <c r="AU35" s="115" t="s">
        <v>428</v>
      </c>
    </row>
    <row r="36" spans="1:47" ht="20" thickBot="1" x14ac:dyDescent="0.4">
      <c r="AM36" s="143"/>
      <c r="AN36" s="250" t="s">
        <v>429</v>
      </c>
      <c r="AO36" s="250"/>
      <c r="AP36" s="250"/>
      <c r="AQ36" s="250"/>
      <c r="AR36" s="250"/>
      <c r="AS36" s="250"/>
      <c r="AT36" s="250"/>
      <c r="AU36" s="118"/>
    </row>
    <row r="48" spans="1:47" ht="14.25" customHeight="1" x14ac:dyDescent="0.35"/>
    <row r="49" ht="14.25" customHeight="1" x14ac:dyDescent="0.35"/>
    <row r="50" ht="14.25" customHeight="1" x14ac:dyDescent="0.35"/>
  </sheetData>
  <mergeCells count="57">
    <mergeCell ref="A4:A6"/>
    <mergeCell ref="C4:M4"/>
    <mergeCell ref="N4:N5"/>
    <mergeCell ref="O4:O5"/>
    <mergeCell ref="P4:P6"/>
    <mergeCell ref="A2:O2"/>
    <mergeCell ref="P2:AD2"/>
    <mergeCell ref="AE2:AL2"/>
    <mergeCell ref="AM2:AU2"/>
    <mergeCell ref="A3:O3"/>
    <mergeCell ref="P3:AD3"/>
    <mergeCell ref="AE3:AL3"/>
    <mergeCell ref="AM3:AU3"/>
    <mergeCell ref="AN7:AT7"/>
    <mergeCell ref="AN8:AT8"/>
    <mergeCell ref="R4:AB4"/>
    <mergeCell ref="AC4:AC5"/>
    <mergeCell ref="AD4:AD5"/>
    <mergeCell ref="AE4:AE6"/>
    <mergeCell ref="AF4:AF5"/>
    <mergeCell ref="AG4:AG5"/>
    <mergeCell ref="AH4:AH5"/>
    <mergeCell ref="AI4:AI5"/>
    <mergeCell ref="AJ4:AJ6"/>
    <mergeCell ref="AK4:AK6"/>
    <mergeCell ref="AL4:AL6"/>
    <mergeCell ref="AN5:AT5"/>
    <mergeCell ref="AN6:AT6"/>
    <mergeCell ref="AN4:AT4"/>
    <mergeCell ref="AN9:AT9"/>
    <mergeCell ref="AN10:AT10"/>
    <mergeCell ref="AN11:AT11"/>
    <mergeCell ref="AN12:AT12"/>
    <mergeCell ref="AN13:AT13"/>
    <mergeCell ref="AN14:AT14"/>
    <mergeCell ref="AN15:AT15"/>
    <mergeCell ref="AN16:AT16"/>
    <mergeCell ref="AN17:AT17"/>
    <mergeCell ref="AN18:AT18"/>
    <mergeCell ref="AN19:AT19"/>
    <mergeCell ref="AN20:AT20"/>
    <mergeCell ref="AN21:AT21"/>
    <mergeCell ref="AN22:AT22"/>
    <mergeCell ref="AN24:AT24"/>
    <mergeCell ref="AN23:AT23"/>
    <mergeCell ref="AN25:AT25"/>
    <mergeCell ref="AN26:AT26"/>
    <mergeCell ref="AN27:AT27"/>
    <mergeCell ref="AN28:AT28"/>
    <mergeCell ref="AN34:AT34"/>
    <mergeCell ref="AN35:AT35"/>
    <mergeCell ref="AN36:AT36"/>
    <mergeCell ref="AN29:AT29"/>
    <mergeCell ref="AN30:AT30"/>
    <mergeCell ref="AN31:AT31"/>
    <mergeCell ref="AN32:AT32"/>
    <mergeCell ref="AN33:AT33"/>
  </mergeCells>
  <pageMargins left="0.85416666666666663" right="0.17708333333333334" top="0.468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U50"/>
  <sheetViews>
    <sheetView showWhiteSpace="0" view="pageLayout" topLeftCell="T1" zoomScale="68" zoomScaleNormal="100" zoomScalePageLayoutView="68" workbookViewId="0">
      <selection activeCell="AD46" sqref="AD46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10" customWidth="1"/>
    <col min="14" max="14" width="10.33203125" style="10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O1" s="1">
        <v>29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30</v>
      </c>
      <c r="AL1" s="1">
        <v>31</v>
      </c>
      <c r="AU1" s="1">
        <v>32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315</v>
      </c>
      <c r="AF2" s="242"/>
      <c r="AG2" s="242"/>
      <c r="AH2" s="242"/>
      <c r="AI2" s="242"/>
      <c r="AJ2" s="242"/>
      <c r="AK2" s="242"/>
      <c r="AL2" s="242"/>
      <c r="AM2" s="255" t="s">
        <v>41</v>
      </c>
      <c r="AN2" s="256"/>
      <c r="AO2" s="256"/>
      <c r="AP2" s="256"/>
      <c r="AQ2" s="256"/>
      <c r="AR2" s="256"/>
      <c r="AS2" s="256"/>
      <c r="AT2" s="256"/>
      <c r="AU2" s="257"/>
    </row>
    <row r="3" spans="1:47" ht="22" thickBot="1" x14ac:dyDescent="0.4">
      <c r="A3" s="242" t="s">
        <v>323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สังคมศึกษา ศาสนาและวัฒนธรรม  (ส16101)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สังคมศึกษา ศาสนาและวัฒนธรรม  (ส16101)</v>
      </c>
      <c r="AF3" s="246"/>
      <c r="AG3" s="246"/>
      <c r="AH3" s="246"/>
      <c r="AI3" s="246"/>
      <c r="AJ3" s="246"/>
      <c r="AK3" s="246"/>
      <c r="AL3" s="246"/>
      <c r="AM3" s="258" t="s">
        <v>430</v>
      </c>
      <c r="AN3" s="259"/>
      <c r="AO3" s="259"/>
      <c r="AP3" s="259"/>
      <c r="AQ3" s="259"/>
      <c r="AR3" s="259"/>
      <c r="AS3" s="259"/>
      <c r="AT3" s="259"/>
      <c r="AU3" s="260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51" t="s">
        <v>22</v>
      </c>
      <c r="AM4" s="263" t="s">
        <v>431</v>
      </c>
      <c r="AN4" s="254"/>
      <c r="AO4" s="254"/>
      <c r="AP4" s="254"/>
      <c r="AQ4" s="254"/>
      <c r="AR4" s="254"/>
      <c r="AS4" s="254"/>
      <c r="AT4" s="254"/>
      <c r="AU4" s="142" t="s">
        <v>432</v>
      </c>
    </row>
    <row r="5" spans="1:47" s="24" customFormat="1" ht="14.25" customHeight="1" x14ac:dyDescent="0.35">
      <c r="A5" s="236"/>
      <c r="B5" s="25" t="s">
        <v>247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7" t="s">
        <v>17</v>
      </c>
      <c r="N5" s="237"/>
      <c r="O5" s="237"/>
      <c r="P5" s="236"/>
      <c r="Q5" s="25" t="s">
        <v>247</v>
      </c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52"/>
      <c r="AM5" s="261" t="s">
        <v>433</v>
      </c>
      <c r="AN5" s="249"/>
      <c r="AO5" s="249"/>
      <c r="AP5" s="249"/>
      <c r="AQ5" s="249"/>
      <c r="AR5" s="249"/>
      <c r="AS5" s="249"/>
      <c r="AT5" s="249"/>
      <c r="AU5" s="115" t="s">
        <v>434</v>
      </c>
    </row>
    <row r="6" spans="1:47" ht="18.75" customHeight="1" x14ac:dyDescent="0.35">
      <c r="A6" s="237"/>
      <c r="B6" s="14" t="s">
        <v>16</v>
      </c>
      <c r="C6" s="15">
        <v>10</v>
      </c>
      <c r="D6" s="15">
        <v>10</v>
      </c>
      <c r="E6" s="15">
        <v>10</v>
      </c>
      <c r="F6" s="15"/>
      <c r="G6" s="15"/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10</v>
      </c>
      <c r="S6" s="15">
        <v>10</v>
      </c>
      <c r="T6" s="15">
        <v>10</v>
      </c>
      <c r="U6" s="15"/>
      <c r="V6" s="15"/>
      <c r="W6" s="15"/>
      <c r="X6" s="15"/>
      <c r="Y6" s="15"/>
      <c r="Z6" s="15"/>
      <c r="AA6" s="15"/>
      <c r="AB6" s="17">
        <f>SUM(R6:AA6)</f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53"/>
      <c r="AM6" s="261" t="s">
        <v>435</v>
      </c>
      <c r="AN6" s="249"/>
      <c r="AO6" s="249"/>
      <c r="AP6" s="249"/>
      <c r="AQ6" s="249"/>
      <c r="AR6" s="249"/>
      <c r="AS6" s="249"/>
      <c r="AT6" s="249"/>
      <c r="AU6" s="115" t="s">
        <v>436</v>
      </c>
    </row>
    <row r="7" spans="1:47" ht="21" customHeight="1" x14ac:dyDescent="0.4">
      <c r="A7" s="5">
        <v>1</v>
      </c>
      <c r="B7" s="19" t="str">
        <f>'เวลาเรียน4-16'!B6</f>
        <v>เด็กชายกฤษดา  บัวศรี</v>
      </c>
      <c r="C7" s="151">
        <v>8</v>
      </c>
      <c r="D7" s="152">
        <v>8</v>
      </c>
      <c r="E7" s="152">
        <v>8</v>
      </c>
      <c r="F7" s="5"/>
      <c r="G7" s="5"/>
      <c r="H7" s="5"/>
      <c r="I7" s="5"/>
      <c r="J7" s="5"/>
      <c r="K7" s="5"/>
      <c r="L7" s="5"/>
      <c r="M7" s="12">
        <f t="shared" ref="M7:M19" si="0">SUM(C7:L7)</f>
        <v>24</v>
      </c>
      <c r="N7" s="154">
        <v>15</v>
      </c>
      <c r="O7" s="11">
        <f t="shared" ref="O7:O19" si="1">SUM(M7:N7)</f>
        <v>39</v>
      </c>
      <c r="P7" s="5">
        <v>1</v>
      </c>
      <c r="Q7" s="19" t="str">
        <f t="shared" ref="Q7:Q19" si="2">B7</f>
        <v>เด็กชายกฤษดา  บัวศรี</v>
      </c>
      <c r="R7" s="5">
        <v>8</v>
      </c>
      <c r="S7" s="5">
        <v>9</v>
      </c>
      <c r="T7" s="5">
        <v>7</v>
      </c>
      <c r="U7" s="5"/>
      <c r="V7" s="5"/>
      <c r="W7" s="5"/>
      <c r="X7" s="5"/>
      <c r="Y7" s="5"/>
      <c r="Z7" s="5"/>
      <c r="AA7" s="5"/>
      <c r="AB7" s="12">
        <f t="shared" ref="AB7:AB20" si="3">SUM(R7:AA7)</f>
        <v>24</v>
      </c>
      <c r="AC7" s="156">
        <v>14</v>
      </c>
      <c r="AD7" s="11">
        <f t="shared" ref="AD7:AD19" si="4">SUM(AB7:AC7)</f>
        <v>38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39</v>
      </c>
      <c r="AH7" s="22">
        <f t="shared" ref="AH7:AH19" si="6">AD7</f>
        <v>38</v>
      </c>
      <c r="AI7" s="22">
        <f>SUM(AG7:AH7)</f>
        <v>77</v>
      </c>
      <c r="AJ7" s="22">
        <f>IF(AI7&gt;79,4,IF(AI7&gt;74,3.5,IF(AI7&gt;69,3,IF(AI7&gt;64,2.5,IF(AI7&gt;59,2,IF(AI7&gt;54,1.5,IF(AI7&gt;49,1,IF(AI7&lt;50,0))))))))</f>
        <v>3.5</v>
      </c>
      <c r="AK7" s="13"/>
      <c r="AL7" s="13"/>
      <c r="AM7" s="261" t="s">
        <v>437</v>
      </c>
      <c r="AN7" s="249"/>
      <c r="AO7" s="249"/>
      <c r="AP7" s="249"/>
      <c r="AQ7" s="249"/>
      <c r="AR7" s="249"/>
      <c r="AS7" s="249"/>
      <c r="AT7" s="249"/>
      <c r="AU7" s="115"/>
    </row>
    <row r="8" spans="1:47" ht="21" customHeight="1" x14ac:dyDescent="0.4">
      <c r="A8" s="5">
        <v>2</v>
      </c>
      <c r="B8" s="19" t="str">
        <f>'เวลาเรียน4-16'!B7</f>
        <v>เด็กชายจิรายุ  ดอบุตร</v>
      </c>
      <c r="C8" s="153">
        <v>8</v>
      </c>
      <c r="D8" s="62">
        <v>8</v>
      </c>
      <c r="E8" s="62">
        <v>8</v>
      </c>
      <c r="F8" s="5"/>
      <c r="G8" s="5"/>
      <c r="H8" s="5"/>
      <c r="I8" s="5"/>
      <c r="J8" s="5"/>
      <c r="K8" s="5"/>
      <c r="L8" s="5"/>
      <c r="M8" s="12">
        <f t="shared" si="0"/>
        <v>24</v>
      </c>
      <c r="N8" s="155">
        <v>15</v>
      </c>
      <c r="O8" s="11">
        <f t="shared" si="1"/>
        <v>39</v>
      </c>
      <c r="P8" s="5">
        <v>2</v>
      </c>
      <c r="Q8" s="19" t="str">
        <f t="shared" si="2"/>
        <v>เด็กชายจิรายุ  ดอบุตร</v>
      </c>
      <c r="R8" s="5">
        <v>8</v>
      </c>
      <c r="S8" s="5">
        <v>8</v>
      </c>
      <c r="T8" s="5">
        <v>8</v>
      </c>
      <c r="U8" s="5"/>
      <c r="V8" s="5"/>
      <c r="W8" s="5"/>
      <c r="X8" s="5"/>
      <c r="Y8" s="5"/>
      <c r="Z8" s="5"/>
      <c r="AA8" s="5"/>
      <c r="AB8" s="12">
        <f t="shared" si="3"/>
        <v>24</v>
      </c>
      <c r="AC8" s="157">
        <v>15</v>
      </c>
      <c r="AD8" s="11">
        <f t="shared" si="4"/>
        <v>39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39</v>
      </c>
      <c r="AH8" s="22">
        <f t="shared" si="6"/>
        <v>39</v>
      </c>
      <c r="AI8" s="22">
        <f t="shared" ref="AI8:AI19" si="7">SUM(AG8:AH8)</f>
        <v>78</v>
      </c>
      <c r="AJ8" s="22">
        <f t="shared" ref="AJ8:AJ19" si="8">IF(AI8&gt;79,4,IF(AI8&gt;74,3.5,IF(AI8&gt;69,3,IF(AI8&gt;64,2.5,IF(AI8&gt;59,2,IF(AI8&gt;54,1.5,IF(AI8&gt;49,1,IF(AI8&lt;50,0))))))))</f>
        <v>3.5</v>
      </c>
      <c r="AK8" s="13"/>
      <c r="AL8" s="13"/>
      <c r="AM8" s="261" t="s">
        <v>438</v>
      </c>
      <c r="AN8" s="249"/>
      <c r="AO8" s="249"/>
      <c r="AP8" s="249"/>
      <c r="AQ8" s="249"/>
      <c r="AR8" s="249"/>
      <c r="AS8" s="249"/>
      <c r="AT8" s="249"/>
      <c r="AU8" s="115" t="s">
        <v>439</v>
      </c>
    </row>
    <row r="9" spans="1:47" ht="21" customHeight="1" x14ac:dyDescent="0.4">
      <c r="A9" s="5">
        <v>3</v>
      </c>
      <c r="B9" s="19" t="str">
        <f>'เวลาเรียน4-16'!B8</f>
        <v>เด็กชายจิรายุ  เนตรสว่าง</v>
      </c>
      <c r="C9" s="153">
        <v>9</v>
      </c>
      <c r="D9" s="62">
        <v>10</v>
      </c>
      <c r="E9" s="62">
        <v>10</v>
      </c>
      <c r="F9" s="5"/>
      <c r="G9" s="5"/>
      <c r="H9" s="5"/>
      <c r="I9" s="5"/>
      <c r="J9" s="5"/>
      <c r="K9" s="5"/>
      <c r="L9" s="5"/>
      <c r="M9" s="12">
        <f t="shared" si="0"/>
        <v>29</v>
      </c>
      <c r="N9" s="155">
        <v>17</v>
      </c>
      <c r="O9" s="11">
        <f t="shared" si="1"/>
        <v>46</v>
      </c>
      <c r="P9" s="5">
        <v>3</v>
      </c>
      <c r="Q9" s="19" t="str">
        <f t="shared" si="2"/>
        <v>เด็กชายจิรายุ  เนตรสว่าง</v>
      </c>
      <c r="R9" s="5">
        <v>10</v>
      </c>
      <c r="S9" s="5">
        <v>9</v>
      </c>
      <c r="T9" s="5">
        <v>10</v>
      </c>
      <c r="U9" s="5"/>
      <c r="V9" s="5"/>
      <c r="W9" s="5"/>
      <c r="X9" s="5"/>
      <c r="Y9" s="5"/>
      <c r="Z9" s="5"/>
      <c r="AA9" s="5"/>
      <c r="AB9" s="12">
        <f t="shared" si="3"/>
        <v>29</v>
      </c>
      <c r="AC9" s="157">
        <v>16</v>
      </c>
      <c r="AD9" s="11">
        <f t="shared" si="4"/>
        <v>45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46</v>
      </c>
      <c r="AH9" s="22">
        <f t="shared" si="6"/>
        <v>45</v>
      </c>
      <c r="AI9" s="22">
        <f t="shared" si="7"/>
        <v>91</v>
      </c>
      <c r="AJ9" s="22">
        <f t="shared" si="8"/>
        <v>4</v>
      </c>
      <c r="AK9" s="13"/>
      <c r="AL9" s="13"/>
      <c r="AM9" s="261" t="s">
        <v>440</v>
      </c>
      <c r="AN9" s="249"/>
      <c r="AO9" s="249"/>
      <c r="AP9" s="249"/>
      <c r="AQ9" s="249"/>
      <c r="AR9" s="249"/>
      <c r="AS9" s="249"/>
      <c r="AT9" s="249"/>
      <c r="AU9" s="115"/>
    </row>
    <row r="10" spans="1:47" ht="21" customHeight="1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153">
        <v>9</v>
      </c>
      <c r="D10" s="62">
        <v>9</v>
      </c>
      <c r="E10" s="62">
        <v>9</v>
      </c>
      <c r="F10" s="5"/>
      <c r="G10" s="5"/>
      <c r="H10" s="5"/>
      <c r="I10" s="5"/>
      <c r="J10" s="5"/>
      <c r="K10" s="5"/>
      <c r="L10" s="5"/>
      <c r="M10" s="12">
        <f t="shared" si="0"/>
        <v>27</v>
      </c>
      <c r="N10" s="155">
        <v>15</v>
      </c>
      <c r="O10" s="11">
        <f t="shared" si="1"/>
        <v>42</v>
      </c>
      <c r="P10" s="5">
        <v>4</v>
      </c>
      <c r="Q10" s="19" t="str">
        <f t="shared" si="2"/>
        <v>เด็กชายจีรภัทร  คันธมาตย์</v>
      </c>
      <c r="R10" s="5">
        <v>9</v>
      </c>
      <c r="S10" s="5">
        <v>9</v>
      </c>
      <c r="T10" s="5">
        <v>9</v>
      </c>
      <c r="U10" s="5"/>
      <c r="V10" s="5"/>
      <c r="W10" s="5"/>
      <c r="X10" s="5"/>
      <c r="Y10" s="5"/>
      <c r="Z10" s="5"/>
      <c r="AA10" s="5"/>
      <c r="AB10" s="12">
        <f t="shared" si="3"/>
        <v>27</v>
      </c>
      <c r="AC10" s="157">
        <v>16</v>
      </c>
      <c r="AD10" s="11">
        <f t="shared" si="4"/>
        <v>43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42</v>
      </c>
      <c r="AH10" s="22">
        <f t="shared" si="6"/>
        <v>43</v>
      </c>
      <c r="AI10" s="22">
        <f t="shared" si="7"/>
        <v>85</v>
      </c>
      <c r="AJ10" s="22">
        <f t="shared" si="8"/>
        <v>4</v>
      </c>
      <c r="AK10" s="13"/>
      <c r="AL10" s="13"/>
      <c r="AM10" s="261" t="s">
        <v>441</v>
      </c>
      <c r="AN10" s="249"/>
      <c r="AO10" s="249"/>
      <c r="AP10" s="249"/>
      <c r="AQ10" s="249"/>
      <c r="AR10" s="249"/>
      <c r="AS10" s="249"/>
      <c r="AT10" s="249"/>
      <c r="AU10" s="115" t="s">
        <v>442</v>
      </c>
    </row>
    <row r="11" spans="1:47" ht="21" customHeight="1" x14ac:dyDescent="0.4">
      <c r="A11" s="5">
        <v>5</v>
      </c>
      <c r="B11" s="19" t="str">
        <f>'เวลาเรียน4-16'!B10</f>
        <v>เด็กชายปรวัฒน์  โพธิ์ศรี</v>
      </c>
      <c r="C11" s="153">
        <v>9</v>
      </c>
      <c r="D11" s="62">
        <v>10</v>
      </c>
      <c r="E11" s="62">
        <v>10</v>
      </c>
      <c r="F11" s="5"/>
      <c r="G11" s="5"/>
      <c r="H11" s="5"/>
      <c r="I11" s="5"/>
      <c r="J11" s="5"/>
      <c r="K11" s="5"/>
      <c r="L11" s="5"/>
      <c r="M11" s="12">
        <f t="shared" si="0"/>
        <v>29</v>
      </c>
      <c r="N11" s="155">
        <v>17</v>
      </c>
      <c r="O11" s="11">
        <f t="shared" si="1"/>
        <v>46</v>
      </c>
      <c r="P11" s="5">
        <v>5</v>
      </c>
      <c r="Q11" s="19" t="str">
        <f t="shared" si="2"/>
        <v>เด็กชายปรวัฒน์  โพธิ์ศรี</v>
      </c>
      <c r="R11" s="5">
        <v>9</v>
      </c>
      <c r="S11" s="5">
        <v>9</v>
      </c>
      <c r="T11" s="5">
        <v>9</v>
      </c>
      <c r="U11" s="5"/>
      <c r="V11" s="5"/>
      <c r="W11" s="5"/>
      <c r="X11" s="5"/>
      <c r="Y11" s="5"/>
      <c r="Z11" s="5"/>
      <c r="AA11" s="5"/>
      <c r="AB11" s="12">
        <f t="shared" si="3"/>
        <v>27</v>
      </c>
      <c r="AC11" s="157">
        <v>17</v>
      </c>
      <c r="AD11" s="11">
        <f t="shared" si="4"/>
        <v>44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46</v>
      </c>
      <c r="AH11" s="22">
        <f t="shared" si="6"/>
        <v>44</v>
      </c>
      <c r="AI11" s="22">
        <f t="shared" si="7"/>
        <v>90</v>
      </c>
      <c r="AJ11" s="22">
        <f t="shared" si="8"/>
        <v>4</v>
      </c>
      <c r="AK11" s="13"/>
      <c r="AL11" s="13"/>
      <c r="AM11" s="261" t="s">
        <v>443</v>
      </c>
      <c r="AN11" s="249"/>
      <c r="AO11" s="249"/>
      <c r="AP11" s="249"/>
      <c r="AQ11" s="249"/>
      <c r="AR11" s="249"/>
      <c r="AS11" s="249"/>
      <c r="AT11" s="249"/>
      <c r="AU11" s="115" t="s">
        <v>444</v>
      </c>
    </row>
    <row r="12" spans="1:47" ht="21" customHeight="1" x14ac:dyDescent="0.4">
      <c r="A12" s="5">
        <v>6</v>
      </c>
      <c r="B12" s="19" t="str">
        <f>'เวลาเรียน4-16'!B11</f>
        <v>เด็กชายพีรภาพ  วงคำใหญ่</v>
      </c>
      <c r="C12" s="153">
        <v>10</v>
      </c>
      <c r="D12" s="62">
        <v>10</v>
      </c>
      <c r="E12" s="62">
        <v>10</v>
      </c>
      <c r="F12" s="5"/>
      <c r="G12" s="5"/>
      <c r="H12" s="5"/>
      <c r="I12" s="5"/>
      <c r="J12" s="5"/>
      <c r="K12" s="5"/>
      <c r="L12" s="5"/>
      <c r="M12" s="12">
        <f t="shared" si="0"/>
        <v>30</v>
      </c>
      <c r="N12" s="155">
        <v>18</v>
      </c>
      <c r="O12" s="11">
        <f t="shared" si="1"/>
        <v>48</v>
      </c>
      <c r="P12" s="5">
        <v>6</v>
      </c>
      <c r="Q12" s="19" t="str">
        <f t="shared" si="2"/>
        <v>เด็กชายพีรภาพ  วงคำใหญ่</v>
      </c>
      <c r="R12" s="5">
        <v>10</v>
      </c>
      <c r="S12" s="5">
        <v>10</v>
      </c>
      <c r="T12" s="5">
        <v>10</v>
      </c>
      <c r="U12" s="5"/>
      <c r="V12" s="5"/>
      <c r="W12" s="5"/>
      <c r="X12" s="5"/>
      <c r="Y12" s="5"/>
      <c r="Z12" s="5"/>
      <c r="AA12" s="5"/>
      <c r="AB12" s="12">
        <f t="shared" si="3"/>
        <v>30</v>
      </c>
      <c r="AC12" s="157">
        <v>16</v>
      </c>
      <c r="AD12" s="11">
        <f t="shared" si="4"/>
        <v>46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48</v>
      </c>
      <c r="AH12" s="22">
        <f t="shared" si="6"/>
        <v>46</v>
      </c>
      <c r="AI12" s="22">
        <f t="shared" si="7"/>
        <v>94</v>
      </c>
      <c r="AJ12" s="22">
        <f t="shared" si="8"/>
        <v>4</v>
      </c>
      <c r="AK12" s="13"/>
      <c r="AL12" s="13"/>
      <c r="AM12" s="261" t="s">
        <v>445</v>
      </c>
      <c r="AN12" s="249"/>
      <c r="AO12" s="249"/>
      <c r="AP12" s="249"/>
      <c r="AQ12" s="249"/>
      <c r="AR12" s="249"/>
      <c r="AS12" s="249"/>
      <c r="AT12" s="249"/>
      <c r="AU12" s="115"/>
    </row>
    <row r="13" spans="1:47" ht="21" customHeight="1" x14ac:dyDescent="0.4">
      <c r="A13" s="5">
        <v>7</v>
      </c>
      <c r="B13" s="19" t="str">
        <f>'เวลาเรียน4-16'!B12</f>
        <v>เด็กหญิงกมลรัตน์  แสดคง</v>
      </c>
      <c r="C13" s="153">
        <v>9</v>
      </c>
      <c r="D13" s="62">
        <v>9</v>
      </c>
      <c r="E13" s="62">
        <v>9</v>
      </c>
      <c r="F13" s="5"/>
      <c r="G13" s="5"/>
      <c r="H13" s="5"/>
      <c r="I13" s="5"/>
      <c r="J13" s="5"/>
      <c r="K13" s="5"/>
      <c r="L13" s="5"/>
      <c r="M13" s="12">
        <f t="shared" si="0"/>
        <v>27</v>
      </c>
      <c r="N13" s="155">
        <v>16</v>
      </c>
      <c r="O13" s="11">
        <f t="shared" si="1"/>
        <v>43</v>
      </c>
      <c r="P13" s="5">
        <v>7</v>
      </c>
      <c r="Q13" s="19" t="str">
        <f t="shared" si="2"/>
        <v>เด็กหญิงกมลรัตน์  แสดคง</v>
      </c>
      <c r="R13" s="5">
        <v>9</v>
      </c>
      <c r="S13" s="5">
        <v>9</v>
      </c>
      <c r="T13" s="5">
        <v>9</v>
      </c>
      <c r="U13" s="5"/>
      <c r="V13" s="5"/>
      <c r="W13" s="5"/>
      <c r="X13" s="5"/>
      <c r="Y13" s="5"/>
      <c r="Z13" s="5"/>
      <c r="AA13" s="5"/>
      <c r="AB13" s="12">
        <f t="shared" si="3"/>
        <v>27</v>
      </c>
      <c r="AC13" s="157">
        <v>15</v>
      </c>
      <c r="AD13" s="11">
        <f t="shared" si="4"/>
        <v>42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43</v>
      </c>
      <c r="AH13" s="22">
        <f t="shared" si="6"/>
        <v>42</v>
      </c>
      <c r="AI13" s="22">
        <f t="shared" si="7"/>
        <v>85</v>
      </c>
      <c r="AJ13" s="22">
        <f t="shared" si="8"/>
        <v>4</v>
      </c>
      <c r="AK13" s="13"/>
      <c r="AL13" s="13"/>
      <c r="AM13" s="261" t="s">
        <v>446</v>
      </c>
      <c r="AN13" s="249"/>
      <c r="AO13" s="249"/>
      <c r="AP13" s="249"/>
      <c r="AQ13" s="249"/>
      <c r="AR13" s="249"/>
      <c r="AS13" s="249"/>
      <c r="AT13" s="249"/>
      <c r="AU13" s="115" t="s">
        <v>447</v>
      </c>
    </row>
    <row r="14" spans="1:47" ht="21" customHeight="1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153">
        <v>9</v>
      </c>
      <c r="D14" s="62">
        <v>9</v>
      </c>
      <c r="E14" s="62">
        <v>9</v>
      </c>
      <c r="F14" s="5"/>
      <c r="G14" s="5"/>
      <c r="H14" s="5"/>
      <c r="I14" s="5"/>
      <c r="J14" s="5"/>
      <c r="K14" s="5"/>
      <c r="L14" s="5"/>
      <c r="M14" s="12">
        <f t="shared" si="0"/>
        <v>27</v>
      </c>
      <c r="N14" s="155">
        <v>14</v>
      </c>
      <c r="O14" s="11">
        <f t="shared" si="1"/>
        <v>41</v>
      </c>
      <c r="P14" s="5">
        <v>8</v>
      </c>
      <c r="Q14" s="19" t="str">
        <f t="shared" si="2"/>
        <v>เด็กหญิงกัลยรัตน์  ทึงสุข</v>
      </c>
      <c r="R14" s="5">
        <v>9</v>
      </c>
      <c r="S14" s="5">
        <v>9</v>
      </c>
      <c r="T14" s="5">
        <v>9</v>
      </c>
      <c r="U14" s="5"/>
      <c r="V14" s="5"/>
      <c r="W14" s="5"/>
      <c r="X14" s="5"/>
      <c r="Y14" s="5"/>
      <c r="Z14" s="5"/>
      <c r="AA14" s="5"/>
      <c r="AB14" s="12">
        <f t="shared" si="3"/>
        <v>27</v>
      </c>
      <c r="AC14" s="157">
        <v>13</v>
      </c>
      <c r="AD14" s="11">
        <f t="shared" si="4"/>
        <v>40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41</v>
      </c>
      <c r="AH14" s="22">
        <f t="shared" si="6"/>
        <v>40</v>
      </c>
      <c r="AI14" s="22">
        <f t="shared" si="7"/>
        <v>81</v>
      </c>
      <c r="AJ14" s="22">
        <f t="shared" si="8"/>
        <v>4</v>
      </c>
      <c r="AK14" s="13"/>
      <c r="AL14" s="13"/>
      <c r="AM14" s="261" t="s">
        <v>448</v>
      </c>
      <c r="AN14" s="249"/>
      <c r="AO14" s="249"/>
      <c r="AP14" s="249"/>
      <c r="AQ14" s="249"/>
      <c r="AR14" s="249"/>
      <c r="AS14" s="249"/>
      <c r="AT14" s="249"/>
      <c r="AU14" s="115" t="s">
        <v>449</v>
      </c>
    </row>
    <row r="15" spans="1:47" ht="21" customHeight="1" x14ac:dyDescent="0.4">
      <c r="A15" s="5">
        <v>9</v>
      </c>
      <c r="B15" s="19" t="str">
        <f>'เวลาเรียน4-16'!B14</f>
        <v>เด็กหญิงนิตยา  พละโท</v>
      </c>
      <c r="C15" s="153">
        <v>9</v>
      </c>
      <c r="D15" s="62">
        <v>9</v>
      </c>
      <c r="E15" s="62">
        <v>9</v>
      </c>
      <c r="F15" s="5"/>
      <c r="G15" s="5"/>
      <c r="H15" s="5"/>
      <c r="I15" s="5"/>
      <c r="J15" s="5"/>
      <c r="K15" s="5"/>
      <c r="L15" s="5"/>
      <c r="M15" s="12">
        <f t="shared" si="0"/>
        <v>27</v>
      </c>
      <c r="N15" s="155">
        <v>15</v>
      </c>
      <c r="O15" s="11">
        <f t="shared" si="1"/>
        <v>42</v>
      </c>
      <c r="P15" s="5">
        <v>9</v>
      </c>
      <c r="Q15" s="19" t="str">
        <f t="shared" si="2"/>
        <v>เด็กหญิงนิตยา  พละโท</v>
      </c>
      <c r="R15" s="5">
        <v>9</v>
      </c>
      <c r="S15" s="5">
        <v>9</v>
      </c>
      <c r="T15" s="5">
        <v>9</v>
      </c>
      <c r="U15" s="5"/>
      <c r="V15" s="5"/>
      <c r="W15" s="5"/>
      <c r="X15" s="5"/>
      <c r="Y15" s="5"/>
      <c r="Z15" s="5"/>
      <c r="AA15" s="5"/>
      <c r="AB15" s="12">
        <f t="shared" si="3"/>
        <v>27</v>
      </c>
      <c r="AC15" s="157">
        <v>14</v>
      </c>
      <c r="AD15" s="11">
        <f t="shared" si="4"/>
        <v>41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42</v>
      </c>
      <c r="AH15" s="22">
        <f t="shared" si="6"/>
        <v>41</v>
      </c>
      <c r="AI15" s="22">
        <f t="shared" si="7"/>
        <v>83</v>
      </c>
      <c r="AJ15" s="22">
        <f t="shared" si="8"/>
        <v>4</v>
      </c>
      <c r="AK15" s="13"/>
      <c r="AL15" s="13"/>
      <c r="AM15" s="261" t="s">
        <v>450</v>
      </c>
      <c r="AN15" s="249"/>
      <c r="AO15" s="249"/>
      <c r="AP15" s="249"/>
      <c r="AQ15" s="249"/>
      <c r="AR15" s="249"/>
      <c r="AS15" s="249"/>
      <c r="AT15" s="249"/>
      <c r="AU15" s="115" t="s">
        <v>451</v>
      </c>
    </row>
    <row r="16" spans="1:47" ht="21" customHeight="1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153">
        <v>9</v>
      </c>
      <c r="D16" s="62">
        <v>9</v>
      </c>
      <c r="E16" s="62">
        <v>9</v>
      </c>
      <c r="F16" s="5"/>
      <c r="G16" s="5"/>
      <c r="H16" s="5"/>
      <c r="I16" s="5"/>
      <c r="J16" s="5"/>
      <c r="K16" s="5"/>
      <c r="L16" s="5"/>
      <c r="M16" s="12">
        <f t="shared" si="0"/>
        <v>27</v>
      </c>
      <c r="N16" s="155">
        <v>16</v>
      </c>
      <c r="O16" s="11">
        <f t="shared" si="1"/>
        <v>43</v>
      </c>
      <c r="P16" s="5">
        <v>10</v>
      </c>
      <c r="Q16" s="19" t="str">
        <f t="shared" si="2"/>
        <v>เด็กหญิงบัณฑิตา  เบ้าพงษ์</v>
      </c>
      <c r="R16" s="5">
        <v>9</v>
      </c>
      <c r="S16" s="5">
        <v>9</v>
      </c>
      <c r="T16" s="5">
        <v>9</v>
      </c>
      <c r="U16" s="5"/>
      <c r="V16" s="5"/>
      <c r="W16" s="5"/>
      <c r="X16" s="5"/>
      <c r="Y16" s="5"/>
      <c r="Z16" s="5"/>
      <c r="AA16" s="5"/>
      <c r="AB16" s="12">
        <f t="shared" si="3"/>
        <v>27</v>
      </c>
      <c r="AC16" s="157">
        <v>17</v>
      </c>
      <c r="AD16" s="11">
        <f t="shared" si="4"/>
        <v>44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43</v>
      </c>
      <c r="AH16" s="22">
        <f t="shared" si="6"/>
        <v>44</v>
      </c>
      <c r="AI16" s="22">
        <f t="shared" si="7"/>
        <v>87</v>
      </c>
      <c r="AJ16" s="22">
        <f t="shared" si="8"/>
        <v>4</v>
      </c>
      <c r="AK16" s="13"/>
      <c r="AL16" s="13"/>
      <c r="AM16" s="261" t="s">
        <v>452</v>
      </c>
      <c r="AN16" s="249"/>
      <c r="AO16" s="249"/>
      <c r="AP16" s="249"/>
      <c r="AQ16" s="249"/>
      <c r="AR16" s="249"/>
      <c r="AS16" s="249"/>
      <c r="AT16" s="249"/>
      <c r="AU16" s="115" t="s">
        <v>453</v>
      </c>
    </row>
    <row r="17" spans="1:47" ht="21" customHeight="1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153">
        <v>9</v>
      </c>
      <c r="D17" s="62">
        <v>9</v>
      </c>
      <c r="E17" s="62">
        <v>9</v>
      </c>
      <c r="F17" s="5"/>
      <c r="G17" s="5"/>
      <c r="H17" s="5"/>
      <c r="I17" s="5"/>
      <c r="J17" s="5"/>
      <c r="K17" s="5"/>
      <c r="L17" s="5"/>
      <c r="M17" s="12">
        <f t="shared" si="0"/>
        <v>27</v>
      </c>
      <c r="N17" s="155">
        <v>14</v>
      </c>
      <c r="O17" s="11">
        <f t="shared" si="1"/>
        <v>41</v>
      </c>
      <c r="P17" s="5">
        <v>11</v>
      </c>
      <c r="Q17" s="19" t="str">
        <f t="shared" si="2"/>
        <v>เด็กหญิงพัชรกัญญ์  บาลนาคม</v>
      </c>
      <c r="R17" s="5">
        <v>9</v>
      </c>
      <c r="S17" s="5">
        <v>9</v>
      </c>
      <c r="T17" s="5">
        <v>9</v>
      </c>
      <c r="U17" s="5"/>
      <c r="V17" s="5"/>
      <c r="W17" s="5"/>
      <c r="X17" s="5"/>
      <c r="Y17" s="5"/>
      <c r="Z17" s="5"/>
      <c r="AA17" s="5"/>
      <c r="AB17" s="12">
        <f t="shared" si="3"/>
        <v>27</v>
      </c>
      <c r="AC17" s="157">
        <v>15</v>
      </c>
      <c r="AD17" s="11">
        <f t="shared" si="4"/>
        <v>42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41</v>
      </c>
      <c r="AH17" s="22">
        <f t="shared" si="6"/>
        <v>42</v>
      </c>
      <c r="AI17" s="22">
        <f t="shared" si="7"/>
        <v>83</v>
      </c>
      <c r="AJ17" s="22">
        <f t="shared" si="8"/>
        <v>4</v>
      </c>
      <c r="AK17" s="13"/>
      <c r="AL17" s="13"/>
      <c r="AM17" s="261" t="s">
        <v>454</v>
      </c>
      <c r="AN17" s="249"/>
      <c r="AO17" s="249"/>
      <c r="AP17" s="249"/>
      <c r="AQ17" s="249"/>
      <c r="AR17" s="249"/>
      <c r="AS17" s="249"/>
      <c r="AT17" s="249"/>
      <c r="AU17" s="115" t="s">
        <v>455</v>
      </c>
    </row>
    <row r="18" spans="1:47" ht="21" customHeight="1" x14ac:dyDescent="0.4">
      <c r="A18" s="5">
        <v>12</v>
      </c>
      <c r="B18" s="19" t="str">
        <f>'เวลาเรียน4-16'!B17</f>
        <v>เด็กหญิงสุวิชาดา  ชูจิตร</v>
      </c>
      <c r="C18" s="153">
        <v>9</v>
      </c>
      <c r="D18" s="62">
        <v>9</v>
      </c>
      <c r="E18" s="62">
        <v>9</v>
      </c>
      <c r="F18" s="5"/>
      <c r="G18" s="5"/>
      <c r="H18" s="5"/>
      <c r="I18" s="5"/>
      <c r="J18" s="5"/>
      <c r="K18" s="5"/>
      <c r="L18" s="5"/>
      <c r="M18" s="12">
        <f t="shared" si="0"/>
        <v>27</v>
      </c>
      <c r="N18" s="155">
        <v>13</v>
      </c>
      <c r="O18" s="11">
        <f t="shared" si="1"/>
        <v>40</v>
      </c>
      <c r="P18" s="5">
        <v>12</v>
      </c>
      <c r="Q18" s="19" t="str">
        <f t="shared" si="2"/>
        <v>เด็กหญิงสุวิชาดา  ชูจิตร</v>
      </c>
      <c r="R18" s="5">
        <v>9</v>
      </c>
      <c r="S18" s="5">
        <v>9</v>
      </c>
      <c r="T18" s="5">
        <v>9</v>
      </c>
      <c r="U18" s="5"/>
      <c r="V18" s="5"/>
      <c r="W18" s="5"/>
      <c r="X18" s="5"/>
      <c r="Y18" s="5"/>
      <c r="Z18" s="5"/>
      <c r="AA18" s="5"/>
      <c r="AB18" s="12">
        <f t="shared" si="3"/>
        <v>27</v>
      </c>
      <c r="AC18" s="157">
        <v>14</v>
      </c>
      <c r="AD18" s="11">
        <f t="shared" si="4"/>
        <v>41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40</v>
      </c>
      <c r="AH18" s="22">
        <f t="shared" si="6"/>
        <v>41</v>
      </c>
      <c r="AI18" s="22">
        <f t="shared" si="7"/>
        <v>81</v>
      </c>
      <c r="AJ18" s="22">
        <f t="shared" si="8"/>
        <v>4</v>
      </c>
      <c r="AK18" s="13"/>
      <c r="AL18" s="13"/>
      <c r="AM18" s="261" t="s">
        <v>456</v>
      </c>
      <c r="AN18" s="249"/>
      <c r="AO18" s="249"/>
      <c r="AP18" s="249"/>
      <c r="AQ18" s="249"/>
      <c r="AR18" s="249"/>
      <c r="AS18" s="249"/>
      <c r="AT18" s="249"/>
      <c r="AU18" s="115" t="s">
        <v>457</v>
      </c>
    </row>
    <row r="19" spans="1:47" ht="21" customHeight="1" x14ac:dyDescent="0.4">
      <c r="A19" s="5">
        <v>13</v>
      </c>
      <c r="B19" s="19" t="str">
        <f>'เวลาเรียน4-16'!B18</f>
        <v>เด็กหญิงปุญญิศา  อุปทุม</v>
      </c>
      <c r="C19" s="153">
        <v>10</v>
      </c>
      <c r="D19" s="62">
        <v>10</v>
      </c>
      <c r="E19" s="62">
        <v>10</v>
      </c>
      <c r="F19" s="5"/>
      <c r="G19" s="5"/>
      <c r="H19" s="5"/>
      <c r="I19" s="5"/>
      <c r="J19" s="5"/>
      <c r="K19" s="5"/>
      <c r="L19" s="5"/>
      <c r="M19" s="12">
        <f t="shared" si="0"/>
        <v>30</v>
      </c>
      <c r="N19" s="155">
        <v>18</v>
      </c>
      <c r="O19" s="11">
        <f t="shared" si="1"/>
        <v>48</v>
      </c>
      <c r="P19" s="5">
        <v>13</v>
      </c>
      <c r="Q19" s="19" t="str">
        <f t="shared" si="2"/>
        <v>เด็กหญิงปุญญิศา  อุปทุม</v>
      </c>
      <c r="R19" s="5">
        <v>10</v>
      </c>
      <c r="S19" s="5">
        <v>10</v>
      </c>
      <c r="T19" s="5">
        <v>10</v>
      </c>
      <c r="U19" s="5"/>
      <c r="V19" s="5"/>
      <c r="W19" s="5"/>
      <c r="X19" s="5"/>
      <c r="Y19" s="5"/>
      <c r="Z19" s="5"/>
      <c r="AA19" s="5"/>
      <c r="AB19" s="12">
        <f t="shared" si="3"/>
        <v>30</v>
      </c>
      <c r="AC19" s="157">
        <v>19</v>
      </c>
      <c r="AD19" s="11">
        <f t="shared" si="4"/>
        <v>49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48</v>
      </c>
      <c r="AH19" s="22">
        <f t="shared" si="6"/>
        <v>49</v>
      </c>
      <c r="AI19" s="22">
        <f t="shared" si="7"/>
        <v>97</v>
      </c>
      <c r="AJ19" s="22">
        <f t="shared" si="8"/>
        <v>4</v>
      </c>
      <c r="AK19" s="13"/>
      <c r="AL19" s="13"/>
      <c r="AM19" s="261" t="s">
        <v>458</v>
      </c>
      <c r="AN19" s="249"/>
      <c r="AO19" s="249"/>
      <c r="AP19" s="249"/>
      <c r="AQ19" s="249"/>
      <c r="AR19" s="249"/>
      <c r="AS19" s="249"/>
      <c r="AT19" s="249"/>
      <c r="AU19" s="115"/>
    </row>
    <row r="20" spans="1:47" ht="21" customHeight="1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9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>
        <f t="shared" si="3"/>
        <v>0</v>
      </c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261" t="s">
        <v>459</v>
      </c>
      <c r="AN20" s="249"/>
      <c r="AO20" s="249"/>
      <c r="AP20" s="249"/>
      <c r="AQ20" s="249"/>
      <c r="AR20" s="249"/>
      <c r="AS20" s="249"/>
      <c r="AT20" s="249"/>
      <c r="AU20" s="115" t="s">
        <v>460</v>
      </c>
    </row>
    <row r="21" spans="1:47" ht="21" customHeight="1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9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261" t="s">
        <v>461</v>
      </c>
      <c r="AN21" s="249"/>
      <c r="AO21" s="249"/>
      <c r="AP21" s="249"/>
      <c r="AQ21" s="249"/>
      <c r="AR21" s="249"/>
      <c r="AS21" s="249"/>
      <c r="AT21" s="249"/>
      <c r="AU21" s="115" t="s">
        <v>462</v>
      </c>
    </row>
    <row r="22" spans="1:47" ht="21" customHeight="1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9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261" t="s">
        <v>463</v>
      </c>
      <c r="AN22" s="249"/>
      <c r="AO22" s="249"/>
      <c r="AP22" s="249"/>
      <c r="AQ22" s="249"/>
      <c r="AR22" s="249"/>
      <c r="AS22" s="249"/>
      <c r="AT22" s="249"/>
      <c r="AU22" s="115" t="s">
        <v>464</v>
      </c>
    </row>
    <row r="23" spans="1:47" ht="21" customHeight="1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9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261" t="s">
        <v>465</v>
      </c>
      <c r="AN23" s="249"/>
      <c r="AO23" s="249"/>
      <c r="AP23" s="249"/>
      <c r="AQ23" s="249"/>
      <c r="AR23" s="249"/>
      <c r="AS23" s="249"/>
      <c r="AT23" s="249"/>
      <c r="AU23" s="115" t="s">
        <v>466</v>
      </c>
    </row>
    <row r="24" spans="1:47" ht="21" customHeight="1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9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261" t="s">
        <v>467</v>
      </c>
      <c r="AN24" s="249"/>
      <c r="AO24" s="249"/>
      <c r="AP24" s="249"/>
      <c r="AQ24" s="249"/>
      <c r="AR24" s="249"/>
      <c r="AS24" s="249"/>
      <c r="AT24" s="249"/>
      <c r="AU24" s="115" t="s">
        <v>468</v>
      </c>
    </row>
    <row r="25" spans="1:47" ht="21" customHeight="1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9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261" t="s">
        <v>469</v>
      </c>
      <c r="AN25" s="249"/>
      <c r="AO25" s="249"/>
      <c r="AP25" s="249"/>
      <c r="AQ25" s="249"/>
      <c r="AR25" s="249"/>
      <c r="AS25" s="249"/>
      <c r="AT25" s="249"/>
      <c r="AU25" s="115" t="s">
        <v>470</v>
      </c>
    </row>
    <row r="26" spans="1:47" ht="21" customHeight="1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9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261" t="s">
        <v>471</v>
      </c>
      <c r="AN26" s="249"/>
      <c r="AO26" s="249"/>
      <c r="AP26" s="249"/>
      <c r="AQ26" s="249"/>
      <c r="AR26" s="249"/>
      <c r="AS26" s="249"/>
      <c r="AT26" s="249"/>
      <c r="AU26" s="115" t="s">
        <v>472</v>
      </c>
    </row>
    <row r="27" spans="1:47" ht="21" customHeight="1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9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61" t="s">
        <v>473</v>
      </c>
      <c r="AN27" s="249"/>
      <c r="AO27" s="249"/>
      <c r="AP27" s="249"/>
      <c r="AQ27" s="249"/>
      <c r="AR27" s="249"/>
      <c r="AS27" s="249"/>
      <c r="AT27" s="249"/>
      <c r="AU27" s="115" t="s">
        <v>474</v>
      </c>
    </row>
    <row r="28" spans="1:47" ht="21" customHeight="1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9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61" t="s">
        <v>475</v>
      </c>
      <c r="AN28" s="249"/>
      <c r="AO28" s="249"/>
      <c r="AP28" s="249"/>
      <c r="AQ28" s="249"/>
      <c r="AR28" s="249"/>
      <c r="AS28" s="249"/>
      <c r="AT28" s="249"/>
      <c r="AU28" s="115" t="s">
        <v>476</v>
      </c>
    </row>
    <row r="29" spans="1:47" ht="21" customHeight="1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9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61" t="s">
        <v>477</v>
      </c>
      <c r="AN29" s="249"/>
      <c r="AO29" s="249"/>
      <c r="AP29" s="249"/>
      <c r="AQ29" s="249"/>
      <c r="AR29" s="249"/>
      <c r="AS29" s="249"/>
      <c r="AT29" s="249"/>
      <c r="AU29" s="115" t="s">
        <v>478</v>
      </c>
    </row>
    <row r="30" spans="1:47" ht="21" customHeight="1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9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261" t="s">
        <v>479</v>
      </c>
      <c r="AN30" s="249"/>
      <c r="AO30" s="249"/>
      <c r="AP30" s="249"/>
      <c r="AQ30" s="249"/>
      <c r="AR30" s="249"/>
      <c r="AS30" s="249"/>
      <c r="AT30" s="249"/>
      <c r="AU30" s="115" t="s">
        <v>480</v>
      </c>
    </row>
    <row r="31" spans="1:47" ht="21" customHeight="1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9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261" t="s">
        <v>481</v>
      </c>
      <c r="AN31" s="249"/>
      <c r="AO31" s="249"/>
      <c r="AP31" s="249"/>
      <c r="AQ31" s="249"/>
      <c r="AR31" s="249"/>
      <c r="AS31" s="249"/>
      <c r="AT31" s="249"/>
      <c r="AU31" s="115" t="s">
        <v>482</v>
      </c>
    </row>
    <row r="32" spans="1:47" ht="21" customHeight="1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9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261" t="s">
        <v>483</v>
      </c>
      <c r="AN32" s="249"/>
      <c r="AO32" s="249"/>
      <c r="AP32" s="249"/>
      <c r="AQ32" s="249"/>
      <c r="AR32" s="249"/>
      <c r="AS32" s="249"/>
      <c r="AT32" s="249"/>
      <c r="AU32" s="115" t="s">
        <v>484</v>
      </c>
    </row>
    <row r="33" spans="1:47" ht="21" customHeight="1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9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261" t="s">
        <v>485</v>
      </c>
      <c r="AN33" s="249"/>
      <c r="AO33" s="249"/>
      <c r="AP33" s="249"/>
      <c r="AQ33" s="249"/>
      <c r="AR33" s="249"/>
      <c r="AS33" s="249"/>
      <c r="AT33" s="249"/>
      <c r="AU33" s="115" t="s">
        <v>486</v>
      </c>
    </row>
    <row r="34" spans="1:47" ht="21.75" customHeight="1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9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261" t="s">
        <v>487</v>
      </c>
      <c r="AN34" s="249"/>
      <c r="AO34" s="249"/>
      <c r="AP34" s="249"/>
      <c r="AQ34" s="249"/>
      <c r="AR34" s="249"/>
      <c r="AS34" s="249"/>
      <c r="AT34" s="249"/>
      <c r="AU34" s="115" t="s">
        <v>488</v>
      </c>
    </row>
    <row r="35" spans="1:47" ht="21" customHeight="1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9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261" t="s">
        <v>489</v>
      </c>
      <c r="AN35" s="249"/>
      <c r="AO35" s="249"/>
      <c r="AP35" s="249"/>
      <c r="AQ35" s="249"/>
      <c r="AR35" s="249"/>
      <c r="AS35" s="249"/>
      <c r="AT35" s="249"/>
      <c r="AU35" s="115" t="s">
        <v>490</v>
      </c>
    </row>
    <row r="36" spans="1:47" ht="19.5" customHeight="1" x14ac:dyDescent="0.35">
      <c r="AM36" s="261" t="s">
        <v>491</v>
      </c>
      <c r="AN36" s="249"/>
      <c r="AO36" s="249"/>
      <c r="AP36" s="249"/>
      <c r="AQ36" s="249"/>
      <c r="AR36" s="249"/>
      <c r="AS36" s="249"/>
      <c r="AT36" s="249"/>
      <c r="AU36" s="115" t="s">
        <v>492</v>
      </c>
    </row>
    <row r="37" spans="1:47" x14ac:dyDescent="0.35">
      <c r="AM37" s="261" t="s">
        <v>493</v>
      </c>
      <c r="AN37" s="249"/>
      <c r="AO37" s="249"/>
      <c r="AP37" s="249"/>
      <c r="AQ37" s="249"/>
      <c r="AR37" s="249"/>
      <c r="AS37" s="249"/>
      <c r="AT37" s="249"/>
      <c r="AU37" s="115" t="s">
        <v>494</v>
      </c>
    </row>
    <row r="38" spans="1:47" ht="20" thickBot="1" x14ac:dyDescent="0.4">
      <c r="AM38" s="262" t="s">
        <v>495</v>
      </c>
      <c r="AN38" s="250"/>
      <c r="AO38" s="250"/>
      <c r="AP38" s="250"/>
      <c r="AQ38" s="250"/>
      <c r="AR38" s="250"/>
      <c r="AS38" s="250"/>
      <c r="AT38" s="250"/>
      <c r="AU38" s="118"/>
    </row>
    <row r="48" spans="1:47" ht="14.25" customHeight="1" x14ac:dyDescent="0.35"/>
    <row r="49" ht="14.25" customHeight="1" x14ac:dyDescent="0.35"/>
    <row r="50" ht="14.25" customHeight="1" x14ac:dyDescent="0.35"/>
  </sheetData>
  <mergeCells count="59">
    <mergeCell ref="R4:AB4"/>
    <mergeCell ref="AC4:AC5"/>
    <mergeCell ref="AD4:AD5"/>
    <mergeCell ref="AE4:AE6"/>
    <mergeCell ref="A4:A6"/>
    <mergeCell ref="C4:M4"/>
    <mergeCell ref="N4:N5"/>
    <mergeCell ref="O4:O5"/>
    <mergeCell ref="P4:P6"/>
    <mergeCell ref="AM2:AU2"/>
    <mergeCell ref="A3:O3"/>
    <mergeCell ref="P3:AD3"/>
    <mergeCell ref="AE3:AL3"/>
    <mergeCell ref="AM3:AU3"/>
    <mergeCell ref="A2:O2"/>
    <mergeCell ref="P2:AD2"/>
    <mergeCell ref="AE2:AL2"/>
    <mergeCell ref="AM7:AT7"/>
    <mergeCell ref="AM8:AT8"/>
    <mergeCell ref="AM9:AT9"/>
    <mergeCell ref="AM10:AT10"/>
    <mergeCell ref="AM11:AT11"/>
    <mergeCell ref="AK4:AK6"/>
    <mergeCell ref="AL4:AL6"/>
    <mergeCell ref="AM4:AT4"/>
    <mergeCell ref="AM5:AT5"/>
    <mergeCell ref="AM6:AT6"/>
    <mergeCell ref="AF4:AF5"/>
    <mergeCell ref="AG4:AG5"/>
    <mergeCell ref="AH4:AH5"/>
    <mergeCell ref="AI4:AI5"/>
    <mergeCell ref="AJ4:AJ6"/>
    <mergeCell ref="AM29:AT29"/>
    <mergeCell ref="AM14:AT14"/>
    <mergeCell ref="AM21:AT21"/>
    <mergeCell ref="AM22:AT22"/>
    <mergeCell ref="AM23:AT23"/>
    <mergeCell ref="AM24:AT24"/>
    <mergeCell ref="AM25:AT25"/>
    <mergeCell ref="AM20:AT20"/>
    <mergeCell ref="AM26:AT26"/>
    <mergeCell ref="AM27:AT27"/>
    <mergeCell ref="AM28:AT28"/>
    <mergeCell ref="AM37:AT37"/>
    <mergeCell ref="AM38:AT38"/>
    <mergeCell ref="AM36:AT36"/>
    <mergeCell ref="AM32:AT32"/>
    <mergeCell ref="AM12:AT12"/>
    <mergeCell ref="AM13:AT13"/>
    <mergeCell ref="AM33:AT33"/>
    <mergeCell ref="AM34:AT34"/>
    <mergeCell ref="AM35:AT35"/>
    <mergeCell ref="AM15:AT15"/>
    <mergeCell ref="AM16:AT16"/>
    <mergeCell ref="AM17:AT17"/>
    <mergeCell ref="AM30:AT30"/>
    <mergeCell ref="AM18:AT18"/>
    <mergeCell ref="AM19:AT19"/>
    <mergeCell ref="AM31:AT31"/>
  </mergeCells>
  <pageMargins left="0.85416666666666663" right="0.17708333333333334" top="0.41666666666666669" bottom="0.41666666666666669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U50"/>
  <sheetViews>
    <sheetView showWhiteSpace="0" view="pageLayout" topLeftCell="W1" zoomScale="136" zoomScaleNormal="100" zoomScalePageLayoutView="136" workbookViewId="0">
      <selection activeCell="AM21" sqref="AM21:AU21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33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34</v>
      </c>
      <c r="AL1" s="1">
        <v>35</v>
      </c>
      <c r="AU1" s="1">
        <v>36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262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324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ประวัติศาสตร์  (ส16102)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ประวัติศาสตร์  (ส16102)</v>
      </c>
      <c r="AF3" s="246"/>
      <c r="AG3" s="246"/>
      <c r="AH3" s="246"/>
      <c r="AI3" s="246"/>
      <c r="AJ3" s="246"/>
      <c r="AK3" s="246"/>
      <c r="AL3" s="246"/>
      <c r="AM3" s="273" t="s">
        <v>496</v>
      </c>
      <c r="AN3" s="274"/>
      <c r="AO3" s="274"/>
      <c r="AP3" s="274"/>
      <c r="AQ3" s="274"/>
      <c r="AR3" s="274"/>
      <c r="AS3" s="274"/>
      <c r="AT3" s="274"/>
      <c r="AU3" s="275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114"/>
      <c r="AN4" s="10"/>
      <c r="AO4" s="10"/>
      <c r="AP4" s="10"/>
      <c r="AQ4" s="10"/>
      <c r="AR4" s="10"/>
      <c r="AS4" s="10"/>
      <c r="AT4" s="10"/>
      <c r="AU4" s="115"/>
    </row>
    <row r="5" spans="1:47" s="24" customFormat="1" ht="14.25" customHeight="1" x14ac:dyDescent="0.35">
      <c r="A5" s="236"/>
      <c r="B5" s="25" t="s">
        <v>247</v>
      </c>
      <c r="C5" s="112"/>
      <c r="D5" s="112"/>
      <c r="E5" s="112"/>
      <c r="F5" s="112"/>
      <c r="G5" s="112"/>
      <c r="H5" s="112"/>
      <c r="I5" s="112"/>
      <c r="J5" s="15"/>
      <c r="K5" s="15"/>
      <c r="L5" s="15"/>
      <c r="M5" s="17" t="s">
        <v>17</v>
      </c>
      <c r="N5" s="237"/>
      <c r="O5" s="237"/>
      <c r="P5" s="236"/>
      <c r="Q5" s="25" t="s">
        <v>247</v>
      </c>
      <c r="R5" s="112"/>
      <c r="S5" s="112"/>
      <c r="T5" s="112"/>
      <c r="U5" s="112"/>
      <c r="V5" s="112"/>
      <c r="W5" s="112"/>
      <c r="X5" s="15"/>
      <c r="Y5" s="15"/>
      <c r="Z5" s="15"/>
      <c r="AA5" s="15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272" t="s">
        <v>497</v>
      </c>
      <c r="AN5" s="223"/>
      <c r="AO5" s="223"/>
      <c r="AP5" s="223"/>
      <c r="AQ5" s="223"/>
      <c r="AR5" s="223"/>
      <c r="AS5" s="223"/>
      <c r="AT5" s="223"/>
      <c r="AU5" s="116" t="s">
        <v>498</v>
      </c>
    </row>
    <row r="6" spans="1:47" ht="18.75" customHeight="1" x14ac:dyDescent="0.35">
      <c r="A6" s="237"/>
      <c r="B6" s="14" t="s">
        <v>16</v>
      </c>
      <c r="C6" s="15">
        <v>10</v>
      </c>
      <c r="D6" s="15">
        <v>10</v>
      </c>
      <c r="E6" s="15">
        <v>10</v>
      </c>
      <c r="F6" s="15"/>
      <c r="G6" s="15"/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10</v>
      </c>
      <c r="S6" s="15">
        <v>10</v>
      </c>
      <c r="T6" s="15">
        <v>10</v>
      </c>
      <c r="U6" s="15"/>
      <c r="V6" s="15"/>
      <c r="W6" s="15"/>
      <c r="X6" s="15"/>
      <c r="Y6" s="15"/>
      <c r="Z6" s="15"/>
      <c r="AA6" s="15"/>
      <c r="AB6" s="17"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272" t="s">
        <v>499</v>
      </c>
      <c r="AN6" s="223"/>
      <c r="AO6" s="223"/>
      <c r="AP6" s="223"/>
      <c r="AQ6" s="223"/>
      <c r="AR6" s="223"/>
      <c r="AS6" s="223"/>
      <c r="AT6" s="223"/>
      <c r="AU6" s="116" t="s">
        <v>500</v>
      </c>
    </row>
    <row r="7" spans="1:47" ht="21" customHeight="1" x14ac:dyDescent="0.4">
      <c r="A7" s="5">
        <v>1</v>
      </c>
      <c r="B7" s="19" t="str">
        <f>'เวลาเรียน4-16'!B6</f>
        <v>เด็กชายกฤษดา  บัวศรี</v>
      </c>
      <c r="C7" s="158">
        <v>9</v>
      </c>
      <c r="D7" s="159">
        <v>10</v>
      </c>
      <c r="E7" s="159">
        <v>9</v>
      </c>
      <c r="F7" s="5"/>
      <c r="G7" s="5"/>
      <c r="H7" s="5"/>
      <c r="I7" s="5"/>
      <c r="J7" s="5"/>
      <c r="K7" s="5"/>
      <c r="L7" s="5"/>
      <c r="M7" s="12">
        <f t="shared" ref="M7:M19" si="0">SUM(C7:L7)</f>
        <v>28</v>
      </c>
      <c r="N7" s="5">
        <v>15</v>
      </c>
      <c r="O7" s="11">
        <f t="shared" ref="O7:O19" si="1">SUM(M7:N7)</f>
        <v>43</v>
      </c>
      <c r="P7" s="5">
        <v>1</v>
      </c>
      <c r="Q7" s="19" t="str">
        <f t="shared" ref="Q7:Q19" si="2">B7</f>
        <v>เด็กชายกฤษดา  บัวศรี</v>
      </c>
      <c r="R7" s="5">
        <v>9</v>
      </c>
      <c r="S7" s="5">
        <v>9</v>
      </c>
      <c r="T7" s="5">
        <v>10</v>
      </c>
      <c r="U7" s="5"/>
      <c r="V7" s="5"/>
      <c r="W7" s="5"/>
      <c r="X7" s="5"/>
      <c r="Y7" s="5"/>
      <c r="Z7" s="5"/>
      <c r="AA7" s="5"/>
      <c r="AB7" s="12">
        <f t="shared" ref="AB7:AB19" si="3">SUM(R7:AA7)</f>
        <v>28</v>
      </c>
      <c r="AC7" s="5">
        <v>16</v>
      </c>
      <c r="AD7" s="11">
        <f t="shared" ref="AD7:AD19" si="4">SUM(AB7:AC7)</f>
        <v>44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43</v>
      </c>
      <c r="AH7" s="22">
        <f t="shared" ref="AH7:AH19" si="6">AD7</f>
        <v>44</v>
      </c>
      <c r="AI7" s="22">
        <f>SUM(AG7:AH7)</f>
        <v>87</v>
      </c>
      <c r="AJ7" s="22">
        <f>IF(AI7&gt;79,4,IF(AI7&gt;74,3.5,IF(AI7&gt;69,3,IF(AI7&gt;64,2.5,IF(AI7&gt;59,2,IF(AI7&gt;54,1.5,IF(AI7&gt;49,1,IF(AI7&lt;50,0))))))))</f>
        <v>4</v>
      </c>
      <c r="AK7" s="13"/>
      <c r="AL7" s="13"/>
      <c r="AM7" s="272" t="s">
        <v>501</v>
      </c>
      <c r="AN7" s="223"/>
      <c r="AO7" s="223"/>
      <c r="AP7" s="223"/>
      <c r="AQ7" s="223"/>
      <c r="AR7" s="223"/>
      <c r="AS7" s="223"/>
      <c r="AT7" s="223"/>
      <c r="AU7" s="116" t="s">
        <v>502</v>
      </c>
    </row>
    <row r="8" spans="1:47" ht="21" customHeight="1" x14ac:dyDescent="0.4">
      <c r="A8" s="5">
        <v>2</v>
      </c>
      <c r="B8" s="19" t="str">
        <f>'เวลาเรียน4-16'!B7</f>
        <v>เด็กชายจิรายุ  ดอบุตร</v>
      </c>
      <c r="C8" s="160">
        <v>9</v>
      </c>
      <c r="D8" s="161">
        <v>9</v>
      </c>
      <c r="E8" s="161">
        <v>9</v>
      </c>
      <c r="F8" s="5"/>
      <c r="G8" s="5"/>
      <c r="H8" s="5"/>
      <c r="I8" s="5"/>
      <c r="J8" s="5"/>
      <c r="K8" s="5"/>
      <c r="L8" s="5"/>
      <c r="M8" s="12">
        <f t="shared" si="0"/>
        <v>27</v>
      </c>
      <c r="N8" s="5">
        <v>15</v>
      </c>
      <c r="O8" s="11">
        <f t="shared" si="1"/>
        <v>42</v>
      </c>
      <c r="P8" s="5">
        <v>2</v>
      </c>
      <c r="Q8" s="19" t="str">
        <f t="shared" si="2"/>
        <v>เด็กชายจิรายุ  ดอบุตร</v>
      </c>
      <c r="R8" s="5">
        <v>9</v>
      </c>
      <c r="S8" s="5">
        <v>9</v>
      </c>
      <c r="T8" s="5">
        <v>9</v>
      </c>
      <c r="U8" s="5"/>
      <c r="V8" s="5"/>
      <c r="W8" s="5"/>
      <c r="X8" s="5"/>
      <c r="Y8" s="5"/>
      <c r="Z8" s="5"/>
      <c r="AA8" s="5"/>
      <c r="AB8" s="12">
        <f t="shared" si="3"/>
        <v>27</v>
      </c>
      <c r="AC8" s="5">
        <v>16</v>
      </c>
      <c r="AD8" s="11">
        <f t="shared" si="4"/>
        <v>43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42</v>
      </c>
      <c r="AH8" s="22">
        <f t="shared" si="6"/>
        <v>43</v>
      </c>
      <c r="AI8" s="22">
        <f t="shared" ref="AI8:AI19" si="7">SUM(AG8:AH8)</f>
        <v>85</v>
      </c>
      <c r="AJ8" s="22">
        <f t="shared" ref="AJ8:AJ19" si="8">IF(AI8&gt;79,4,IF(AI8&gt;74,3.5,IF(AI8&gt;69,3,IF(AI8&gt;64,2.5,IF(AI8&gt;59,2,IF(AI8&gt;54,1.5,IF(AI8&gt;49,1,IF(AI8&lt;50,0))))))))</f>
        <v>4</v>
      </c>
      <c r="AK8" s="13"/>
      <c r="AL8" s="13"/>
      <c r="AM8" s="272" t="s">
        <v>503</v>
      </c>
      <c r="AN8" s="223"/>
      <c r="AO8" s="223"/>
      <c r="AP8" s="223"/>
      <c r="AQ8" s="223"/>
      <c r="AR8" s="223"/>
      <c r="AS8" s="223"/>
      <c r="AT8" s="223"/>
      <c r="AU8" s="116" t="s">
        <v>504</v>
      </c>
    </row>
    <row r="9" spans="1:47" ht="21" customHeight="1" x14ac:dyDescent="0.4">
      <c r="A9" s="5">
        <v>3</v>
      </c>
      <c r="B9" s="19" t="str">
        <f>'เวลาเรียน4-16'!B8</f>
        <v>เด็กชายจิรายุ  เนตรสว่าง</v>
      </c>
      <c r="C9" s="160">
        <v>9</v>
      </c>
      <c r="D9" s="161">
        <v>9</v>
      </c>
      <c r="E9" s="161">
        <v>9</v>
      </c>
      <c r="F9" s="5"/>
      <c r="G9" s="5"/>
      <c r="H9" s="5"/>
      <c r="I9" s="5"/>
      <c r="J9" s="5"/>
      <c r="K9" s="5"/>
      <c r="L9" s="5"/>
      <c r="M9" s="12">
        <f t="shared" si="0"/>
        <v>27</v>
      </c>
      <c r="N9" s="5">
        <v>13</v>
      </c>
      <c r="O9" s="11">
        <f t="shared" si="1"/>
        <v>40</v>
      </c>
      <c r="P9" s="5">
        <v>3</v>
      </c>
      <c r="Q9" s="19" t="str">
        <f t="shared" si="2"/>
        <v>เด็กชายจิรายุ  เนตรสว่าง</v>
      </c>
      <c r="R9" s="5">
        <v>9</v>
      </c>
      <c r="S9" s="5">
        <v>9</v>
      </c>
      <c r="T9" s="5">
        <v>9</v>
      </c>
      <c r="U9" s="5"/>
      <c r="V9" s="5"/>
      <c r="W9" s="5"/>
      <c r="X9" s="5"/>
      <c r="Y9" s="5"/>
      <c r="Z9" s="5"/>
      <c r="AA9" s="5"/>
      <c r="AB9" s="12">
        <f t="shared" si="3"/>
        <v>27</v>
      </c>
      <c r="AC9" s="5">
        <v>14</v>
      </c>
      <c r="AD9" s="11">
        <f t="shared" si="4"/>
        <v>41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40</v>
      </c>
      <c r="AH9" s="22">
        <f t="shared" si="6"/>
        <v>41</v>
      </c>
      <c r="AI9" s="22">
        <f t="shared" si="7"/>
        <v>81</v>
      </c>
      <c r="AJ9" s="22">
        <f t="shared" si="8"/>
        <v>4</v>
      </c>
      <c r="AK9" s="13"/>
      <c r="AL9" s="13"/>
      <c r="AM9" s="272" t="s">
        <v>505</v>
      </c>
      <c r="AN9" s="223"/>
      <c r="AO9" s="223"/>
      <c r="AP9" s="223"/>
      <c r="AQ9" s="223"/>
      <c r="AR9" s="223"/>
      <c r="AS9" s="223"/>
      <c r="AT9" s="223"/>
      <c r="AU9" s="116" t="s">
        <v>506</v>
      </c>
    </row>
    <row r="10" spans="1:47" ht="21" customHeight="1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160">
        <v>9</v>
      </c>
      <c r="D10" s="161">
        <v>9</v>
      </c>
      <c r="E10" s="161">
        <v>9</v>
      </c>
      <c r="F10" s="5"/>
      <c r="G10" s="5"/>
      <c r="H10" s="5"/>
      <c r="I10" s="5"/>
      <c r="J10" s="5"/>
      <c r="K10" s="5"/>
      <c r="L10" s="5"/>
      <c r="M10" s="12">
        <f t="shared" si="0"/>
        <v>27</v>
      </c>
      <c r="N10" s="5">
        <v>13</v>
      </c>
      <c r="O10" s="11">
        <f t="shared" si="1"/>
        <v>40</v>
      </c>
      <c r="P10" s="5">
        <v>4</v>
      </c>
      <c r="Q10" s="19" t="str">
        <f t="shared" si="2"/>
        <v>เด็กชายจีรภัทร  คันธมาตย์</v>
      </c>
      <c r="R10" s="5">
        <v>8</v>
      </c>
      <c r="S10" s="5">
        <v>8</v>
      </c>
      <c r="T10" s="5">
        <v>8</v>
      </c>
      <c r="U10" s="5"/>
      <c r="V10" s="5"/>
      <c r="W10" s="5"/>
      <c r="X10" s="5"/>
      <c r="Y10" s="5"/>
      <c r="Z10" s="5"/>
      <c r="AA10" s="5"/>
      <c r="AB10" s="12">
        <f t="shared" si="3"/>
        <v>24</v>
      </c>
      <c r="AC10" s="5">
        <v>12</v>
      </c>
      <c r="AD10" s="11">
        <f t="shared" si="4"/>
        <v>36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40</v>
      </c>
      <c r="AH10" s="22">
        <f t="shared" si="6"/>
        <v>36</v>
      </c>
      <c r="AI10" s="22">
        <f t="shared" si="7"/>
        <v>76</v>
      </c>
      <c r="AJ10" s="22">
        <f t="shared" si="8"/>
        <v>3.5</v>
      </c>
      <c r="AK10" s="13"/>
      <c r="AL10" s="13"/>
      <c r="AM10" s="272" t="s">
        <v>507</v>
      </c>
      <c r="AN10" s="223"/>
      <c r="AO10" s="223"/>
      <c r="AP10" s="223"/>
      <c r="AQ10" s="223"/>
      <c r="AR10" s="223"/>
      <c r="AS10" s="223"/>
      <c r="AT10" s="223"/>
      <c r="AU10" s="116" t="s">
        <v>508</v>
      </c>
    </row>
    <row r="11" spans="1:47" ht="21" customHeight="1" x14ac:dyDescent="0.4">
      <c r="A11" s="5">
        <v>5</v>
      </c>
      <c r="B11" s="19" t="str">
        <f>'เวลาเรียน4-16'!B10</f>
        <v>เด็กชายปรวัฒน์  โพธิ์ศรี</v>
      </c>
      <c r="C11" s="160">
        <v>10</v>
      </c>
      <c r="D11" s="161">
        <v>10</v>
      </c>
      <c r="E11" s="161">
        <v>10</v>
      </c>
      <c r="F11" s="5"/>
      <c r="G11" s="5"/>
      <c r="H11" s="5"/>
      <c r="I11" s="5"/>
      <c r="J11" s="5"/>
      <c r="K11" s="5"/>
      <c r="L11" s="5"/>
      <c r="M11" s="12">
        <f t="shared" si="0"/>
        <v>30</v>
      </c>
      <c r="N11" s="5">
        <v>16</v>
      </c>
      <c r="O11" s="11">
        <f t="shared" si="1"/>
        <v>46</v>
      </c>
      <c r="P11" s="5">
        <v>5</v>
      </c>
      <c r="Q11" s="19" t="str">
        <f t="shared" si="2"/>
        <v>เด็กชายปรวัฒน์  โพธิ์ศรี</v>
      </c>
      <c r="R11" s="5">
        <v>8</v>
      </c>
      <c r="S11" s="5">
        <v>8</v>
      </c>
      <c r="T11" s="5">
        <v>8</v>
      </c>
      <c r="U11" s="5"/>
      <c r="V11" s="5"/>
      <c r="W11" s="5"/>
      <c r="X11" s="5"/>
      <c r="Y11" s="5"/>
      <c r="Z11" s="5"/>
      <c r="AA11" s="5"/>
      <c r="AB11" s="12">
        <f t="shared" si="3"/>
        <v>24</v>
      </c>
      <c r="AC11" s="5">
        <v>13</v>
      </c>
      <c r="AD11" s="11">
        <f t="shared" si="4"/>
        <v>37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46</v>
      </c>
      <c r="AH11" s="22">
        <f t="shared" si="6"/>
        <v>37</v>
      </c>
      <c r="AI11" s="22">
        <f t="shared" si="7"/>
        <v>83</v>
      </c>
      <c r="AJ11" s="22">
        <f t="shared" si="8"/>
        <v>4</v>
      </c>
      <c r="AK11" s="13"/>
      <c r="AL11" s="13"/>
      <c r="AM11" s="272" t="s">
        <v>509</v>
      </c>
      <c r="AN11" s="223"/>
      <c r="AO11" s="223"/>
      <c r="AP11" s="223"/>
      <c r="AQ11" s="223"/>
      <c r="AR11" s="223"/>
      <c r="AS11" s="223"/>
      <c r="AT11" s="223"/>
      <c r="AU11" s="116" t="s">
        <v>510</v>
      </c>
    </row>
    <row r="12" spans="1:47" ht="21" customHeight="1" x14ac:dyDescent="0.4">
      <c r="A12" s="5">
        <v>6</v>
      </c>
      <c r="B12" s="19" t="str">
        <f>'เวลาเรียน4-16'!B11</f>
        <v>เด็กชายพีรภาพ  วงคำใหญ่</v>
      </c>
      <c r="C12" s="160">
        <v>10</v>
      </c>
      <c r="D12" s="161">
        <v>10</v>
      </c>
      <c r="E12" s="161">
        <v>10</v>
      </c>
      <c r="F12" s="5"/>
      <c r="G12" s="5"/>
      <c r="H12" s="5"/>
      <c r="I12" s="5"/>
      <c r="J12" s="5"/>
      <c r="K12" s="5"/>
      <c r="L12" s="5"/>
      <c r="M12" s="12">
        <f t="shared" si="0"/>
        <v>30</v>
      </c>
      <c r="N12" s="5">
        <v>17</v>
      </c>
      <c r="O12" s="11">
        <f t="shared" si="1"/>
        <v>47</v>
      </c>
      <c r="P12" s="5">
        <v>6</v>
      </c>
      <c r="Q12" s="19" t="str">
        <f t="shared" si="2"/>
        <v>เด็กชายพีรภาพ  วงคำใหญ่</v>
      </c>
      <c r="R12" s="5">
        <v>10</v>
      </c>
      <c r="S12" s="5">
        <v>10</v>
      </c>
      <c r="T12" s="5">
        <v>10</v>
      </c>
      <c r="U12" s="5"/>
      <c r="V12" s="5"/>
      <c r="W12" s="5"/>
      <c r="X12" s="5"/>
      <c r="Y12" s="5"/>
      <c r="Z12" s="5"/>
      <c r="AA12" s="5"/>
      <c r="AB12" s="12">
        <f t="shared" si="3"/>
        <v>30</v>
      </c>
      <c r="AC12" s="5">
        <v>17</v>
      </c>
      <c r="AD12" s="11">
        <f t="shared" si="4"/>
        <v>47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47</v>
      </c>
      <c r="AH12" s="22">
        <f t="shared" si="6"/>
        <v>47</v>
      </c>
      <c r="AI12" s="22">
        <f t="shared" si="7"/>
        <v>94</v>
      </c>
      <c r="AJ12" s="22">
        <f t="shared" si="8"/>
        <v>4</v>
      </c>
      <c r="AK12" s="13"/>
      <c r="AL12" s="13"/>
      <c r="AM12" s="272" t="s">
        <v>511</v>
      </c>
      <c r="AN12" s="223"/>
      <c r="AO12" s="223"/>
      <c r="AP12" s="223"/>
      <c r="AQ12" s="223"/>
      <c r="AR12" s="223"/>
      <c r="AS12" s="223"/>
      <c r="AT12" s="223"/>
      <c r="AU12" s="116" t="s">
        <v>512</v>
      </c>
    </row>
    <row r="13" spans="1:47" ht="24" x14ac:dyDescent="0.4">
      <c r="A13" s="5">
        <v>7</v>
      </c>
      <c r="B13" s="19" t="str">
        <f>'เวลาเรียน4-16'!B12</f>
        <v>เด็กหญิงกมลรัตน์  แสดคง</v>
      </c>
      <c r="C13" s="160">
        <v>9</v>
      </c>
      <c r="D13" s="161">
        <v>9</v>
      </c>
      <c r="E13" s="161">
        <v>9</v>
      </c>
      <c r="F13" s="5"/>
      <c r="G13" s="5"/>
      <c r="H13" s="5"/>
      <c r="I13" s="5"/>
      <c r="J13" s="5"/>
      <c r="K13" s="5"/>
      <c r="L13" s="5"/>
      <c r="M13" s="12">
        <f t="shared" si="0"/>
        <v>27</v>
      </c>
      <c r="N13" s="5">
        <v>15</v>
      </c>
      <c r="O13" s="11">
        <f t="shared" si="1"/>
        <v>42</v>
      </c>
      <c r="P13" s="5">
        <v>7</v>
      </c>
      <c r="Q13" s="19" t="str">
        <f t="shared" si="2"/>
        <v>เด็กหญิงกมลรัตน์  แสดคง</v>
      </c>
      <c r="R13" s="5">
        <v>10</v>
      </c>
      <c r="S13" s="5">
        <v>10</v>
      </c>
      <c r="T13" s="5">
        <v>10</v>
      </c>
      <c r="U13" s="5"/>
      <c r="V13" s="5"/>
      <c r="W13" s="5"/>
      <c r="X13" s="5"/>
      <c r="Y13" s="5"/>
      <c r="Z13" s="5"/>
      <c r="AA13" s="5"/>
      <c r="AB13" s="12">
        <f t="shared" si="3"/>
        <v>30</v>
      </c>
      <c r="AC13" s="5">
        <v>15</v>
      </c>
      <c r="AD13" s="11">
        <f t="shared" si="4"/>
        <v>45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42</v>
      </c>
      <c r="AH13" s="22">
        <f t="shared" si="6"/>
        <v>45</v>
      </c>
      <c r="AI13" s="22">
        <f t="shared" si="7"/>
        <v>87</v>
      </c>
      <c r="AJ13" s="22">
        <f t="shared" si="8"/>
        <v>4</v>
      </c>
      <c r="AK13" s="13"/>
      <c r="AL13" s="13"/>
      <c r="AM13" s="126"/>
      <c r="AN13" s="129"/>
      <c r="AO13" s="129"/>
      <c r="AP13" s="129"/>
      <c r="AQ13" s="129"/>
      <c r="AR13" s="129"/>
      <c r="AS13" s="129"/>
      <c r="AT13" s="129"/>
      <c r="AU13" s="115"/>
    </row>
    <row r="14" spans="1:47" ht="24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160">
        <v>10</v>
      </c>
      <c r="D14" s="161">
        <v>10</v>
      </c>
      <c r="E14" s="161">
        <v>10</v>
      </c>
      <c r="F14" s="5"/>
      <c r="G14" s="5"/>
      <c r="H14" s="5"/>
      <c r="I14" s="5"/>
      <c r="J14" s="5"/>
      <c r="K14" s="5"/>
      <c r="L14" s="5"/>
      <c r="M14" s="12">
        <f t="shared" si="0"/>
        <v>30</v>
      </c>
      <c r="N14" s="5">
        <v>17</v>
      </c>
      <c r="O14" s="11">
        <f t="shared" si="1"/>
        <v>47</v>
      </c>
      <c r="P14" s="5">
        <v>8</v>
      </c>
      <c r="Q14" s="19" t="str">
        <f t="shared" si="2"/>
        <v>เด็กหญิงกัลยรัตน์  ทึงสุข</v>
      </c>
      <c r="R14" s="5">
        <v>10</v>
      </c>
      <c r="S14" s="5">
        <v>10</v>
      </c>
      <c r="T14" s="5">
        <v>10</v>
      </c>
      <c r="U14" s="5"/>
      <c r="V14" s="5"/>
      <c r="W14" s="5"/>
      <c r="X14" s="5"/>
      <c r="Y14" s="5"/>
      <c r="Z14" s="5"/>
      <c r="AA14" s="5"/>
      <c r="AB14" s="12">
        <f t="shared" si="3"/>
        <v>30</v>
      </c>
      <c r="AC14" s="5">
        <v>16</v>
      </c>
      <c r="AD14" s="11">
        <f t="shared" si="4"/>
        <v>46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47</v>
      </c>
      <c r="AH14" s="22">
        <f t="shared" si="6"/>
        <v>46</v>
      </c>
      <c r="AI14" s="22">
        <f t="shared" si="7"/>
        <v>93</v>
      </c>
      <c r="AJ14" s="22">
        <f t="shared" si="8"/>
        <v>4</v>
      </c>
      <c r="AK14" s="13"/>
      <c r="AL14" s="13"/>
      <c r="AM14" s="264"/>
      <c r="AN14" s="265"/>
      <c r="AO14" s="265"/>
      <c r="AP14" s="265"/>
      <c r="AQ14" s="265"/>
      <c r="AR14" s="265"/>
      <c r="AS14" s="265"/>
      <c r="AT14" s="265"/>
      <c r="AU14" s="115"/>
    </row>
    <row r="15" spans="1:47" ht="24" x14ac:dyDescent="0.4">
      <c r="A15" s="5">
        <v>9</v>
      </c>
      <c r="B15" s="19" t="str">
        <f>'เวลาเรียน4-16'!B14</f>
        <v>เด็กหญิงนิตยา  พละโท</v>
      </c>
      <c r="C15" s="160">
        <v>10</v>
      </c>
      <c r="D15" s="161">
        <v>9</v>
      </c>
      <c r="E15" s="161">
        <v>9</v>
      </c>
      <c r="F15" s="5"/>
      <c r="G15" s="5"/>
      <c r="H15" s="5"/>
      <c r="I15" s="5"/>
      <c r="J15" s="5"/>
      <c r="K15" s="5"/>
      <c r="L15" s="5"/>
      <c r="M15" s="12">
        <f t="shared" si="0"/>
        <v>28</v>
      </c>
      <c r="N15" s="5">
        <v>16</v>
      </c>
      <c r="O15" s="11">
        <f t="shared" si="1"/>
        <v>44</v>
      </c>
      <c r="P15" s="5">
        <v>9</v>
      </c>
      <c r="Q15" s="19" t="str">
        <f t="shared" si="2"/>
        <v>เด็กหญิงนิตยา  พละโท</v>
      </c>
      <c r="R15" s="5">
        <v>10</v>
      </c>
      <c r="S15" s="5">
        <v>10</v>
      </c>
      <c r="T15" s="5">
        <v>10</v>
      </c>
      <c r="U15" s="5"/>
      <c r="V15" s="5"/>
      <c r="W15" s="5"/>
      <c r="X15" s="5"/>
      <c r="Y15" s="5"/>
      <c r="Z15" s="5"/>
      <c r="AA15" s="5"/>
      <c r="AB15" s="12">
        <f t="shared" si="3"/>
        <v>30</v>
      </c>
      <c r="AC15" s="5">
        <v>16</v>
      </c>
      <c r="AD15" s="11">
        <f t="shared" si="4"/>
        <v>46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44</v>
      </c>
      <c r="AH15" s="22">
        <f t="shared" si="6"/>
        <v>46</v>
      </c>
      <c r="AI15" s="22">
        <f t="shared" si="7"/>
        <v>90</v>
      </c>
      <c r="AJ15" s="22">
        <f t="shared" si="8"/>
        <v>4</v>
      </c>
      <c r="AK15" s="13"/>
      <c r="AL15" s="13"/>
      <c r="AM15" s="264"/>
      <c r="AN15" s="265"/>
      <c r="AO15" s="265"/>
      <c r="AP15" s="265"/>
      <c r="AQ15" s="265"/>
      <c r="AR15" s="265"/>
      <c r="AS15" s="265"/>
      <c r="AT15" s="265"/>
      <c r="AU15" s="115"/>
    </row>
    <row r="16" spans="1:47" ht="24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160">
        <v>10</v>
      </c>
      <c r="D16" s="161">
        <v>10</v>
      </c>
      <c r="E16" s="161">
        <v>10</v>
      </c>
      <c r="F16" s="5"/>
      <c r="G16" s="5"/>
      <c r="H16" s="5"/>
      <c r="I16" s="5"/>
      <c r="J16" s="5"/>
      <c r="K16" s="5"/>
      <c r="L16" s="5"/>
      <c r="M16" s="12">
        <f t="shared" si="0"/>
        <v>30</v>
      </c>
      <c r="N16" s="5">
        <v>16</v>
      </c>
      <c r="O16" s="11">
        <f t="shared" si="1"/>
        <v>46</v>
      </c>
      <c r="P16" s="5">
        <v>10</v>
      </c>
      <c r="Q16" s="19" t="str">
        <f t="shared" si="2"/>
        <v>เด็กหญิงบัณฑิตา  เบ้าพงษ์</v>
      </c>
      <c r="R16" s="5">
        <v>9</v>
      </c>
      <c r="S16" s="5">
        <v>9</v>
      </c>
      <c r="T16" s="5">
        <v>9</v>
      </c>
      <c r="U16" s="5"/>
      <c r="V16" s="5"/>
      <c r="W16" s="5"/>
      <c r="X16" s="5"/>
      <c r="Y16" s="5"/>
      <c r="Z16" s="5"/>
      <c r="AA16" s="5"/>
      <c r="AB16" s="12">
        <f t="shared" si="3"/>
        <v>27</v>
      </c>
      <c r="AC16" s="5">
        <v>16</v>
      </c>
      <c r="AD16" s="11">
        <f t="shared" si="4"/>
        <v>43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46</v>
      </c>
      <c r="AH16" s="22">
        <f t="shared" si="6"/>
        <v>43</v>
      </c>
      <c r="AI16" s="22">
        <f t="shared" si="7"/>
        <v>89</v>
      </c>
      <c r="AJ16" s="22">
        <f t="shared" si="8"/>
        <v>4</v>
      </c>
      <c r="AK16" s="13"/>
      <c r="AL16" s="13"/>
      <c r="AM16" s="264"/>
      <c r="AN16" s="265"/>
      <c r="AO16" s="265"/>
      <c r="AP16" s="265"/>
      <c r="AQ16" s="265"/>
      <c r="AR16" s="265"/>
      <c r="AS16" s="265"/>
      <c r="AT16" s="265"/>
      <c r="AU16" s="115"/>
    </row>
    <row r="17" spans="1:47" ht="24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160">
        <v>10</v>
      </c>
      <c r="D17" s="161">
        <v>9</v>
      </c>
      <c r="E17" s="161">
        <v>9</v>
      </c>
      <c r="F17" s="5"/>
      <c r="G17" s="5"/>
      <c r="H17" s="5"/>
      <c r="I17" s="5"/>
      <c r="J17" s="5"/>
      <c r="K17" s="5"/>
      <c r="L17" s="5"/>
      <c r="M17" s="12">
        <f t="shared" si="0"/>
        <v>28</v>
      </c>
      <c r="N17" s="5">
        <v>16</v>
      </c>
      <c r="O17" s="11">
        <f t="shared" si="1"/>
        <v>44</v>
      </c>
      <c r="P17" s="5">
        <v>11</v>
      </c>
      <c r="Q17" s="19" t="str">
        <f t="shared" si="2"/>
        <v>เด็กหญิงพัชรกัญญ์  บาลนาคม</v>
      </c>
      <c r="R17" s="5">
        <v>10</v>
      </c>
      <c r="S17" s="5">
        <v>10</v>
      </c>
      <c r="T17" s="5">
        <v>10</v>
      </c>
      <c r="U17" s="5"/>
      <c r="V17" s="5"/>
      <c r="W17" s="5"/>
      <c r="X17" s="5"/>
      <c r="Y17" s="5"/>
      <c r="Z17" s="5"/>
      <c r="AA17" s="5"/>
      <c r="AB17" s="12">
        <f t="shared" si="3"/>
        <v>30</v>
      </c>
      <c r="AC17" s="5">
        <v>16</v>
      </c>
      <c r="AD17" s="11">
        <f t="shared" si="4"/>
        <v>46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44</v>
      </c>
      <c r="AH17" s="22">
        <f t="shared" si="6"/>
        <v>46</v>
      </c>
      <c r="AI17" s="22">
        <f t="shared" si="7"/>
        <v>90</v>
      </c>
      <c r="AJ17" s="22">
        <f t="shared" si="8"/>
        <v>4</v>
      </c>
      <c r="AK17" s="13"/>
      <c r="AL17" s="13"/>
      <c r="AM17" s="264"/>
      <c r="AN17" s="265"/>
      <c r="AO17" s="265"/>
      <c r="AP17" s="265"/>
      <c r="AQ17" s="265"/>
      <c r="AR17" s="265"/>
      <c r="AS17" s="265"/>
      <c r="AT17" s="265"/>
      <c r="AU17" s="115"/>
    </row>
    <row r="18" spans="1:47" ht="24" x14ac:dyDescent="0.4">
      <c r="A18" s="5">
        <v>12</v>
      </c>
      <c r="B18" s="19" t="str">
        <f>'เวลาเรียน4-16'!B17</f>
        <v>เด็กหญิงสุวิชาดา  ชูจิตร</v>
      </c>
      <c r="C18" s="160">
        <v>9</v>
      </c>
      <c r="D18" s="161">
        <v>10</v>
      </c>
      <c r="E18" s="161">
        <v>9</v>
      </c>
      <c r="F18" s="5"/>
      <c r="G18" s="5"/>
      <c r="H18" s="5"/>
      <c r="I18" s="5"/>
      <c r="J18" s="5"/>
      <c r="K18" s="5"/>
      <c r="L18" s="5"/>
      <c r="M18" s="12">
        <f t="shared" si="0"/>
        <v>28</v>
      </c>
      <c r="N18" s="5">
        <v>14</v>
      </c>
      <c r="O18" s="11">
        <f t="shared" si="1"/>
        <v>42</v>
      </c>
      <c r="P18" s="5">
        <v>12</v>
      </c>
      <c r="Q18" s="19" t="str">
        <f t="shared" si="2"/>
        <v>เด็กหญิงสุวิชาดา  ชูจิตร</v>
      </c>
      <c r="R18" s="5">
        <v>9</v>
      </c>
      <c r="S18" s="5">
        <v>9</v>
      </c>
      <c r="T18" s="5">
        <v>9</v>
      </c>
      <c r="U18" s="5"/>
      <c r="V18" s="5"/>
      <c r="W18" s="5"/>
      <c r="X18" s="5"/>
      <c r="Y18" s="5"/>
      <c r="Z18" s="5"/>
      <c r="AA18" s="5"/>
      <c r="AB18" s="12">
        <f t="shared" si="3"/>
        <v>27</v>
      </c>
      <c r="AC18" s="5">
        <v>16</v>
      </c>
      <c r="AD18" s="11">
        <f t="shared" si="4"/>
        <v>43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42</v>
      </c>
      <c r="AH18" s="22">
        <f t="shared" si="6"/>
        <v>43</v>
      </c>
      <c r="AI18" s="22">
        <f t="shared" si="7"/>
        <v>85</v>
      </c>
      <c r="AJ18" s="22">
        <f t="shared" si="8"/>
        <v>4</v>
      </c>
      <c r="AK18" s="13"/>
      <c r="AL18" s="13"/>
      <c r="AM18" s="264"/>
      <c r="AN18" s="265"/>
      <c r="AO18" s="265"/>
      <c r="AP18" s="265"/>
      <c r="AQ18" s="265"/>
      <c r="AR18" s="265"/>
      <c r="AS18" s="265"/>
      <c r="AT18" s="265"/>
      <c r="AU18" s="115"/>
    </row>
    <row r="19" spans="1:47" ht="24" x14ac:dyDescent="0.4">
      <c r="A19" s="5">
        <v>13</v>
      </c>
      <c r="B19" s="19" t="str">
        <f>'เวลาเรียน4-16'!B18</f>
        <v>เด็กหญิงปุญญิศา  อุปทุม</v>
      </c>
      <c r="C19" s="160">
        <v>10</v>
      </c>
      <c r="D19" s="161">
        <v>10</v>
      </c>
      <c r="E19" s="161">
        <v>10</v>
      </c>
      <c r="F19" s="5"/>
      <c r="G19" s="5"/>
      <c r="H19" s="5"/>
      <c r="I19" s="5"/>
      <c r="J19" s="5"/>
      <c r="K19" s="5"/>
      <c r="L19" s="5"/>
      <c r="M19" s="12">
        <f t="shared" si="0"/>
        <v>30</v>
      </c>
      <c r="N19" s="5">
        <v>18</v>
      </c>
      <c r="O19" s="11">
        <f t="shared" si="1"/>
        <v>48</v>
      </c>
      <c r="P19" s="5">
        <v>13</v>
      </c>
      <c r="Q19" s="19" t="str">
        <f t="shared" si="2"/>
        <v>เด็กหญิงปุญญิศา  อุปทุม</v>
      </c>
      <c r="R19" s="5">
        <v>10</v>
      </c>
      <c r="S19" s="5">
        <v>10</v>
      </c>
      <c r="T19" s="5">
        <v>10</v>
      </c>
      <c r="U19" s="5"/>
      <c r="V19" s="5"/>
      <c r="W19" s="5"/>
      <c r="X19" s="5"/>
      <c r="Y19" s="5"/>
      <c r="Z19" s="5"/>
      <c r="AA19" s="5"/>
      <c r="AB19" s="12">
        <f t="shared" si="3"/>
        <v>30</v>
      </c>
      <c r="AC19" s="5">
        <v>18</v>
      </c>
      <c r="AD19" s="11">
        <f t="shared" si="4"/>
        <v>48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48</v>
      </c>
      <c r="AH19" s="22">
        <f t="shared" si="6"/>
        <v>48</v>
      </c>
      <c r="AI19" s="22">
        <f t="shared" si="7"/>
        <v>96</v>
      </c>
      <c r="AJ19" s="22">
        <f t="shared" si="8"/>
        <v>4</v>
      </c>
      <c r="AK19" s="13"/>
      <c r="AL19" s="13"/>
      <c r="AM19" s="264"/>
      <c r="AN19" s="265"/>
      <c r="AO19" s="265"/>
      <c r="AP19" s="265"/>
      <c r="AQ19" s="265"/>
      <c r="AR19" s="265"/>
      <c r="AS19" s="265"/>
      <c r="AT19" s="265"/>
      <c r="AU19" s="115"/>
    </row>
    <row r="20" spans="1:47" ht="24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266"/>
      <c r="AN20" s="267"/>
      <c r="AO20" s="267"/>
      <c r="AP20" s="267"/>
      <c r="AQ20" s="267"/>
      <c r="AR20" s="267"/>
      <c r="AS20" s="267"/>
      <c r="AT20" s="267"/>
      <c r="AU20" s="268"/>
    </row>
    <row r="21" spans="1:47" ht="24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266"/>
      <c r="AN21" s="267"/>
      <c r="AO21" s="267"/>
      <c r="AP21" s="267"/>
      <c r="AQ21" s="267"/>
      <c r="AR21" s="267"/>
      <c r="AS21" s="267"/>
      <c r="AT21" s="267"/>
      <c r="AU21" s="268"/>
    </row>
    <row r="22" spans="1:47" ht="24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266"/>
      <c r="AN22" s="267"/>
      <c r="AO22" s="267"/>
      <c r="AP22" s="267"/>
      <c r="AQ22" s="267"/>
      <c r="AR22" s="267"/>
      <c r="AS22" s="267"/>
      <c r="AT22" s="267"/>
      <c r="AU22" s="268"/>
    </row>
    <row r="23" spans="1:47" ht="24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266"/>
      <c r="AN23" s="267"/>
      <c r="AO23" s="267"/>
      <c r="AP23" s="267"/>
      <c r="AQ23" s="267"/>
      <c r="AR23" s="267"/>
      <c r="AS23" s="267"/>
      <c r="AT23" s="267"/>
      <c r="AU23" s="268"/>
    </row>
    <row r="24" spans="1:47" ht="24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266"/>
      <c r="AN24" s="267"/>
      <c r="AO24" s="267"/>
      <c r="AP24" s="267"/>
      <c r="AQ24" s="267"/>
      <c r="AR24" s="267"/>
      <c r="AS24" s="267"/>
      <c r="AT24" s="267"/>
      <c r="AU24" s="268"/>
    </row>
    <row r="25" spans="1:47" ht="24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266"/>
      <c r="AN25" s="267"/>
      <c r="AO25" s="267"/>
      <c r="AP25" s="267"/>
      <c r="AQ25" s="267"/>
      <c r="AR25" s="267"/>
      <c r="AS25" s="267"/>
      <c r="AT25" s="267"/>
      <c r="AU25" s="268"/>
    </row>
    <row r="26" spans="1:47" ht="24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266"/>
      <c r="AN26" s="267"/>
      <c r="AO26" s="267"/>
      <c r="AP26" s="267"/>
      <c r="AQ26" s="267"/>
      <c r="AR26" s="267"/>
      <c r="AS26" s="267"/>
      <c r="AT26" s="267"/>
      <c r="AU26" s="268"/>
    </row>
    <row r="27" spans="1:47" ht="24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66"/>
      <c r="AN27" s="267"/>
      <c r="AO27" s="267"/>
      <c r="AP27" s="267"/>
      <c r="AQ27" s="267"/>
      <c r="AR27" s="267"/>
      <c r="AS27" s="267"/>
      <c r="AT27" s="267"/>
      <c r="AU27" s="268"/>
    </row>
    <row r="28" spans="1:47" ht="24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66"/>
      <c r="AN28" s="267"/>
      <c r="AO28" s="267"/>
      <c r="AP28" s="267"/>
      <c r="AQ28" s="267"/>
      <c r="AR28" s="267"/>
      <c r="AS28" s="267"/>
      <c r="AT28" s="267"/>
      <c r="AU28" s="268"/>
    </row>
    <row r="29" spans="1:47" ht="24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66"/>
      <c r="AN29" s="267"/>
      <c r="AO29" s="267"/>
      <c r="AP29" s="267"/>
      <c r="AQ29" s="267"/>
      <c r="AR29" s="267"/>
      <c r="AS29" s="267"/>
      <c r="AT29" s="267"/>
      <c r="AU29" s="268"/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266"/>
      <c r="AN30" s="267"/>
      <c r="AO30" s="267"/>
      <c r="AP30" s="267"/>
      <c r="AQ30" s="267"/>
      <c r="AR30" s="267"/>
      <c r="AS30" s="267"/>
      <c r="AT30" s="267"/>
      <c r="AU30" s="268"/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266"/>
      <c r="AN31" s="267"/>
      <c r="AO31" s="267"/>
      <c r="AP31" s="267"/>
      <c r="AQ31" s="267"/>
      <c r="AR31" s="267"/>
      <c r="AS31" s="267"/>
      <c r="AT31" s="267"/>
      <c r="AU31" s="268"/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266"/>
      <c r="AN32" s="267"/>
      <c r="AO32" s="267"/>
      <c r="AP32" s="267"/>
      <c r="AQ32" s="267"/>
      <c r="AR32" s="267"/>
      <c r="AS32" s="267"/>
      <c r="AT32" s="267"/>
      <c r="AU32" s="268"/>
    </row>
    <row r="33" spans="1:47" ht="24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266"/>
      <c r="AN33" s="267"/>
      <c r="AO33" s="267"/>
      <c r="AP33" s="267"/>
      <c r="AQ33" s="267"/>
      <c r="AR33" s="267"/>
      <c r="AS33" s="267"/>
      <c r="AT33" s="267"/>
      <c r="AU33" s="268"/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266"/>
      <c r="AN34" s="267"/>
      <c r="AO34" s="267"/>
      <c r="AP34" s="267"/>
      <c r="AQ34" s="267"/>
      <c r="AR34" s="267"/>
      <c r="AS34" s="267"/>
      <c r="AT34" s="267"/>
      <c r="AU34" s="268"/>
    </row>
    <row r="35" spans="1:47" ht="24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266"/>
      <c r="AN35" s="267"/>
      <c r="AO35" s="267"/>
      <c r="AP35" s="267"/>
      <c r="AQ35" s="267"/>
      <c r="AR35" s="267"/>
      <c r="AS35" s="267"/>
      <c r="AT35" s="267"/>
      <c r="AU35" s="268"/>
    </row>
    <row r="36" spans="1:47" ht="20" thickBot="1" x14ac:dyDescent="0.4">
      <c r="AM36" s="269"/>
      <c r="AN36" s="270"/>
      <c r="AO36" s="270"/>
      <c r="AP36" s="270"/>
      <c r="AQ36" s="270"/>
      <c r="AR36" s="270"/>
      <c r="AS36" s="270"/>
      <c r="AT36" s="270"/>
      <c r="AU36" s="271"/>
    </row>
    <row r="48" spans="1:47" ht="14.25" customHeight="1" x14ac:dyDescent="0.35"/>
    <row r="49" ht="14.25" customHeight="1" x14ac:dyDescent="0.35"/>
    <row r="50" ht="14.25" customHeight="1" x14ac:dyDescent="0.35"/>
  </sheetData>
  <mergeCells count="55">
    <mergeCell ref="AK4:AK6"/>
    <mergeCell ref="AL4:AL6"/>
    <mergeCell ref="A2:O2"/>
    <mergeCell ref="P2:AD2"/>
    <mergeCell ref="AE2:AL2"/>
    <mergeCell ref="A4:A6"/>
    <mergeCell ref="C4:M4"/>
    <mergeCell ref="N4:N5"/>
    <mergeCell ref="O4:O5"/>
    <mergeCell ref="P4:P6"/>
    <mergeCell ref="R4:AB4"/>
    <mergeCell ref="AC4:AC5"/>
    <mergeCell ref="AD4:AD5"/>
    <mergeCell ref="AE4:AE6"/>
    <mergeCell ref="AF4:AF5"/>
    <mergeCell ref="AG4:AG5"/>
    <mergeCell ref="AM2:AU2"/>
    <mergeCell ref="A3:O3"/>
    <mergeCell ref="P3:AD3"/>
    <mergeCell ref="AE3:AL3"/>
    <mergeCell ref="AM3:AU3"/>
    <mergeCell ref="AH4:AH5"/>
    <mergeCell ref="AM19:AT19"/>
    <mergeCell ref="AM5:AT5"/>
    <mergeCell ref="AM6:AT6"/>
    <mergeCell ref="AM7:AT7"/>
    <mergeCell ref="AM8:AT8"/>
    <mergeCell ref="AM9:AT9"/>
    <mergeCell ref="AM10:AT10"/>
    <mergeCell ref="AM11:AT11"/>
    <mergeCell ref="AM12:AT12"/>
    <mergeCell ref="AM14:AT14"/>
    <mergeCell ref="AI4:AI5"/>
    <mergeCell ref="AM15:AT15"/>
    <mergeCell ref="AJ4:AJ6"/>
    <mergeCell ref="AM16:AT16"/>
    <mergeCell ref="AM17:AT17"/>
    <mergeCell ref="AM34:AU34"/>
    <mergeCell ref="AM35:AU35"/>
    <mergeCell ref="AM36:AU36"/>
    <mergeCell ref="AM27:AU27"/>
    <mergeCell ref="AM28:AU28"/>
    <mergeCell ref="AM29:AU29"/>
    <mergeCell ref="AM30:AU30"/>
    <mergeCell ref="AM31:AU31"/>
    <mergeCell ref="AM32:AU32"/>
    <mergeCell ref="AM18:AT18"/>
    <mergeCell ref="AM33:AU33"/>
    <mergeCell ref="AM26:AU26"/>
    <mergeCell ref="AM20:AU20"/>
    <mergeCell ref="AM21:AU21"/>
    <mergeCell ref="AM22:AU22"/>
    <mergeCell ref="AM23:AU23"/>
    <mergeCell ref="AM24:AU24"/>
    <mergeCell ref="AM25:AU25"/>
  </mergeCells>
  <pageMargins left="0.85416666666666663" right="0.17708333333333334" top="0.42708333333333331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U50"/>
  <sheetViews>
    <sheetView showWhiteSpace="0" view="pageLayout" topLeftCell="W1" zoomScale="142" zoomScaleNormal="100" zoomScalePageLayoutView="142" workbookViewId="0">
      <selection activeCell="AI14" sqref="AI14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37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38</v>
      </c>
      <c r="AL1" s="1">
        <v>39</v>
      </c>
      <c r="AU1" s="1">
        <v>40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262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319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สุขศึกษาและพลศึกษา  (พ16101)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สุขศึกษาและพลศึกษา  (พ16101)</v>
      </c>
      <c r="AF3" s="246"/>
      <c r="AG3" s="246"/>
      <c r="AH3" s="246"/>
      <c r="AI3" s="246"/>
      <c r="AJ3" s="246"/>
      <c r="AK3" s="246"/>
      <c r="AL3" s="246"/>
      <c r="AM3" s="273" t="s">
        <v>513</v>
      </c>
      <c r="AN3" s="274"/>
      <c r="AO3" s="274"/>
      <c r="AP3" s="274"/>
      <c r="AQ3" s="274"/>
      <c r="AR3" s="274"/>
      <c r="AS3" s="274"/>
      <c r="AT3" s="274"/>
      <c r="AU3" s="275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114"/>
      <c r="AN4" s="10"/>
      <c r="AO4" s="10"/>
      <c r="AP4" s="10"/>
      <c r="AQ4" s="10"/>
      <c r="AR4" s="10"/>
      <c r="AS4" s="10"/>
      <c r="AT4" s="10"/>
      <c r="AU4" s="115"/>
    </row>
    <row r="5" spans="1:47" s="24" customFormat="1" ht="14.25" customHeight="1" x14ac:dyDescent="0.35">
      <c r="A5" s="236"/>
      <c r="B5" s="25" t="s">
        <v>247</v>
      </c>
      <c r="C5" s="112"/>
      <c r="D5" s="112"/>
      <c r="E5" s="112"/>
      <c r="F5" s="112"/>
      <c r="G5" s="112"/>
      <c r="H5" s="112"/>
      <c r="I5" s="112"/>
      <c r="J5" s="112"/>
      <c r="K5" s="112"/>
      <c r="L5" s="15"/>
      <c r="M5" s="17" t="s">
        <v>17</v>
      </c>
      <c r="N5" s="237"/>
      <c r="O5" s="237"/>
      <c r="P5" s="236"/>
      <c r="Q5" s="25" t="s">
        <v>247</v>
      </c>
      <c r="R5" s="112" t="s">
        <v>225</v>
      </c>
      <c r="S5" s="112"/>
      <c r="T5" s="112"/>
      <c r="U5" s="112"/>
      <c r="V5" s="112"/>
      <c r="W5" s="112"/>
      <c r="X5" s="112"/>
      <c r="Y5" s="112"/>
      <c r="Z5" s="112"/>
      <c r="AA5" s="112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272" t="s">
        <v>514</v>
      </c>
      <c r="AN5" s="223"/>
      <c r="AO5" s="223"/>
      <c r="AP5" s="223"/>
      <c r="AQ5" s="223"/>
      <c r="AR5" s="223"/>
      <c r="AS5" s="223"/>
      <c r="AT5" s="223"/>
      <c r="AU5" s="116" t="s">
        <v>515</v>
      </c>
    </row>
    <row r="6" spans="1:47" ht="18.75" customHeight="1" x14ac:dyDescent="0.35">
      <c r="A6" s="237"/>
      <c r="B6" s="14" t="s">
        <v>16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7">
        <f>SUM(C6:L6)</f>
        <v>0</v>
      </c>
      <c r="N6" s="16">
        <v>50</v>
      </c>
      <c r="O6" s="18">
        <f>SUM(M6:N6)</f>
        <v>50</v>
      </c>
      <c r="P6" s="237"/>
      <c r="Q6" s="14" t="s">
        <v>16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7">
        <f>SUM(R6:AA6)</f>
        <v>0</v>
      </c>
      <c r="AC6" s="15">
        <v>50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272" t="s">
        <v>516</v>
      </c>
      <c r="AN6" s="223"/>
      <c r="AO6" s="223"/>
      <c r="AP6" s="223"/>
      <c r="AQ6" s="223"/>
      <c r="AR6" s="223"/>
      <c r="AS6" s="223"/>
      <c r="AT6" s="223"/>
      <c r="AU6" s="116"/>
    </row>
    <row r="7" spans="1:47" ht="21" customHeight="1" x14ac:dyDescent="0.4">
      <c r="A7" s="5">
        <v>1</v>
      </c>
      <c r="B7" s="19" t="str">
        <f>'เวลาเรียน4-16'!B6</f>
        <v>เด็กชายกฤษดา  บัวศรี</v>
      </c>
      <c r="C7" s="5"/>
      <c r="D7" s="5"/>
      <c r="E7" s="5"/>
      <c r="F7" s="5"/>
      <c r="G7" s="5"/>
      <c r="H7" s="5"/>
      <c r="I7" s="5"/>
      <c r="J7" s="5"/>
      <c r="K7" s="5"/>
      <c r="L7" s="5"/>
      <c r="M7" s="12">
        <f t="shared" ref="M7:M19" si="0">SUM(C7:L7)</f>
        <v>0</v>
      </c>
      <c r="N7" s="5">
        <v>42</v>
      </c>
      <c r="O7" s="11">
        <f t="shared" ref="O7:O19" si="1">SUM(M7:N7)</f>
        <v>42</v>
      </c>
      <c r="P7" s="5">
        <v>1</v>
      </c>
      <c r="Q7" s="19" t="str">
        <f t="shared" ref="Q7:Q19" si="2">B7</f>
        <v>เด็กชายกฤษดา  บัวศรี</v>
      </c>
      <c r="R7" s="5"/>
      <c r="S7" s="5"/>
      <c r="T7" s="5"/>
      <c r="U7" s="5"/>
      <c r="V7" s="5"/>
      <c r="W7" s="5"/>
      <c r="X7" s="5"/>
      <c r="Y7" s="5"/>
      <c r="Z7" s="5"/>
      <c r="AA7" s="5"/>
      <c r="AB7" s="12">
        <f t="shared" ref="AB7:AB19" si="3">SUM(R7:AA7)</f>
        <v>0</v>
      </c>
      <c r="AC7" s="5">
        <v>41</v>
      </c>
      <c r="AD7" s="11">
        <f t="shared" ref="AD7:AD19" si="4">SUM(AB7:AC7)</f>
        <v>41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42</v>
      </c>
      <c r="AH7" s="22">
        <f t="shared" ref="AH7:AH19" si="6">AD7</f>
        <v>41</v>
      </c>
      <c r="AI7" s="22">
        <f>SUM(AG7:AH7)</f>
        <v>83</v>
      </c>
      <c r="AJ7" s="22">
        <f>IF(AI7&gt;79,4,IF(AI7&gt;74,3.5,IF(AI7&gt;69,3,IF(AI7&gt;64,2.5,IF(AI7&gt;59,2,IF(AI7&gt;54,1.5,IF(AI7&gt;49,1,IF(AI7&lt;50,0))))))))</f>
        <v>4</v>
      </c>
      <c r="AK7" s="13"/>
      <c r="AL7" s="13"/>
      <c r="AM7" s="272" t="s">
        <v>517</v>
      </c>
      <c r="AN7" s="223"/>
      <c r="AO7" s="223"/>
      <c r="AP7" s="223"/>
      <c r="AQ7" s="223"/>
      <c r="AR7" s="223"/>
      <c r="AS7" s="223"/>
      <c r="AT7" s="223"/>
      <c r="AU7" s="116" t="s">
        <v>518</v>
      </c>
    </row>
    <row r="8" spans="1:47" ht="21" customHeight="1" x14ac:dyDescent="0.4">
      <c r="A8" s="5">
        <v>2</v>
      </c>
      <c r="B8" s="19" t="str">
        <f>'เวลาเรียน4-16'!B7</f>
        <v>เด็กชายจิรายุ  ดอบุตร</v>
      </c>
      <c r="C8" s="5"/>
      <c r="D8" s="5"/>
      <c r="E8" s="5"/>
      <c r="F8" s="5"/>
      <c r="G8" s="5"/>
      <c r="H8" s="5"/>
      <c r="I8" s="5"/>
      <c r="J8" s="5"/>
      <c r="K8" s="5"/>
      <c r="L8" s="5"/>
      <c r="M8" s="12">
        <f t="shared" si="0"/>
        <v>0</v>
      </c>
      <c r="N8" s="5">
        <v>40</v>
      </c>
      <c r="O8" s="11">
        <f t="shared" si="1"/>
        <v>40</v>
      </c>
      <c r="P8" s="5">
        <v>2</v>
      </c>
      <c r="Q8" s="19" t="str">
        <f>B8</f>
        <v>เด็กชายจิรายุ  ดอบุตร</v>
      </c>
      <c r="R8" s="5"/>
      <c r="S8" s="5"/>
      <c r="T8" s="5"/>
      <c r="U8" s="5"/>
      <c r="V8" s="5"/>
      <c r="W8" s="5"/>
      <c r="X8" s="5"/>
      <c r="Y8" s="5"/>
      <c r="Z8" s="5"/>
      <c r="AA8" s="5"/>
      <c r="AB8" s="12">
        <f t="shared" si="3"/>
        <v>0</v>
      </c>
      <c r="AC8" s="5">
        <v>41</v>
      </c>
      <c r="AD8" s="11">
        <f t="shared" si="4"/>
        <v>41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40</v>
      </c>
      <c r="AH8" s="22">
        <f t="shared" si="6"/>
        <v>41</v>
      </c>
      <c r="AI8" s="22">
        <f t="shared" ref="AI8:AI19" si="7">SUM(AG8:AH8)</f>
        <v>81</v>
      </c>
      <c r="AJ8" s="22">
        <f t="shared" ref="AJ8:AJ19" si="8">IF(AI8&gt;79,4,IF(AI8&gt;74,3.5,IF(AI8&gt;69,3,IF(AI8&gt;64,2.5,IF(AI8&gt;59,2,IF(AI8&gt;54,1.5,IF(AI8&gt;49,1,IF(AI8&lt;50,0))))))))</f>
        <v>4</v>
      </c>
      <c r="AK8" s="13"/>
      <c r="AL8" s="13"/>
      <c r="AM8" s="272" t="s">
        <v>519</v>
      </c>
      <c r="AN8" s="223"/>
      <c r="AO8" s="223"/>
      <c r="AP8" s="223"/>
      <c r="AQ8" s="223"/>
      <c r="AR8" s="223"/>
      <c r="AS8" s="223"/>
      <c r="AT8" s="223"/>
      <c r="AU8" s="116" t="s">
        <v>520</v>
      </c>
    </row>
    <row r="9" spans="1:47" ht="21" customHeight="1" x14ac:dyDescent="0.4">
      <c r="A9" s="5">
        <v>3</v>
      </c>
      <c r="B9" s="19" t="str">
        <f>'เวลาเรียน4-16'!B8</f>
        <v>เด็กชายจิรายุ  เนตรสว่าง</v>
      </c>
      <c r="C9" s="5"/>
      <c r="D9" s="5"/>
      <c r="E9" s="5"/>
      <c r="F9" s="5"/>
      <c r="G9" s="5"/>
      <c r="H9" s="5"/>
      <c r="I9" s="5"/>
      <c r="J9" s="5"/>
      <c r="K9" s="5"/>
      <c r="L9" s="5"/>
      <c r="M9" s="12">
        <f t="shared" si="0"/>
        <v>0</v>
      </c>
      <c r="N9" s="5">
        <v>37</v>
      </c>
      <c r="O9" s="11">
        <f t="shared" si="1"/>
        <v>37</v>
      </c>
      <c r="P9" s="5">
        <v>3</v>
      </c>
      <c r="Q9" s="19" t="str">
        <f t="shared" si="2"/>
        <v>เด็กชายจิรายุ  เนตรสว่าง</v>
      </c>
      <c r="R9" s="5"/>
      <c r="S9" s="5"/>
      <c r="T9" s="5"/>
      <c r="U9" s="5"/>
      <c r="V9" s="5"/>
      <c r="W9" s="5"/>
      <c r="X9" s="5"/>
      <c r="Y9" s="5"/>
      <c r="Z9" s="5"/>
      <c r="AA9" s="5"/>
      <c r="AB9" s="12">
        <f t="shared" si="3"/>
        <v>0</v>
      </c>
      <c r="AC9" s="5">
        <v>43</v>
      </c>
      <c r="AD9" s="11">
        <f t="shared" si="4"/>
        <v>43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37</v>
      </c>
      <c r="AH9" s="22">
        <f t="shared" si="6"/>
        <v>43</v>
      </c>
      <c r="AI9" s="22">
        <f t="shared" si="7"/>
        <v>80</v>
      </c>
      <c r="AJ9" s="22">
        <f t="shared" si="8"/>
        <v>4</v>
      </c>
      <c r="AK9" s="13"/>
      <c r="AL9" s="13"/>
      <c r="AM9" s="272" t="s">
        <v>521</v>
      </c>
      <c r="AN9" s="223"/>
      <c r="AO9" s="223"/>
      <c r="AP9" s="223"/>
      <c r="AQ9" s="223"/>
      <c r="AR9" s="223"/>
      <c r="AS9" s="223"/>
      <c r="AT9" s="223"/>
      <c r="AU9" s="116" t="s">
        <v>522</v>
      </c>
    </row>
    <row r="10" spans="1:47" ht="21" customHeight="1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12">
        <f t="shared" si="0"/>
        <v>0</v>
      </c>
      <c r="N10" s="5">
        <v>40</v>
      </c>
      <c r="O10" s="11">
        <f t="shared" si="1"/>
        <v>40</v>
      </c>
      <c r="P10" s="5">
        <v>4</v>
      </c>
      <c r="Q10" s="19" t="str">
        <f t="shared" si="2"/>
        <v>เด็กชายจีรภัทร  คันธมาตย์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12">
        <f t="shared" si="3"/>
        <v>0</v>
      </c>
      <c r="AC10" s="5">
        <v>38</v>
      </c>
      <c r="AD10" s="11">
        <f t="shared" si="4"/>
        <v>38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40</v>
      </c>
      <c r="AH10" s="22">
        <f t="shared" si="6"/>
        <v>38</v>
      </c>
      <c r="AI10" s="22">
        <f t="shared" si="7"/>
        <v>78</v>
      </c>
      <c r="AJ10" s="22">
        <f t="shared" si="8"/>
        <v>3.5</v>
      </c>
      <c r="AK10" s="13"/>
      <c r="AL10" s="13"/>
      <c r="AM10" s="272" t="s">
        <v>523</v>
      </c>
      <c r="AN10" s="223"/>
      <c r="AO10" s="223"/>
      <c r="AP10" s="223"/>
      <c r="AQ10" s="223"/>
      <c r="AR10" s="223"/>
      <c r="AS10" s="223"/>
      <c r="AT10" s="223"/>
      <c r="AU10" s="116" t="s">
        <v>524</v>
      </c>
    </row>
    <row r="11" spans="1:47" ht="21" customHeight="1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12">
        <f t="shared" si="0"/>
        <v>0</v>
      </c>
      <c r="N11" s="5">
        <v>37</v>
      </c>
      <c r="O11" s="11">
        <f t="shared" si="1"/>
        <v>37</v>
      </c>
      <c r="P11" s="5">
        <v>5</v>
      </c>
      <c r="Q11" s="19" t="str">
        <f t="shared" si="2"/>
        <v>เด็กชายปรวัฒน์  โพธิ์ศรี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12">
        <f t="shared" si="3"/>
        <v>0</v>
      </c>
      <c r="AC11" s="5">
        <v>38</v>
      </c>
      <c r="AD11" s="11">
        <f t="shared" si="4"/>
        <v>38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37</v>
      </c>
      <c r="AH11" s="22">
        <f t="shared" si="6"/>
        <v>38</v>
      </c>
      <c r="AI11" s="22">
        <f t="shared" si="7"/>
        <v>75</v>
      </c>
      <c r="AJ11" s="22">
        <f t="shared" si="8"/>
        <v>3.5</v>
      </c>
      <c r="AK11" s="13"/>
      <c r="AL11" s="13"/>
      <c r="AM11" s="272" t="s">
        <v>525</v>
      </c>
      <c r="AN11" s="223"/>
      <c r="AO11" s="223"/>
      <c r="AP11" s="223"/>
      <c r="AQ11" s="223"/>
      <c r="AR11" s="223"/>
      <c r="AS11" s="223"/>
      <c r="AT11" s="223"/>
      <c r="AU11" s="116"/>
    </row>
    <row r="12" spans="1:47" ht="21" customHeight="1" x14ac:dyDescent="0.4">
      <c r="A12" s="5">
        <v>6</v>
      </c>
      <c r="B12" s="19" t="str">
        <f>'เวลาเรียน4-16'!B11</f>
        <v>เด็กชายพีรภาพ  วงคำใหญ่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12">
        <f t="shared" si="0"/>
        <v>0</v>
      </c>
      <c r="N12" s="5">
        <v>44</v>
      </c>
      <c r="O12" s="11">
        <f t="shared" si="1"/>
        <v>44</v>
      </c>
      <c r="P12" s="5">
        <v>6</v>
      </c>
      <c r="Q12" s="19" t="str">
        <f t="shared" si="2"/>
        <v>เด็กชายพีรภาพ  วงคำใหญ่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12">
        <f t="shared" si="3"/>
        <v>0</v>
      </c>
      <c r="AC12" s="5">
        <v>45</v>
      </c>
      <c r="AD12" s="11">
        <f t="shared" si="4"/>
        <v>45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44</v>
      </c>
      <c r="AH12" s="22">
        <f t="shared" si="6"/>
        <v>45</v>
      </c>
      <c r="AI12" s="22">
        <f t="shared" si="7"/>
        <v>89</v>
      </c>
      <c r="AJ12" s="22">
        <f t="shared" si="8"/>
        <v>4</v>
      </c>
      <c r="AK12" s="13"/>
      <c r="AL12" s="13"/>
      <c r="AM12" s="272" t="s">
        <v>526</v>
      </c>
      <c r="AN12" s="223"/>
      <c r="AO12" s="223"/>
      <c r="AP12" s="223"/>
      <c r="AQ12" s="223"/>
      <c r="AR12" s="223"/>
      <c r="AS12" s="223"/>
      <c r="AT12" s="223"/>
      <c r="AU12" s="116" t="s">
        <v>527</v>
      </c>
    </row>
    <row r="13" spans="1:47" ht="21" customHeight="1" x14ac:dyDescent="0.4">
      <c r="A13" s="5">
        <v>7</v>
      </c>
      <c r="B13" s="19" t="str">
        <f>'เวลาเรียน4-16'!B12</f>
        <v>เด็กหญิงกมลรัตน์  แสดคง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12">
        <f t="shared" si="0"/>
        <v>0</v>
      </c>
      <c r="N13" s="5">
        <v>45</v>
      </c>
      <c r="O13" s="11">
        <f t="shared" si="1"/>
        <v>45</v>
      </c>
      <c r="P13" s="5">
        <v>7</v>
      </c>
      <c r="Q13" s="19" t="str">
        <f t="shared" si="2"/>
        <v>เด็กหญิงกมลรัตน์  แสดคง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12">
        <f t="shared" si="3"/>
        <v>0</v>
      </c>
      <c r="AC13" s="5">
        <v>46</v>
      </c>
      <c r="AD13" s="11">
        <f t="shared" si="4"/>
        <v>46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45</v>
      </c>
      <c r="AH13" s="22">
        <f t="shared" si="6"/>
        <v>46</v>
      </c>
      <c r="AI13" s="22">
        <f t="shared" si="7"/>
        <v>91</v>
      </c>
      <c r="AJ13" s="22">
        <f t="shared" si="8"/>
        <v>4</v>
      </c>
      <c r="AK13" s="13"/>
      <c r="AL13" s="13"/>
      <c r="AM13" s="272" t="s">
        <v>528</v>
      </c>
      <c r="AN13" s="223"/>
      <c r="AO13" s="223"/>
      <c r="AP13" s="223"/>
      <c r="AQ13" s="223"/>
      <c r="AR13" s="223"/>
      <c r="AS13" s="223"/>
      <c r="AT13" s="223"/>
      <c r="AU13" s="116"/>
    </row>
    <row r="14" spans="1:47" ht="21" customHeight="1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12">
        <f t="shared" si="0"/>
        <v>0</v>
      </c>
      <c r="N14" s="5">
        <v>45</v>
      </c>
      <c r="O14" s="11">
        <f t="shared" si="1"/>
        <v>45</v>
      </c>
      <c r="P14" s="5">
        <v>8</v>
      </c>
      <c r="Q14" s="19" t="str">
        <f t="shared" si="2"/>
        <v>เด็กหญิงกัลยรัตน์  ทึงสุข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12">
        <f t="shared" si="3"/>
        <v>0</v>
      </c>
      <c r="AC14" s="5">
        <v>44</v>
      </c>
      <c r="AD14" s="11">
        <f t="shared" si="4"/>
        <v>44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45</v>
      </c>
      <c r="AH14" s="22">
        <f t="shared" si="6"/>
        <v>44</v>
      </c>
      <c r="AI14" s="22">
        <f t="shared" si="7"/>
        <v>89</v>
      </c>
      <c r="AJ14" s="22">
        <f t="shared" si="8"/>
        <v>4</v>
      </c>
      <c r="AK14" s="13"/>
      <c r="AL14" s="13"/>
      <c r="AM14" s="272" t="s">
        <v>529</v>
      </c>
      <c r="AN14" s="223"/>
      <c r="AO14" s="223"/>
      <c r="AP14" s="223"/>
      <c r="AQ14" s="223"/>
      <c r="AR14" s="223"/>
      <c r="AS14" s="223"/>
      <c r="AT14" s="223"/>
      <c r="AU14" s="116" t="s">
        <v>530</v>
      </c>
    </row>
    <row r="15" spans="1:47" ht="21" customHeight="1" x14ac:dyDescent="0.4">
      <c r="A15" s="5">
        <v>9</v>
      </c>
      <c r="B15" s="19" t="str">
        <f>'เวลาเรียน4-16'!B14</f>
        <v>เด็กหญิงนิตยา  พละโท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12">
        <f t="shared" si="0"/>
        <v>0</v>
      </c>
      <c r="N15" s="5">
        <v>45</v>
      </c>
      <c r="O15" s="11">
        <f t="shared" si="1"/>
        <v>45</v>
      </c>
      <c r="P15" s="5">
        <v>9</v>
      </c>
      <c r="Q15" s="19" t="str">
        <f t="shared" si="2"/>
        <v>เด็กหญิงนิตยา  พละโท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12">
        <f t="shared" si="3"/>
        <v>0</v>
      </c>
      <c r="AC15" s="5">
        <v>45</v>
      </c>
      <c r="AD15" s="11">
        <f t="shared" si="4"/>
        <v>45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45</v>
      </c>
      <c r="AH15" s="22">
        <f t="shared" si="6"/>
        <v>45</v>
      </c>
      <c r="AI15" s="22">
        <f t="shared" si="7"/>
        <v>90</v>
      </c>
      <c r="AJ15" s="22">
        <f t="shared" si="8"/>
        <v>4</v>
      </c>
      <c r="AK15" s="13"/>
      <c r="AL15" s="13"/>
      <c r="AM15" s="272" t="s">
        <v>531</v>
      </c>
      <c r="AN15" s="223"/>
      <c r="AO15" s="223"/>
      <c r="AP15" s="223"/>
      <c r="AQ15" s="223"/>
      <c r="AR15" s="223"/>
      <c r="AS15" s="223"/>
      <c r="AT15" s="223"/>
      <c r="AU15" s="116" t="s">
        <v>532</v>
      </c>
    </row>
    <row r="16" spans="1:47" ht="21" customHeight="1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12">
        <f t="shared" si="0"/>
        <v>0</v>
      </c>
      <c r="N16" s="5">
        <v>43</v>
      </c>
      <c r="O16" s="11">
        <f t="shared" si="1"/>
        <v>43</v>
      </c>
      <c r="P16" s="5">
        <v>10</v>
      </c>
      <c r="Q16" s="19" t="str">
        <f t="shared" si="2"/>
        <v>เด็กหญิงบัณฑิตา  เบ้าพงษ์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12">
        <f t="shared" si="3"/>
        <v>0</v>
      </c>
      <c r="AC16" s="5">
        <v>44</v>
      </c>
      <c r="AD16" s="11">
        <f t="shared" si="4"/>
        <v>44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43</v>
      </c>
      <c r="AH16" s="22">
        <f t="shared" si="6"/>
        <v>44</v>
      </c>
      <c r="AI16" s="22">
        <f t="shared" si="7"/>
        <v>87</v>
      </c>
      <c r="AJ16" s="22">
        <f t="shared" si="8"/>
        <v>4</v>
      </c>
      <c r="AK16" s="13"/>
      <c r="AL16" s="13"/>
      <c r="AM16" s="272" t="s">
        <v>533</v>
      </c>
      <c r="AN16" s="223"/>
      <c r="AO16" s="223"/>
      <c r="AP16" s="223"/>
      <c r="AQ16" s="223"/>
      <c r="AR16" s="223"/>
      <c r="AS16" s="223"/>
      <c r="AT16" s="223"/>
      <c r="AU16" s="116" t="s">
        <v>534</v>
      </c>
    </row>
    <row r="17" spans="1:47" ht="21" customHeight="1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12">
        <f t="shared" si="0"/>
        <v>0</v>
      </c>
      <c r="N17" s="5">
        <v>46</v>
      </c>
      <c r="O17" s="11">
        <f t="shared" si="1"/>
        <v>46</v>
      </c>
      <c r="P17" s="5">
        <v>11</v>
      </c>
      <c r="Q17" s="19" t="str">
        <f t="shared" si="2"/>
        <v>เด็กหญิงพัชรกัญญ์  บาลนาคม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12">
        <f t="shared" si="3"/>
        <v>0</v>
      </c>
      <c r="AC17" s="5">
        <v>48</v>
      </c>
      <c r="AD17" s="11">
        <f t="shared" si="4"/>
        <v>48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46</v>
      </c>
      <c r="AH17" s="22">
        <f t="shared" si="6"/>
        <v>48</v>
      </c>
      <c r="AI17" s="22">
        <f t="shared" si="7"/>
        <v>94</v>
      </c>
      <c r="AJ17" s="22">
        <f t="shared" si="8"/>
        <v>4</v>
      </c>
      <c r="AK17" s="13"/>
      <c r="AL17" s="13"/>
      <c r="AM17" s="272" t="s">
        <v>535</v>
      </c>
      <c r="AN17" s="223"/>
      <c r="AO17" s="223"/>
      <c r="AP17" s="223"/>
      <c r="AQ17" s="223"/>
      <c r="AR17" s="223"/>
      <c r="AS17" s="223"/>
      <c r="AT17" s="223"/>
      <c r="AU17" s="116"/>
    </row>
    <row r="18" spans="1:47" ht="23.25" customHeight="1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12">
        <f t="shared" si="0"/>
        <v>0</v>
      </c>
      <c r="N18" s="5">
        <v>43</v>
      </c>
      <c r="O18" s="11">
        <f t="shared" si="1"/>
        <v>43</v>
      </c>
      <c r="P18" s="5">
        <v>12</v>
      </c>
      <c r="Q18" s="19" t="str">
        <f t="shared" si="2"/>
        <v>เด็กหญิงสุวิชาดา  ชูจิตร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12">
        <f t="shared" si="3"/>
        <v>0</v>
      </c>
      <c r="AC18" s="5">
        <v>46</v>
      </c>
      <c r="AD18" s="11">
        <f t="shared" si="4"/>
        <v>46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43</v>
      </c>
      <c r="AH18" s="22">
        <f t="shared" si="6"/>
        <v>46</v>
      </c>
      <c r="AI18" s="22">
        <f t="shared" si="7"/>
        <v>89</v>
      </c>
      <c r="AJ18" s="22">
        <f t="shared" si="8"/>
        <v>4</v>
      </c>
      <c r="AK18" s="13"/>
      <c r="AL18" s="13"/>
      <c r="AM18" s="272" t="s">
        <v>536</v>
      </c>
      <c r="AN18" s="223"/>
      <c r="AO18" s="223"/>
      <c r="AP18" s="223"/>
      <c r="AQ18" s="223"/>
      <c r="AR18" s="223"/>
      <c r="AS18" s="223"/>
      <c r="AT18" s="223"/>
      <c r="AU18" s="116" t="s">
        <v>537</v>
      </c>
    </row>
    <row r="19" spans="1:47" ht="21" customHeight="1" x14ac:dyDescent="0.4">
      <c r="A19" s="5">
        <v>13</v>
      </c>
      <c r="B19" s="19" t="str">
        <f>'เวลาเรียน4-16'!B18</f>
        <v>เด็กหญิงปุญญิศา  อุปทุม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12">
        <f t="shared" si="0"/>
        <v>0</v>
      </c>
      <c r="N19" s="5">
        <v>46</v>
      </c>
      <c r="O19" s="11">
        <f t="shared" si="1"/>
        <v>46</v>
      </c>
      <c r="P19" s="5">
        <v>13</v>
      </c>
      <c r="Q19" s="19" t="str">
        <f t="shared" si="2"/>
        <v>เด็กหญิงปุญญิศา  อุปทุม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12">
        <f t="shared" si="3"/>
        <v>0</v>
      </c>
      <c r="AC19" s="5">
        <v>45</v>
      </c>
      <c r="AD19" s="11">
        <f t="shared" si="4"/>
        <v>45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46</v>
      </c>
      <c r="AH19" s="22">
        <f t="shared" si="6"/>
        <v>45</v>
      </c>
      <c r="AI19" s="22">
        <f t="shared" si="7"/>
        <v>91</v>
      </c>
      <c r="AJ19" s="22">
        <f t="shared" si="8"/>
        <v>4</v>
      </c>
      <c r="AK19" s="13"/>
      <c r="AL19" s="13"/>
      <c r="AM19" s="272" t="s">
        <v>538</v>
      </c>
      <c r="AN19" s="223"/>
      <c r="AO19" s="223"/>
      <c r="AP19" s="223"/>
      <c r="AQ19" s="223"/>
      <c r="AR19" s="223"/>
      <c r="AS19" s="223"/>
      <c r="AT19" s="223"/>
      <c r="AU19" s="116" t="s">
        <v>539</v>
      </c>
    </row>
    <row r="20" spans="1:47" ht="21" customHeight="1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272" t="s">
        <v>540</v>
      </c>
      <c r="AN20" s="223"/>
      <c r="AO20" s="223"/>
      <c r="AP20" s="223"/>
      <c r="AQ20" s="223"/>
      <c r="AR20" s="223"/>
      <c r="AS20" s="223"/>
      <c r="AT20" s="223"/>
      <c r="AU20" s="116" t="s">
        <v>541</v>
      </c>
    </row>
    <row r="21" spans="1:47" ht="21" customHeight="1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272" t="s">
        <v>542</v>
      </c>
      <c r="AN21" s="223"/>
      <c r="AO21" s="223"/>
      <c r="AP21" s="223"/>
      <c r="AQ21" s="223"/>
      <c r="AR21" s="223"/>
      <c r="AS21" s="223"/>
      <c r="AT21" s="223"/>
      <c r="AU21" s="116" t="s">
        <v>543</v>
      </c>
    </row>
    <row r="22" spans="1:47" ht="24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272" t="s">
        <v>544</v>
      </c>
      <c r="AN22" s="223"/>
      <c r="AO22" s="223"/>
      <c r="AP22" s="223"/>
      <c r="AQ22" s="223"/>
      <c r="AR22" s="223"/>
      <c r="AS22" s="223"/>
      <c r="AT22" s="223"/>
      <c r="AU22" s="116" t="s">
        <v>545</v>
      </c>
    </row>
    <row r="23" spans="1:47" ht="24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272" t="s">
        <v>546</v>
      </c>
      <c r="AN23" s="223"/>
      <c r="AO23" s="223"/>
      <c r="AP23" s="223"/>
      <c r="AQ23" s="223"/>
      <c r="AR23" s="223"/>
      <c r="AS23" s="223"/>
      <c r="AT23" s="223"/>
      <c r="AU23" s="116" t="s">
        <v>547</v>
      </c>
    </row>
    <row r="24" spans="1:47" ht="24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272" t="s">
        <v>548</v>
      </c>
      <c r="AN24" s="223"/>
      <c r="AO24" s="223"/>
      <c r="AP24" s="223"/>
      <c r="AQ24" s="223"/>
      <c r="AR24" s="223"/>
      <c r="AS24" s="223"/>
      <c r="AT24" s="223"/>
      <c r="AU24" s="116" t="s">
        <v>549</v>
      </c>
    </row>
    <row r="25" spans="1:47" ht="24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272" t="s">
        <v>550</v>
      </c>
      <c r="AN25" s="223"/>
      <c r="AO25" s="223"/>
      <c r="AP25" s="223"/>
      <c r="AQ25" s="223"/>
      <c r="AR25" s="223"/>
      <c r="AS25" s="223"/>
      <c r="AT25" s="223"/>
      <c r="AU25" s="116" t="s">
        <v>551</v>
      </c>
    </row>
    <row r="26" spans="1:47" ht="24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272" t="s">
        <v>552</v>
      </c>
      <c r="AN26" s="223"/>
      <c r="AO26" s="223"/>
      <c r="AP26" s="223"/>
      <c r="AQ26" s="223"/>
      <c r="AR26" s="223"/>
      <c r="AS26" s="223"/>
      <c r="AT26" s="223"/>
      <c r="AU26" s="116" t="s">
        <v>553</v>
      </c>
    </row>
    <row r="27" spans="1:47" ht="24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72" t="s">
        <v>554</v>
      </c>
      <c r="AN27" s="223"/>
      <c r="AO27" s="223"/>
      <c r="AP27" s="223"/>
      <c r="AQ27" s="223"/>
      <c r="AR27" s="223"/>
      <c r="AS27" s="223"/>
      <c r="AT27" s="223"/>
      <c r="AU27" s="116" t="s">
        <v>555</v>
      </c>
    </row>
    <row r="28" spans="1:47" ht="24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72" t="s">
        <v>556</v>
      </c>
      <c r="AN28" s="223"/>
      <c r="AO28" s="223"/>
      <c r="AP28" s="223"/>
      <c r="AQ28" s="223"/>
      <c r="AR28" s="223"/>
      <c r="AS28" s="223"/>
      <c r="AT28" s="223"/>
      <c r="AU28" s="116" t="s">
        <v>557</v>
      </c>
    </row>
    <row r="29" spans="1:47" ht="24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72" t="s">
        <v>558</v>
      </c>
      <c r="AN29" s="223"/>
      <c r="AO29" s="223"/>
      <c r="AP29" s="223"/>
      <c r="AQ29" s="223"/>
      <c r="AR29" s="223"/>
      <c r="AS29" s="223"/>
      <c r="AT29" s="223"/>
      <c r="AU29" s="116" t="s">
        <v>559</v>
      </c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114"/>
      <c r="AU30" s="115"/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114"/>
      <c r="AU31" s="115"/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114"/>
      <c r="AU32" s="115"/>
    </row>
    <row r="33" spans="1:47" ht="24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114"/>
      <c r="AU33" s="115"/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114"/>
      <c r="AU34" s="115"/>
    </row>
    <row r="35" spans="1:47" ht="24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114"/>
      <c r="AU35" s="115"/>
    </row>
    <row r="36" spans="1:47" ht="20" thickBot="1" x14ac:dyDescent="0.4">
      <c r="AM36" s="269"/>
      <c r="AN36" s="270"/>
      <c r="AO36" s="270"/>
      <c r="AP36" s="270"/>
      <c r="AQ36" s="270"/>
      <c r="AR36" s="270"/>
      <c r="AS36" s="270"/>
      <c r="AT36" s="270"/>
      <c r="AU36" s="271"/>
    </row>
    <row r="48" spans="1:47" ht="14.25" customHeight="1" x14ac:dyDescent="0.35"/>
    <row r="49" ht="14.25" customHeight="1" x14ac:dyDescent="0.35"/>
    <row r="50" ht="14.25" customHeight="1" x14ac:dyDescent="0.35"/>
  </sheetData>
  <mergeCells count="50">
    <mergeCell ref="A4:A6"/>
    <mergeCell ref="C4:M4"/>
    <mergeCell ref="N4:N5"/>
    <mergeCell ref="O4:O5"/>
    <mergeCell ref="P4:P6"/>
    <mergeCell ref="A2:O2"/>
    <mergeCell ref="P2:AD2"/>
    <mergeCell ref="AE2:AL2"/>
    <mergeCell ref="AM2:AU2"/>
    <mergeCell ref="A3:O3"/>
    <mergeCell ref="P3:AD3"/>
    <mergeCell ref="AE3:AL3"/>
    <mergeCell ref="AM3:AU3"/>
    <mergeCell ref="R4:AB4"/>
    <mergeCell ref="AC4:AC5"/>
    <mergeCell ref="AD4:AD5"/>
    <mergeCell ref="AM20:AT20"/>
    <mergeCell ref="AE4:AE6"/>
    <mergeCell ref="AF4:AF5"/>
    <mergeCell ref="AG4:AG5"/>
    <mergeCell ref="AH4:AH5"/>
    <mergeCell ref="AI4:AI5"/>
    <mergeCell ref="AJ4:AJ6"/>
    <mergeCell ref="AK4:AK6"/>
    <mergeCell ref="AL4:AL6"/>
    <mergeCell ref="AM16:AT16"/>
    <mergeCell ref="AM17:AT17"/>
    <mergeCell ref="AM19:AT19"/>
    <mergeCell ref="AM36:AU36"/>
    <mergeCell ref="AM5:AT5"/>
    <mergeCell ref="AM6:AT6"/>
    <mergeCell ref="AM7:AT7"/>
    <mergeCell ref="AM8:AT8"/>
    <mergeCell ref="AM18:AT18"/>
    <mergeCell ref="AM9:AT9"/>
    <mergeCell ref="AM10:AT10"/>
    <mergeCell ref="AM11:AT11"/>
    <mergeCell ref="AM12:AT12"/>
    <mergeCell ref="AM13:AT13"/>
    <mergeCell ref="AM14:AT14"/>
    <mergeCell ref="AM15:AT15"/>
    <mergeCell ref="AM26:AT26"/>
    <mergeCell ref="AM21:AT21"/>
    <mergeCell ref="AM22:AT22"/>
    <mergeCell ref="AM29:AT29"/>
    <mergeCell ref="AM23:AT23"/>
    <mergeCell ref="AM24:AT24"/>
    <mergeCell ref="AM25:AT25"/>
    <mergeCell ref="AM27:AT27"/>
    <mergeCell ref="AM28:AT28"/>
  </mergeCells>
  <pageMargins left="0.85416666666666663" right="0.17708333333333334" top="0.3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50"/>
  <sheetViews>
    <sheetView view="pageLayout" zoomScaleNormal="100" workbookViewId="0">
      <selection activeCell="S15" sqref="S15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41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42</v>
      </c>
      <c r="AL1" s="1">
        <v>43</v>
      </c>
      <c r="AU1" s="1">
        <v>44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262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256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ศิลปะ  (ศ13101)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ศิลปะ  (ศ13101)</v>
      </c>
      <c r="AF3" s="246"/>
      <c r="AG3" s="246"/>
      <c r="AH3" s="246"/>
      <c r="AI3" s="246"/>
      <c r="AJ3" s="246"/>
      <c r="AK3" s="246"/>
      <c r="AL3" s="246"/>
      <c r="AM3" s="247" t="s">
        <v>560</v>
      </c>
      <c r="AN3" s="242"/>
      <c r="AO3" s="242"/>
      <c r="AP3" s="242"/>
      <c r="AQ3" s="242"/>
      <c r="AR3" s="242"/>
      <c r="AS3" s="242"/>
      <c r="AT3" s="242"/>
      <c r="AU3" s="248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276" t="s">
        <v>561</v>
      </c>
      <c r="AN4" s="277"/>
      <c r="AO4" s="277"/>
      <c r="AP4" s="277"/>
      <c r="AQ4" s="277"/>
      <c r="AR4" s="277"/>
      <c r="AS4" s="277"/>
      <c r="AT4" s="277"/>
      <c r="AU4" s="146" t="s">
        <v>562</v>
      </c>
    </row>
    <row r="5" spans="1:47" s="24" customFormat="1" ht="14.25" customHeight="1" x14ac:dyDescent="0.35">
      <c r="A5" s="236"/>
      <c r="B5" s="25" t="s">
        <v>247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7" t="s">
        <v>17</v>
      </c>
      <c r="N5" s="237"/>
      <c r="O5" s="237"/>
      <c r="P5" s="236"/>
      <c r="Q5" s="25" t="s">
        <v>247</v>
      </c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272" t="s">
        <v>563</v>
      </c>
      <c r="AN5" s="223"/>
      <c r="AO5" s="223"/>
      <c r="AP5" s="223"/>
      <c r="AQ5" s="223"/>
      <c r="AR5" s="223"/>
      <c r="AS5" s="223"/>
      <c r="AT5" s="223"/>
      <c r="AU5" s="116" t="s">
        <v>564</v>
      </c>
    </row>
    <row r="6" spans="1:47" ht="18.75" customHeight="1" x14ac:dyDescent="0.35">
      <c r="A6" s="237"/>
      <c r="B6" s="14" t="s">
        <v>16</v>
      </c>
      <c r="C6" s="15">
        <v>40</v>
      </c>
      <c r="D6" s="15"/>
      <c r="E6" s="15"/>
      <c r="F6" s="15"/>
      <c r="G6" s="15"/>
      <c r="H6" s="15"/>
      <c r="I6" s="15"/>
      <c r="J6" s="15"/>
      <c r="K6" s="15"/>
      <c r="L6" s="15"/>
      <c r="M6" s="17">
        <f>SUM(C6:L6)</f>
        <v>40</v>
      </c>
      <c r="N6" s="16">
        <v>10</v>
      </c>
      <c r="O6" s="18">
        <f>SUM(M6:N6)</f>
        <v>50</v>
      </c>
      <c r="P6" s="237"/>
      <c r="Q6" s="14" t="s">
        <v>16</v>
      </c>
      <c r="R6" s="15">
        <v>40</v>
      </c>
      <c r="S6" s="15"/>
      <c r="T6" s="15"/>
      <c r="U6" s="15"/>
      <c r="V6" s="15"/>
      <c r="W6" s="15"/>
      <c r="X6" s="15"/>
      <c r="Y6" s="15"/>
      <c r="Z6" s="15"/>
      <c r="AA6" s="15"/>
      <c r="AB6" s="17">
        <f>SUM(R6:AA6)</f>
        <v>40</v>
      </c>
      <c r="AC6" s="15">
        <v>10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272" t="s">
        <v>565</v>
      </c>
      <c r="AN6" s="223"/>
      <c r="AO6" s="223"/>
      <c r="AP6" s="223"/>
      <c r="AQ6" s="223"/>
      <c r="AR6" s="223"/>
      <c r="AS6" s="223"/>
      <c r="AT6" s="223"/>
      <c r="AU6" s="116" t="s">
        <v>566</v>
      </c>
    </row>
    <row r="7" spans="1:47" ht="21" customHeight="1" x14ac:dyDescent="0.4">
      <c r="A7" s="5">
        <v>1</v>
      </c>
      <c r="B7" s="19" t="str">
        <f>'เวลาเรียน4-16'!B6</f>
        <v>เด็กชายกฤษดา  บัวศรี</v>
      </c>
      <c r="C7" s="5">
        <v>40</v>
      </c>
      <c r="D7" s="5"/>
      <c r="E7" s="5"/>
      <c r="F7" s="5"/>
      <c r="G7" s="5"/>
      <c r="H7" s="5"/>
      <c r="I7" s="5"/>
      <c r="J7" s="5"/>
      <c r="K7" s="5"/>
      <c r="L7" s="5"/>
      <c r="M7" s="12">
        <f t="shared" ref="M7:M19" si="0">SUM(C7:L7)</f>
        <v>40</v>
      </c>
      <c r="N7" s="5">
        <v>6</v>
      </c>
      <c r="O7" s="11">
        <f t="shared" ref="O7:O19" si="1">SUM(M7:N7)</f>
        <v>46</v>
      </c>
      <c r="P7" s="5">
        <v>1</v>
      </c>
      <c r="Q7" s="19" t="str">
        <f t="shared" ref="Q7:Q19" si="2">B7</f>
        <v>เด็กชายกฤษดา  บัวศรี</v>
      </c>
      <c r="R7" s="5">
        <v>33</v>
      </c>
      <c r="S7" s="5"/>
      <c r="T7" s="5"/>
      <c r="U7" s="5"/>
      <c r="V7" s="5"/>
      <c r="W7" s="5"/>
      <c r="X7" s="5"/>
      <c r="Y7" s="5"/>
      <c r="Z7" s="5"/>
      <c r="AA7" s="5"/>
      <c r="AB7" s="12">
        <f t="shared" ref="AB7:AB19" si="3">SUM(R7:AA7)</f>
        <v>33</v>
      </c>
      <c r="AC7" s="5">
        <v>7</v>
      </c>
      <c r="AD7" s="11">
        <f t="shared" ref="AD7:AD19" si="4">SUM(AB7:AC7)</f>
        <v>40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46</v>
      </c>
      <c r="AH7" s="22">
        <f t="shared" ref="AH7:AH19" si="6">AD7</f>
        <v>40</v>
      </c>
      <c r="AI7" s="22">
        <f>SUM(AG7:AH7)</f>
        <v>86</v>
      </c>
      <c r="AJ7" s="22">
        <f>IF(AI7&gt;79,4,IF(AI7&gt;74,3.5,IF(AI7&gt;69,3,IF(AI7&gt;64,2.5,IF(AI7&gt;59,2,IF(AI7&gt;54,1.5,IF(AI7&gt;49,1,IF(AI7&lt;50,0))))))))</f>
        <v>4</v>
      </c>
      <c r="AK7" s="13"/>
      <c r="AL7" s="13"/>
      <c r="AM7" s="272" t="s">
        <v>567</v>
      </c>
      <c r="AN7" s="223"/>
      <c r="AO7" s="223"/>
      <c r="AP7" s="223"/>
      <c r="AQ7" s="223"/>
      <c r="AR7" s="223"/>
      <c r="AS7" s="223"/>
      <c r="AT7" s="223"/>
      <c r="AU7" s="116" t="s">
        <v>568</v>
      </c>
    </row>
    <row r="8" spans="1:47" ht="24" x14ac:dyDescent="0.4">
      <c r="A8" s="5">
        <v>2</v>
      </c>
      <c r="B8" s="19" t="str">
        <f>'เวลาเรียน4-16'!B7</f>
        <v>เด็กชายจิรายุ  ดอบุตร</v>
      </c>
      <c r="C8" s="5">
        <v>40</v>
      </c>
      <c r="D8" s="5"/>
      <c r="E8" s="5"/>
      <c r="F8" s="5"/>
      <c r="G8" s="5"/>
      <c r="H8" s="5"/>
      <c r="I8" s="5"/>
      <c r="J8" s="5"/>
      <c r="K8" s="5"/>
      <c r="L8" s="5"/>
      <c r="M8" s="12">
        <f t="shared" si="0"/>
        <v>40</v>
      </c>
      <c r="N8" s="5">
        <v>7</v>
      </c>
      <c r="O8" s="11">
        <f t="shared" si="1"/>
        <v>47</v>
      </c>
      <c r="P8" s="5">
        <v>2</v>
      </c>
      <c r="Q8" s="19" t="str">
        <f t="shared" si="2"/>
        <v>เด็กชายจิรายุ  ดอบุตร</v>
      </c>
      <c r="R8" s="5">
        <v>34</v>
      </c>
      <c r="S8" s="5"/>
      <c r="T8" s="5"/>
      <c r="U8" s="5"/>
      <c r="V8" s="5"/>
      <c r="W8" s="5"/>
      <c r="X8" s="5"/>
      <c r="Y8" s="5"/>
      <c r="Z8" s="5"/>
      <c r="AA8" s="5"/>
      <c r="AB8" s="12">
        <f t="shared" si="3"/>
        <v>34</v>
      </c>
      <c r="AC8" s="5">
        <v>6</v>
      </c>
      <c r="AD8" s="11">
        <f t="shared" si="4"/>
        <v>40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47</v>
      </c>
      <c r="AH8" s="22">
        <f t="shared" si="6"/>
        <v>40</v>
      </c>
      <c r="AI8" s="22">
        <f t="shared" ref="AI8:AI19" si="7">SUM(AG8:AH8)</f>
        <v>87</v>
      </c>
      <c r="AJ8" s="22">
        <f t="shared" ref="AJ8:AJ19" si="8">IF(AI8&gt;79,4,IF(AI8&gt;74,3.5,IF(AI8&gt;69,3,IF(AI8&gt;64,2.5,IF(AI8&gt;59,2,IF(AI8&gt;54,1.5,IF(AI8&gt;49,1,IF(AI8&lt;50,0))))))))</f>
        <v>4</v>
      </c>
      <c r="AK8" s="13"/>
      <c r="AL8" s="13"/>
      <c r="AM8" s="272" t="s">
        <v>569</v>
      </c>
      <c r="AN8" s="223"/>
      <c r="AO8" s="223"/>
      <c r="AP8" s="223"/>
      <c r="AQ8" s="223"/>
      <c r="AR8" s="223"/>
      <c r="AS8" s="223"/>
      <c r="AT8" s="223"/>
      <c r="AU8" s="116" t="s">
        <v>570</v>
      </c>
    </row>
    <row r="9" spans="1:47" ht="21" customHeight="1" x14ac:dyDescent="0.4">
      <c r="A9" s="5">
        <v>3</v>
      </c>
      <c r="B9" s="19" t="str">
        <f>'เวลาเรียน4-16'!B8</f>
        <v>เด็กชายจิรายุ  เนตรสว่าง</v>
      </c>
      <c r="C9" s="5">
        <v>40</v>
      </c>
      <c r="D9" s="5"/>
      <c r="E9" s="5"/>
      <c r="F9" s="5"/>
      <c r="G9" s="5"/>
      <c r="H9" s="5"/>
      <c r="I9" s="5"/>
      <c r="J9" s="5"/>
      <c r="K9" s="5"/>
      <c r="L9" s="5"/>
      <c r="M9" s="12">
        <f t="shared" si="0"/>
        <v>40</v>
      </c>
      <c r="N9" s="5">
        <v>6</v>
      </c>
      <c r="O9" s="11">
        <f t="shared" si="1"/>
        <v>46</v>
      </c>
      <c r="P9" s="5">
        <v>3</v>
      </c>
      <c r="Q9" s="19" t="str">
        <f t="shared" si="2"/>
        <v>เด็กชายจิรายุ  เนตรสว่าง</v>
      </c>
      <c r="R9" s="5">
        <v>32</v>
      </c>
      <c r="S9" s="5"/>
      <c r="T9" s="5"/>
      <c r="U9" s="5"/>
      <c r="V9" s="5"/>
      <c r="W9" s="5"/>
      <c r="X9" s="5"/>
      <c r="Y9" s="5"/>
      <c r="Z9" s="5"/>
      <c r="AA9" s="5"/>
      <c r="AB9" s="12">
        <f t="shared" si="3"/>
        <v>32</v>
      </c>
      <c r="AC9" s="5">
        <v>6</v>
      </c>
      <c r="AD9" s="11">
        <f t="shared" si="4"/>
        <v>38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46</v>
      </c>
      <c r="AH9" s="22">
        <f t="shared" si="6"/>
        <v>38</v>
      </c>
      <c r="AI9" s="22">
        <f t="shared" si="7"/>
        <v>84</v>
      </c>
      <c r="AJ9" s="22">
        <f t="shared" si="8"/>
        <v>4</v>
      </c>
      <c r="AK9" s="13"/>
      <c r="AL9" s="13"/>
      <c r="AM9" s="272" t="s">
        <v>571</v>
      </c>
      <c r="AN9" s="223"/>
      <c r="AO9" s="223"/>
      <c r="AP9" s="223"/>
      <c r="AQ9" s="223"/>
      <c r="AR9" s="223"/>
      <c r="AS9" s="223"/>
      <c r="AT9" s="223"/>
      <c r="AU9" s="116" t="s">
        <v>572</v>
      </c>
    </row>
    <row r="10" spans="1:47" ht="21" customHeight="1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>
        <v>40</v>
      </c>
      <c r="D10" s="5"/>
      <c r="E10" s="5"/>
      <c r="F10" s="5"/>
      <c r="G10" s="5"/>
      <c r="H10" s="5"/>
      <c r="I10" s="5"/>
      <c r="J10" s="5"/>
      <c r="K10" s="5"/>
      <c r="L10" s="5"/>
      <c r="M10" s="12">
        <f t="shared" si="0"/>
        <v>40</v>
      </c>
      <c r="N10" s="5">
        <v>7</v>
      </c>
      <c r="O10" s="11">
        <f t="shared" si="1"/>
        <v>47</v>
      </c>
      <c r="P10" s="5">
        <v>4</v>
      </c>
      <c r="Q10" s="19" t="str">
        <f t="shared" si="2"/>
        <v>เด็กชายจีรภัทร  คันธมาตย์</v>
      </c>
      <c r="R10" s="5">
        <v>33</v>
      </c>
      <c r="S10" s="5"/>
      <c r="T10" s="5"/>
      <c r="U10" s="5"/>
      <c r="V10" s="5"/>
      <c r="W10" s="5"/>
      <c r="X10" s="5"/>
      <c r="Y10" s="5"/>
      <c r="Z10" s="5"/>
      <c r="AA10" s="5"/>
      <c r="AB10" s="12">
        <f t="shared" si="3"/>
        <v>33</v>
      </c>
      <c r="AC10" s="5">
        <v>6</v>
      </c>
      <c r="AD10" s="11">
        <f t="shared" si="4"/>
        <v>39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47</v>
      </c>
      <c r="AH10" s="22">
        <f t="shared" si="6"/>
        <v>39</v>
      </c>
      <c r="AI10" s="22">
        <f t="shared" si="7"/>
        <v>86</v>
      </c>
      <c r="AJ10" s="22">
        <f t="shared" si="8"/>
        <v>4</v>
      </c>
      <c r="AK10" s="13"/>
      <c r="AL10" s="13"/>
      <c r="AM10" s="272" t="s">
        <v>573</v>
      </c>
      <c r="AN10" s="223"/>
      <c r="AO10" s="223"/>
      <c r="AP10" s="223"/>
      <c r="AQ10" s="223"/>
      <c r="AR10" s="223"/>
      <c r="AS10" s="223"/>
      <c r="AT10" s="223"/>
      <c r="AU10" s="116" t="s">
        <v>568</v>
      </c>
    </row>
    <row r="11" spans="1:47" ht="21" customHeight="1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>
        <v>40</v>
      </c>
      <c r="D11" s="5"/>
      <c r="E11" s="5"/>
      <c r="F11" s="5"/>
      <c r="G11" s="5"/>
      <c r="H11" s="5"/>
      <c r="I11" s="5"/>
      <c r="J11" s="5"/>
      <c r="K11" s="5"/>
      <c r="L11" s="5"/>
      <c r="M11" s="12">
        <f t="shared" si="0"/>
        <v>40</v>
      </c>
      <c r="N11" s="5">
        <v>8</v>
      </c>
      <c r="O11" s="11">
        <f t="shared" si="1"/>
        <v>48</v>
      </c>
      <c r="P11" s="5">
        <v>5</v>
      </c>
      <c r="Q11" s="19" t="str">
        <f t="shared" si="2"/>
        <v>เด็กชายปรวัฒน์  โพธิ์ศรี</v>
      </c>
      <c r="R11" s="5">
        <v>34</v>
      </c>
      <c r="S11" s="5"/>
      <c r="T11" s="5"/>
      <c r="U11" s="5"/>
      <c r="V11" s="5"/>
      <c r="W11" s="5"/>
      <c r="X11" s="5"/>
      <c r="Y11" s="5"/>
      <c r="Z11" s="5"/>
      <c r="AA11" s="5"/>
      <c r="AB11" s="12">
        <f t="shared" si="3"/>
        <v>34</v>
      </c>
      <c r="AC11" s="5">
        <v>7</v>
      </c>
      <c r="AD11" s="11">
        <f t="shared" si="4"/>
        <v>41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48</v>
      </c>
      <c r="AH11" s="22">
        <f t="shared" si="6"/>
        <v>41</v>
      </c>
      <c r="AI11" s="22">
        <f t="shared" si="7"/>
        <v>89</v>
      </c>
      <c r="AJ11" s="22">
        <f t="shared" si="8"/>
        <v>4</v>
      </c>
      <c r="AK11" s="13"/>
      <c r="AL11" s="13"/>
      <c r="AM11" s="272" t="s">
        <v>574</v>
      </c>
      <c r="AN11" s="223"/>
      <c r="AO11" s="223"/>
      <c r="AP11" s="223"/>
      <c r="AQ11" s="223"/>
      <c r="AR11" s="223"/>
      <c r="AS11" s="223"/>
      <c r="AT11" s="223"/>
      <c r="AU11" s="116" t="s">
        <v>575</v>
      </c>
    </row>
    <row r="12" spans="1:47" ht="21" customHeight="1" x14ac:dyDescent="0.4">
      <c r="A12" s="5">
        <v>6</v>
      </c>
      <c r="B12" s="19" t="str">
        <f>'เวลาเรียน4-16'!B11</f>
        <v>เด็กชายพีรภาพ  วงคำใหญ่</v>
      </c>
      <c r="C12" s="5">
        <v>40</v>
      </c>
      <c r="D12" s="5"/>
      <c r="E12" s="5"/>
      <c r="F12" s="5"/>
      <c r="G12" s="5"/>
      <c r="H12" s="5"/>
      <c r="I12" s="5"/>
      <c r="J12" s="5"/>
      <c r="K12" s="5"/>
      <c r="L12" s="5"/>
      <c r="M12" s="12">
        <f t="shared" si="0"/>
        <v>40</v>
      </c>
      <c r="N12" s="5">
        <v>6</v>
      </c>
      <c r="O12" s="11">
        <f t="shared" si="1"/>
        <v>46</v>
      </c>
      <c r="P12" s="5">
        <v>6</v>
      </c>
      <c r="Q12" s="19" t="str">
        <f t="shared" si="2"/>
        <v>เด็กชายพีรภาพ  วงคำใหญ่</v>
      </c>
      <c r="R12" s="5">
        <v>32</v>
      </c>
      <c r="S12" s="5"/>
      <c r="T12" s="5"/>
      <c r="U12" s="5"/>
      <c r="V12" s="5"/>
      <c r="W12" s="5"/>
      <c r="X12" s="5"/>
      <c r="Y12" s="5"/>
      <c r="Z12" s="5"/>
      <c r="AA12" s="5"/>
      <c r="AB12" s="12">
        <f t="shared" si="3"/>
        <v>32</v>
      </c>
      <c r="AC12" s="5">
        <v>7</v>
      </c>
      <c r="AD12" s="11">
        <f t="shared" si="4"/>
        <v>39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46</v>
      </c>
      <c r="AH12" s="22">
        <f t="shared" si="6"/>
        <v>39</v>
      </c>
      <c r="AI12" s="22">
        <f t="shared" si="7"/>
        <v>85</v>
      </c>
      <c r="AJ12" s="22">
        <f t="shared" si="8"/>
        <v>4</v>
      </c>
      <c r="AK12" s="13"/>
      <c r="AL12" s="13"/>
      <c r="AM12" s="272" t="s">
        <v>576</v>
      </c>
      <c r="AN12" s="223"/>
      <c r="AO12" s="223"/>
      <c r="AP12" s="223"/>
      <c r="AQ12" s="223"/>
      <c r="AR12" s="223"/>
      <c r="AS12" s="223"/>
      <c r="AT12" s="223"/>
      <c r="AU12" s="116" t="s">
        <v>577</v>
      </c>
    </row>
    <row r="13" spans="1:47" ht="21" customHeight="1" x14ac:dyDescent="0.4">
      <c r="A13" s="5">
        <v>7</v>
      </c>
      <c r="B13" s="19" t="str">
        <f>'เวลาเรียน4-16'!B12</f>
        <v>เด็กหญิงกมลรัตน์  แสดคง</v>
      </c>
      <c r="C13" s="5">
        <v>40</v>
      </c>
      <c r="D13" s="5"/>
      <c r="E13" s="5"/>
      <c r="F13" s="5"/>
      <c r="G13" s="5"/>
      <c r="H13" s="5"/>
      <c r="I13" s="5"/>
      <c r="J13" s="5"/>
      <c r="K13" s="5"/>
      <c r="L13" s="5"/>
      <c r="M13" s="12">
        <f t="shared" si="0"/>
        <v>40</v>
      </c>
      <c r="N13" s="5">
        <v>6</v>
      </c>
      <c r="O13" s="11">
        <f t="shared" si="1"/>
        <v>46</v>
      </c>
      <c r="P13" s="5">
        <v>7</v>
      </c>
      <c r="Q13" s="19" t="str">
        <f t="shared" si="2"/>
        <v>เด็กหญิงกมลรัตน์  แสดคง</v>
      </c>
      <c r="R13" s="5">
        <v>35</v>
      </c>
      <c r="S13" s="5"/>
      <c r="T13" s="5"/>
      <c r="U13" s="5"/>
      <c r="V13" s="5"/>
      <c r="W13" s="5"/>
      <c r="X13" s="5"/>
      <c r="Y13" s="5"/>
      <c r="Z13" s="5"/>
      <c r="AA13" s="5"/>
      <c r="AB13" s="12">
        <f t="shared" si="3"/>
        <v>35</v>
      </c>
      <c r="AC13" s="5">
        <v>7</v>
      </c>
      <c r="AD13" s="11">
        <f t="shared" si="4"/>
        <v>42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46</v>
      </c>
      <c r="AH13" s="22">
        <f t="shared" si="6"/>
        <v>42</v>
      </c>
      <c r="AI13" s="22">
        <f t="shared" si="7"/>
        <v>88</v>
      </c>
      <c r="AJ13" s="22">
        <f t="shared" si="8"/>
        <v>4</v>
      </c>
      <c r="AK13" s="13"/>
      <c r="AL13" s="13"/>
      <c r="AM13" s="272" t="s">
        <v>578</v>
      </c>
      <c r="AN13" s="223"/>
      <c r="AO13" s="223"/>
      <c r="AP13" s="223"/>
      <c r="AQ13" s="223"/>
      <c r="AR13" s="223"/>
      <c r="AS13" s="223"/>
      <c r="AT13" s="223"/>
      <c r="AU13" s="116" t="s">
        <v>579</v>
      </c>
    </row>
    <row r="14" spans="1:47" ht="21" customHeight="1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>
        <v>40</v>
      </c>
      <c r="D14" s="5"/>
      <c r="E14" s="5"/>
      <c r="F14" s="5"/>
      <c r="G14" s="5"/>
      <c r="H14" s="5"/>
      <c r="I14" s="5"/>
      <c r="J14" s="5"/>
      <c r="K14" s="5"/>
      <c r="L14" s="5"/>
      <c r="M14" s="12">
        <f t="shared" si="0"/>
        <v>40</v>
      </c>
      <c r="N14" s="5">
        <v>7</v>
      </c>
      <c r="O14" s="11">
        <f t="shared" si="1"/>
        <v>47</v>
      </c>
      <c r="P14" s="5">
        <v>8</v>
      </c>
      <c r="Q14" s="19" t="str">
        <f t="shared" si="2"/>
        <v>เด็กหญิงกัลยรัตน์  ทึงสุข</v>
      </c>
      <c r="R14" s="5">
        <v>35</v>
      </c>
      <c r="S14" s="5"/>
      <c r="T14" s="5"/>
      <c r="U14" s="5"/>
      <c r="V14" s="5"/>
      <c r="W14" s="5"/>
      <c r="X14" s="5"/>
      <c r="Y14" s="5"/>
      <c r="Z14" s="5"/>
      <c r="AA14" s="5"/>
      <c r="AB14" s="12">
        <f t="shared" si="3"/>
        <v>35</v>
      </c>
      <c r="AC14" s="5">
        <v>7</v>
      </c>
      <c r="AD14" s="11">
        <f t="shared" si="4"/>
        <v>42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47</v>
      </c>
      <c r="AH14" s="22">
        <f t="shared" si="6"/>
        <v>42</v>
      </c>
      <c r="AI14" s="22">
        <f t="shared" si="7"/>
        <v>89</v>
      </c>
      <c r="AJ14" s="22">
        <f t="shared" si="8"/>
        <v>4</v>
      </c>
      <c r="AK14" s="13"/>
      <c r="AL14" s="13"/>
      <c r="AM14" s="272" t="s">
        <v>580</v>
      </c>
      <c r="AN14" s="223"/>
      <c r="AO14" s="223"/>
      <c r="AP14" s="223"/>
      <c r="AQ14" s="223"/>
      <c r="AR14" s="223"/>
      <c r="AS14" s="223"/>
      <c r="AT14" s="223"/>
      <c r="AU14" s="116" t="s">
        <v>581</v>
      </c>
    </row>
    <row r="15" spans="1:47" ht="21" customHeight="1" x14ac:dyDescent="0.4">
      <c r="A15" s="5">
        <v>9</v>
      </c>
      <c r="B15" s="19" t="str">
        <f>'เวลาเรียน4-16'!B14</f>
        <v>เด็กหญิงนิตยา  พละโท</v>
      </c>
      <c r="C15" s="5">
        <v>40</v>
      </c>
      <c r="D15" s="5"/>
      <c r="E15" s="5"/>
      <c r="F15" s="5"/>
      <c r="G15" s="5"/>
      <c r="H15" s="5"/>
      <c r="I15" s="5"/>
      <c r="J15" s="5"/>
      <c r="K15" s="5"/>
      <c r="L15" s="5"/>
      <c r="M15" s="12">
        <f t="shared" si="0"/>
        <v>40</v>
      </c>
      <c r="N15" s="5">
        <v>7</v>
      </c>
      <c r="O15" s="11">
        <f t="shared" si="1"/>
        <v>47</v>
      </c>
      <c r="P15" s="5">
        <v>9</v>
      </c>
      <c r="Q15" s="19" t="str">
        <f t="shared" si="2"/>
        <v>เด็กหญิงนิตยา  พละโท</v>
      </c>
      <c r="R15" s="5">
        <v>35</v>
      </c>
      <c r="S15" s="5"/>
      <c r="T15" s="5"/>
      <c r="U15" s="5"/>
      <c r="V15" s="5"/>
      <c r="W15" s="5"/>
      <c r="X15" s="5"/>
      <c r="Y15" s="5"/>
      <c r="Z15" s="5"/>
      <c r="AA15" s="5"/>
      <c r="AB15" s="12">
        <f t="shared" si="3"/>
        <v>35</v>
      </c>
      <c r="AC15" s="5">
        <v>8</v>
      </c>
      <c r="AD15" s="11">
        <f t="shared" si="4"/>
        <v>43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47</v>
      </c>
      <c r="AH15" s="22">
        <f t="shared" si="6"/>
        <v>43</v>
      </c>
      <c r="AI15" s="22">
        <f t="shared" si="7"/>
        <v>90</v>
      </c>
      <c r="AJ15" s="22">
        <f t="shared" si="8"/>
        <v>4</v>
      </c>
      <c r="AK15" s="13"/>
      <c r="AL15" s="13"/>
      <c r="AM15" s="272" t="s">
        <v>582</v>
      </c>
      <c r="AN15" s="223"/>
      <c r="AO15" s="223"/>
      <c r="AP15" s="223"/>
      <c r="AQ15" s="223"/>
      <c r="AR15" s="223"/>
      <c r="AS15" s="223"/>
      <c r="AT15" s="223"/>
      <c r="AU15" s="116" t="s">
        <v>583</v>
      </c>
    </row>
    <row r="16" spans="1:47" ht="21" customHeight="1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>
        <v>40</v>
      </c>
      <c r="D16" s="5"/>
      <c r="E16" s="5"/>
      <c r="F16" s="5"/>
      <c r="G16" s="5"/>
      <c r="H16" s="5"/>
      <c r="I16" s="5"/>
      <c r="J16" s="5"/>
      <c r="K16" s="5"/>
      <c r="L16" s="5"/>
      <c r="M16" s="12">
        <f t="shared" si="0"/>
        <v>40</v>
      </c>
      <c r="N16" s="5">
        <v>8</v>
      </c>
      <c r="O16" s="11">
        <f t="shared" si="1"/>
        <v>48</v>
      </c>
      <c r="P16" s="5">
        <v>10</v>
      </c>
      <c r="Q16" s="19" t="str">
        <f t="shared" si="2"/>
        <v>เด็กหญิงบัณฑิตา  เบ้าพงษ์</v>
      </c>
      <c r="R16" s="5">
        <v>34</v>
      </c>
      <c r="S16" s="5"/>
      <c r="T16" s="5"/>
      <c r="U16" s="5"/>
      <c r="V16" s="5"/>
      <c r="W16" s="5"/>
      <c r="X16" s="5"/>
      <c r="Y16" s="5"/>
      <c r="Z16" s="5"/>
      <c r="AA16" s="5"/>
      <c r="AB16" s="12">
        <f t="shared" si="3"/>
        <v>34</v>
      </c>
      <c r="AC16" s="5">
        <v>7</v>
      </c>
      <c r="AD16" s="11">
        <f t="shared" si="4"/>
        <v>41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48</v>
      </c>
      <c r="AH16" s="22">
        <f t="shared" si="6"/>
        <v>41</v>
      </c>
      <c r="AI16" s="22">
        <f t="shared" si="7"/>
        <v>89</v>
      </c>
      <c r="AJ16" s="22">
        <f t="shared" si="8"/>
        <v>4</v>
      </c>
      <c r="AK16" s="13"/>
      <c r="AL16" s="13"/>
      <c r="AM16" s="272" t="s">
        <v>584</v>
      </c>
      <c r="AN16" s="223"/>
      <c r="AO16" s="223"/>
      <c r="AP16" s="223"/>
      <c r="AQ16" s="223"/>
      <c r="AR16" s="223"/>
      <c r="AS16" s="223"/>
      <c r="AT16" s="223"/>
      <c r="AU16" s="116" t="s">
        <v>585</v>
      </c>
    </row>
    <row r="17" spans="1:47" ht="21" customHeight="1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>
        <v>40</v>
      </c>
      <c r="D17" s="5"/>
      <c r="E17" s="5"/>
      <c r="F17" s="5"/>
      <c r="G17" s="5"/>
      <c r="H17" s="5"/>
      <c r="I17" s="5"/>
      <c r="J17" s="5"/>
      <c r="K17" s="5"/>
      <c r="L17" s="5"/>
      <c r="M17" s="12">
        <f t="shared" si="0"/>
        <v>40</v>
      </c>
      <c r="N17" s="5">
        <v>7</v>
      </c>
      <c r="O17" s="11">
        <f t="shared" si="1"/>
        <v>47</v>
      </c>
      <c r="P17" s="5">
        <v>11</v>
      </c>
      <c r="Q17" s="19" t="str">
        <f t="shared" si="2"/>
        <v>เด็กหญิงพัชรกัญญ์  บาลนาคม</v>
      </c>
      <c r="R17" s="5">
        <v>34</v>
      </c>
      <c r="S17" s="5"/>
      <c r="T17" s="5"/>
      <c r="U17" s="5"/>
      <c r="V17" s="5"/>
      <c r="W17" s="5"/>
      <c r="X17" s="5"/>
      <c r="Y17" s="5"/>
      <c r="Z17" s="5"/>
      <c r="AA17" s="5"/>
      <c r="AB17" s="12">
        <f t="shared" si="3"/>
        <v>34</v>
      </c>
      <c r="AC17" s="5">
        <v>7</v>
      </c>
      <c r="AD17" s="11">
        <f t="shared" si="4"/>
        <v>41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47</v>
      </c>
      <c r="AH17" s="22">
        <f t="shared" si="6"/>
        <v>41</v>
      </c>
      <c r="AI17" s="22">
        <f t="shared" si="7"/>
        <v>88</v>
      </c>
      <c r="AJ17" s="22">
        <f t="shared" si="8"/>
        <v>4</v>
      </c>
      <c r="AK17" s="13"/>
      <c r="AL17" s="13"/>
      <c r="AM17" s="272" t="s">
        <v>586</v>
      </c>
      <c r="AN17" s="223"/>
      <c r="AO17" s="223"/>
      <c r="AP17" s="223"/>
      <c r="AQ17" s="223"/>
      <c r="AR17" s="223"/>
      <c r="AS17" s="223"/>
      <c r="AT17" s="223"/>
      <c r="AU17" s="116" t="s">
        <v>587</v>
      </c>
    </row>
    <row r="18" spans="1:47" ht="21" customHeight="1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>
        <v>40</v>
      </c>
      <c r="D18" s="5"/>
      <c r="E18" s="5"/>
      <c r="F18" s="5"/>
      <c r="G18" s="5"/>
      <c r="H18" s="5"/>
      <c r="I18" s="5"/>
      <c r="J18" s="5"/>
      <c r="K18" s="5"/>
      <c r="L18" s="5"/>
      <c r="M18" s="12">
        <f t="shared" si="0"/>
        <v>40</v>
      </c>
      <c r="N18" s="5">
        <v>8</v>
      </c>
      <c r="O18" s="11">
        <f t="shared" si="1"/>
        <v>48</v>
      </c>
      <c r="P18" s="5">
        <v>12</v>
      </c>
      <c r="Q18" s="19" t="str">
        <f t="shared" si="2"/>
        <v>เด็กหญิงสุวิชาดา  ชูจิตร</v>
      </c>
      <c r="R18" s="5">
        <v>33</v>
      </c>
      <c r="S18" s="5"/>
      <c r="T18" s="5"/>
      <c r="U18" s="5"/>
      <c r="V18" s="5"/>
      <c r="W18" s="5"/>
      <c r="X18" s="5"/>
      <c r="Y18" s="5"/>
      <c r="Z18" s="5"/>
      <c r="AA18" s="5"/>
      <c r="AB18" s="12">
        <f t="shared" si="3"/>
        <v>33</v>
      </c>
      <c r="AC18" s="5">
        <v>7</v>
      </c>
      <c r="AD18" s="11">
        <f t="shared" si="4"/>
        <v>40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48</v>
      </c>
      <c r="AH18" s="22">
        <f t="shared" si="6"/>
        <v>40</v>
      </c>
      <c r="AI18" s="22">
        <f t="shared" si="7"/>
        <v>88</v>
      </c>
      <c r="AJ18" s="22">
        <f t="shared" si="8"/>
        <v>4</v>
      </c>
      <c r="AK18" s="13"/>
      <c r="AL18" s="13"/>
      <c r="AM18" s="272" t="s">
        <v>588</v>
      </c>
      <c r="AN18" s="223"/>
      <c r="AO18" s="223"/>
      <c r="AP18" s="223"/>
      <c r="AQ18" s="223"/>
      <c r="AR18" s="223"/>
      <c r="AS18" s="223"/>
      <c r="AT18" s="223"/>
      <c r="AU18" s="116" t="s">
        <v>589</v>
      </c>
    </row>
    <row r="19" spans="1:47" ht="21" customHeight="1" x14ac:dyDescent="0.4">
      <c r="A19" s="5">
        <v>13</v>
      </c>
      <c r="B19" s="19" t="str">
        <f>'เวลาเรียน4-16'!B18</f>
        <v>เด็กหญิงปุญญิศา  อุปทุม</v>
      </c>
      <c r="C19" s="5">
        <v>40</v>
      </c>
      <c r="D19" s="5"/>
      <c r="E19" s="5"/>
      <c r="F19" s="5"/>
      <c r="G19" s="5"/>
      <c r="H19" s="5"/>
      <c r="I19" s="5"/>
      <c r="J19" s="5"/>
      <c r="K19" s="5"/>
      <c r="L19" s="5"/>
      <c r="M19" s="12">
        <f t="shared" si="0"/>
        <v>40</v>
      </c>
      <c r="N19" s="5">
        <v>7</v>
      </c>
      <c r="O19" s="11">
        <f t="shared" si="1"/>
        <v>47</v>
      </c>
      <c r="P19" s="5">
        <v>13</v>
      </c>
      <c r="Q19" s="19" t="str">
        <f t="shared" si="2"/>
        <v>เด็กหญิงปุญญิศา  อุปทุม</v>
      </c>
      <c r="R19" s="5">
        <v>33</v>
      </c>
      <c r="S19" s="5"/>
      <c r="T19" s="5"/>
      <c r="U19" s="5"/>
      <c r="V19" s="5"/>
      <c r="W19" s="5"/>
      <c r="X19" s="5"/>
      <c r="Y19" s="5"/>
      <c r="Z19" s="5"/>
      <c r="AA19" s="5"/>
      <c r="AB19" s="12">
        <f t="shared" si="3"/>
        <v>33</v>
      </c>
      <c r="AC19" s="5">
        <v>7</v>
      </c>
      <c r="AD19" s="11">
        <f t="shared" si="4"/>
        <v>40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47</v>
      </c>
      <c r="AH19" s="22">
        <f t="shared" si="6"/>
        <v>40</v>
      </c>
      <c r="AI19" s="22">
        <f t="shared" si="7"/>
        <v>87</v>
      </c>
      <c r="AJ19" s="22">
        <f t="shared" si="8"/>
        <v>4</v>
      </c>
      <c r="AK19" s="13"/>
      <c r="AL19" s="13"/>
      <c r="AM19" s="272" t="s">
        <v>590</v>
      </c>
      <c r="AN19" s="223"/>
      <c r="AO19" s="223"/>
      <c r="AP19" s="223"/>
      <c r="AQ19" s="223"/>
      <c r="AR19" s="223"/>
      <c r="AS19" s="223"/>
      <c r="AT19" s="223"/>
      <c r="AU19" s="116" t="s">
        <v>591</v>
      </c>
    </row>
    <row r="20" spans="1:47" ht="21" customHeight="1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272" t="s">
        <v>592</v>
      </c>
      <c r="AN20" s="223"/>
      <c r="AO20" s="223"/>
      <c r="AP20" s="223"/>
      <c r="AQ20" s="223"/>
      <c r="AR20" s="223"/>
      <c r="AS20" s="223"/>
      <c r="AT20" s="223"/>
      <c r="AU20" s="116" t="s">
        <v>593</v>
      </c>
    </row>
    <row r="21" spans="1:47" ht="21" customHeight="1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272" t="s">
        <v>594</v>
      </c>
      <c r="AN21" s="223"/>
      <c r="AO21" s="223"/>
      <c r="AP21" s="223"/>
      <c r="AQ21" s="223"/>
      <c r="AR21" s="223"/>
      <c r="AS21" s="223"/>
      <c r="AT21" s="223"/>
      <c r="AU21" s="116" t="s">
        <v>595</v>
      </c>
    </row>
    <row r="22" spans="1:47" ht="21" customHeight="1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272" t="s">
        <v>596</v>
      </c>
      <c r="AN22" s="223"/>
      <c r="AO22" s="223"/>
      <c r="AP22" s="223"/>
      <c r="AQ22" s="223"/>
      <c r="AR22" s="223"/>
      <c r="AS22" s="223"/>
      <c r="AT22" s="223"/>
      <c r="AU22" s="116" t="s">
        <v>597</v>
      </c>
    </row>
    <row r="23" spans="1:47" ht="21" customHeight="1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272" t="s">
        <v>598</v>
      </c>
      <c r="AN23" s="223"/>
      <c r="AO23" s="223"/>
      <c r="AP23" s="223"/>
      <c r="AQ23" s="223"/>
      <c r="AR23" s="223"/>
      <c r="AS23" s="223"/>
      <c r="AT23" s="223"/>
      <c r="AU23" s="116" t="s">
        <v>599</v>
      </c>
    </row>
    <row r="24" spans="1:47" ht="21" customHeight="1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272" t="s">
        <v>600</v>
      </c>
      <c r="AN24" s="223"/>
      <c r="AO24" s="223"/>
      <c r="AP24" s="223"/>
      <c r="AQ24" s="223"/>
      <c r="AR24" s="223"/>
      <c r="AS24" s="223"/>
      <c r="AT24" s="223"/>
      <c r="AU24" s="116" t="s">
        <v>601</v>
      </c>
    </row>
    <row r="25" spans="1:47" ht="21" customHeight="1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272" t="s">
        <v>602</v>
      </c>
      <c r="AN25" s="223"/>
      <c r="AO25" s="223"/>
      <c r="AP25" s="223"/>
      <c r="AQ25" s="223"/>
      <c r="AR25" s="223"/>
      <c r="AS25" s="223"/>
      <c r="AT25" s="223"/>
      <c r="AU25" s="116" t="s">
        <v>603</v>
      </c>
    </row>
    <row r="26" spans="1:47" ht="21" customHeight="1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272" t="s">
        <v>604</v>
      </c>
      <c r="AN26" s="223"/>
      <c r="AO26" s="223"/>
      <c r="AP26" s="223"/>
      <c r="AQ26" s="223"/>
      <c r="AR26" s="223"/>
      <c r="AS26" s="223"/>
      <c r="AT26" s="223"/>
      <c r="AU26" s="116" t="s">
        <v>605</v>
      </c>
    </row>
    <row r="27" spans="1:47" ht="21" customHeight="1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72" t="s">
        <v>606</v>
      </c>
      <c r="AN27" s="223"/>
      <c r="AO27" s="223"/>
      <c r="AP27" s="223"/>
      <c r="AQ27" s="223"/>
      <c r="AR27" s="223"/>
      <c r="AS27" s="223"/>
      <c r="AT27" s="223"/>
      <c r="AU27" s="116" t="s">
        <v>607</v>
      </c>
    </row>
    <row r="28" spans="1:47" ht="21" customHeight="1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72" t="s">
        <v>608</v>
      </c>
      <c r="AN28" s="223"/>
      <c r="AO28" s="223"/>
      <c r="AP28" s="223"/>
      <c r="AQ28" s="223"/>
      <c r="AR28" s="223"/>
      <c r="AS28" s="223"/>
      <c r="AT28" s="223"/>
      <c r="AU28" s="116" t="s">
        <v>609</v>
      </c>
    </row>
    <row r="29" spans="1:47" ht="21" customHeight="1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72" t="s">
        <v>610</v>
      </c>
      <c r="AN29" s="223"/>
      <c r="AO29" s="223"/>
      <c r="AP29" s="223"/>
      <c r="AQ29" s="223"/>
      <c r="AR29" s="223"/>
      <c r="AS29" s="223"/>
      <c r="AT29" s="223"/>
      <c r="AU29" s="116" t="s">
        <v>611</v>
      </c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272"/>
      <c r="AN30" s="223"/>
      <c r="AO30" s="223"/>
      <c r="AP30" s="223"/>
      <c r="AQ30" s="223"/>
      <c r="AR30" s="223"/>
      <c r="AS30" s="223"/>
      <c r="AT30" s="223"/>
      <c r="AU30" s="116"/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272"/>
      <c r="AN31" s="223"/>
      <c r="AO31" s="223"/>
      <c r="AP31" s="223"/>
      <c r="AQ31" s="223"/>
      <c r="AR31" s="223"/>
      <c r="AS31" s="223"/>
      <c r="AT31" s="223"/>
      <c r="AU31" s="116"/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114"/>
      <c r="AU32" s="116"/>
    </row>
    <row r="33" spans="1:47" ht="24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114"/>
      <c r="AU33" s="115"/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114"/>
      <c r="AU34" s="115"/>
    </row>
    <row r="35" spans="1:47" ht="25" thickBot="1" x14ac:dyDescent="0.45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117"/>
      <c r="AN35" s="113"/>
      <c r="AO35" s="113"/>
      <c r="AP35" s="113"/>
      <c r="AQ35" s="113"/>
      <c r="AR35" s="113"/>
      <c r="AS35" s="113"/>
      <c r="AT35" s="113"/>
      <c r="AU35" s="118"/>
    </row>
    <row r="48" spans="1:47" ht="14.25" customHeight="1" x14ac:dyDescent="0.35"/>
    <row r="49" ht="14.25" customHeight="1" x14ac:dyDescent="0.35"/>
    <row r="50" ht="14.25" customHeight="1" x14ac:dyDescent="0.35"/>
  </sheetData>
  <mergeCells count="52">
    <mergeCell ref="R4:AB4"/>
    <mergeCell ref="AC4:AC5"/>
    <mergeCell ref="AD4:AD5"/>
    <mergeCell ref="AE4:AE6"/>
    <mergeCell ref="A4:A6"/>
    <mergeCell ref="C4:M4"/>
    <mergeCell ref="N4:N5"/>
    <mergeCell ref="O4:O5"/>
    <mergeCell ref="P4:P6"/>
    <mergeCell ref="AM2:AU2"/>
    <mergeCell ref="A3:O3"/>
    <mergeCell ref="P3:AD3"/>
    <mergeCell ref="AE3:AL3"/>
    <mergeCell ref="AM3:AU3"/>
    <mergeCell ref="A2:O2"/>
    <mergeCell ref="P2:AD2"/>
    <mergeCell ref="AE2:AL2"/>
    <mergeCell ref="AF4:AF5"/>
    <mergeCell ref="AG4:AG5"/>
    <mergeCell ref="AH4:AH5"/>
    <mergeCell ref="AM19:AT19"/>
    <mergeCell ref="AI4:AI5"/>
    <mergeCell ref="AJ4:AJ6"/>
    <mergeCell ref="AK4:AK6"/>
    <mergeCell ref="AL4:AL6"/>
    <mergeCell ref="AM4:AT4"/>
    <mergeCell ref="AM20:AT20"/>
    <mergeCell ref="AM21:AT21"/>
    <mergeCell ref="AM5:AT5"/>
    <mergeCell ref="AM6:AT6"/>
    <mergeCell ref="AM7:AT7"/>
    <mergeCell ref="AM9:AT9"/>
    <mergeCell ref="AM10:AT10"/>
    <mergeCell ref="AM11:AT11"/>
    <mergeCell ref="AM12:AT12"/>
    <mergeCell ref="AM13:AT13"/>
    <mergeCell ref="AM14:AT14"/>
    <mergeCell ref="AM15:AT15"/>
    <mergeCell ref="AM16:AT16"/>
    <mergeCell ref="AM17:AT17"/>
    <mergeCell ref="AM18:AT18"/>
    <mergeCell ref="AM8:AT8"/>
    <mergeCell ref="AM22:AT22"/>
    <mergeCell ref="AM23:AT23"/>
    <mergeCell ref="AM24:AT24"/>
    <mergeCell ref="AM25:AT25"/>
    <mergeCell ref="AM26:AT26"/>
    <mergeCell ref="AM30:AT30"/>
    <mergeCell ref="AM31:AT31"/>
    <mergeCell ref="AM27:AT27"/>
    <mergeCell ref="AM28:AT28"/>
    <mergeCell ref="AM29:AT29"/>
  </mergeCells>
  <pageMargins left="0.85416666666666663" right="0.17708333333333334" top="0.41666666666666669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U50"/>
  <sheetViews>
    <sheetView view="pageLayout" topLeftCell="Q2" zoomScale="124" zoomScaleNormal="100" zoomScalePageLayoutView="124" workbookViewId="0">
      <selection activeCell="AC20" sqref="AC20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45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46</v>
      </c>
      <c r="AL1" s="1">
        <v>47</v>
      </c>
      <c r="AU1" s="1">
        <v>48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315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318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การงานอาชีพ  (ง16101)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การงานอาชีพ  (ง16101)</v>
      </c>
      <c r="AF3" s="246"/>
      <c r="AG3" s="246"/>
      <c r="AH3" s="246"/>
      <c r="AI3" s="246"/>
      <c r="AJ3" s="246"/>
      <c r="AK3" s="246"/>
      <c r="AL3" s="246"/>
      <c r="AM3" s="273" t="s">
        <v>612</v>
      </c>
      <c r="AN3" s="274"/>
      <c r="AO3" s="274"/>
      <c r="AP3" s="274"/>
      <c r="AQ3" s="274"/>
      <c r="AR3" s="274"/>
      <c r="AS3" s="274"/>
      <c r="AT3" s="274"/>
      <c r="AU3" s="275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266"/>
      <c r="AN4" s="267"/>
      <c r="AO4" s="267"/>
      <c r="AP4" s="267"/>
      <c r="AQ4" s="267"/>
      <c r="AR4" s="267"/>
      <c r="AS4" s="267"/>
      <c r="AT4" s="267"/>
      <c r="AU4" s="268"/>
    </row>
    <row r="5" spans="1:47" s="24" customFormat="1" ht="14.25" customHeight="1" x14ac:dyDescent="0.35">
      <c r="A5" s="236"/>
      <c r="B5" s="25" t="s">
        <v>247</v>
      </c>
      <c r="C5" s="112" t="s">
        <v>225</v>
      </c>
      <c r="D5" s="112"/>
      <c r="E5" s="112"/>
      <c r="F5" s="112"/>
      <c r="G5" s="112"/>
      <c r="H5" s="112"/>
      <c r="I5" s="112"/>
      <c r="J5" s="112"/>
      <c r="K5" s="112"/>
      <c r="L5" s="112"/>
      <c r="M5" s="17" t="s">
        <v>17</v>
      </c>
      <c r="N5" s="237"/>
      <c r="O5" s="237"/>
      <c r="P5" s="236"/>
      <c r="Q5" s="25" t="s">
        <v>247</v>
      </c>
      <c r="R5" s="112" t="s">
        <v>225</v>
      </c>
      <c r="S5" s="112"/>
      <c r="T5" s="112"/>
      <c r="U5" s="112"/>
      <c r="V5" s="112"/>
      <c r="W5" s="112"/>
      <c r="X5" s="112"/>
      <c r="Y5" s="112"/>
      <c r="Z5" s="112"/>
      <c r="AA5" s="112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264" t="s">
        <v>613</v>
      </c>
      <c r="AN5" s="265"/>
      <c r="AO5" s="265"/>
      <c r="AP5" s="265"/>
      <c r="AQ5" s="265"/>
      <c r="AR5" s="265"/>
      <c r="AS5" s="265"/>
      <c r="AT5" s="265"/>
      <c r="AU5" s="116" t="s">
        <v>614</v>
      </c>
    </row>
    <row r="6" spans="1:47" ht="18.75" customHeight="1" x14ac:dyDescent="0.35">
      <c r="A6" s="237"/>
      <c r="B6" s="14" t="s">
        <v>16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7">
        <v>0</v>
      </c>
      <c r="N6" s="16">
        <v>50</v>
      </c>
      <c r="O6" s="18">
        <f>SUM(M6:N6)</f>
        <v>50</v>
      </c>
      <c r="P6" s="237"/>
      <c r="Q6" s="14" t="s">
        <v>16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7">
        <f>SUM(R6:AA6)</f>
        <v>0</v>
      </c>
      <c r="AC6" s="15">
        <v>50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264" t="s">
        <v>615</v>
      </c>
      <c r="AN6" s="265"/>
      <c r="AO6" s="265"/>
      <c r="AP6" s="265"/>
      <c r="AQ6" s="265"/>
      <c r="AR6" s="265"/>
      <c r="AS6" s="265"/>
      <c r="AT6" s="265"/>
      <c r="AU6" s="116" t="s">
        <v>616</v>
      </c>
    </row>
    <row r="7" spans="1:47" ht="21" customHeight="1" x14ac:dyDescent="0.4">
      <c r="A7" s="5">
        <v>1</v>
      </c>
      <c r="B7" s="19" t="str">
        <f>'เวลาเรียน4-16'!B6</f>
        <v>เด็กชายกฤษดา  บัวศรี</v>
      </c>
      <c r="C7" s="5"/>
      <c r="D7" s="5"/>
      <c r="E7" s="5"/>
      <c r="F7" s="5"/>
      <c r="G7" s="5"/>
      <c r="H7" s="5"/>
      <c r="I7" s="5"/>
      <c r="J7" s="5"/>
      <c r="K7" s="5"/>
      <c r="L7" s="5"/>
      <c r="M7" s="12">
        <f t="shared" ref="M7:M19" si="0">SUM(C7:L7)</f>
        <v>0</v>
      </c>
      <c r="N7" s="5">
        <v>47</v>
      </c>
      <c r="O7" s="11">
        <f t="shared" ref="O7:O19" si="1">SUM(M7:N7)</f>
        <v>47</v>
      </c>
      <c r="P7" s="5">
        <v>1</v>
      </c>
      <c r="Q7" s="19" t="str">
        <f t="shared" ref="Q7:Q19" si="2">B7</f>
        <v>เด็กชายกฤษดา  บัวศรี</v>
      </c>
      <c r="R7" s="5"/>
      <c r="S7" s="5"/>
      <c r="T7" s="5"/>
      <c r="U7" s="5"/>
      <c r="V7" s="5"/>
      <c r="W7" s="5"/>
      <c r="X7" s="5"/>
      <c r="Y7" s="5"/>
      <c r="Z7" s="5"/>
      <c r="AA7" s="5"/>
      <c r="AB7" s="12">
        <f t="shared" ref="AB7:AB19" si="3">SUM(R7:AA7)</f>
        <v>0</v>
      </c>
      <c r="AC7" s="5">
        <v>47</v>
      </c>
      <c r="AD7" s="11">
        <f t="shared" ref="AD7:AD19" si="4">SUM(AB7:AC7)</f>
        <v>47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47</v>
      </c>
      <c r="AH7" s="22">
        <f t="shared" ref="AH7:AH19" si="6">AD7</f>
        <v>47</v>
      </c>
      <c r="AI7" s="22">
        <f>SUM(AG7:AH7)</f>
        <v>94</v>
      </c>
      <c r="AJ7" s="22">
        <f>IF(AI7&gt;79,4,IF(AI7&gt;74,3.5,IF(AI7&gt;69,3,IF(AI7&gt;64,2.5,IF(AI7&gt;59,2,IF(AI7&gt;54,1.5,IF(AI7&gt;49,1,IF(AI7&lt;50,0))))))))</f>
        <v>4</v>
      </c>
      <c r="AK7" s="13"/>
      <c r="AL7" s="13"/>
      <c r="AM7" s="264" t="s">
        <v>617</v>
      </c>
      <c r="AN7" s="265"/>
      <c r="AO7" s="265"/>
      <c r="AP7" s="265"/>
      <c r="AQ7" s="265"/>
      <c r="AR7" s="265"/>
      <c r="AS7" s="265"/>
      <c r="AT7" s="265"/>
      <c r="AU7" s="116" t="s">
        <v>618</v>
      </c>
    </row>
    <row r="8" spans="1:47" ht="24" x14ac:dyDescent="0.4">
      <c r="A8" s="5">
        <v>2</v>
      </c>
      <c r="B8" s="19" t="str">
        <f>'เวลาเรียน4-16'!B7</f>
        <v>เด็กชายจิรายุ  ดอบุตร</v>
      </c>
      <c r="C8" s="5"/>
      <c r="D8" s="5"/>
      <c r="E8" s="5"/>
      <c r="F8" s="5"/>
      <c r="G8" s="5"/>
      <c r="H8" s="5"/>
      <c r="I8" s="5"/>
      <c r="J8" s="5"/>
      <c r="K8" s="5"/>
      <c r="L8" s="5"/>
      <c r="M8" s="12">
        <f t="shared" si="0"/>
        <v>0</v>
      </c>
      <c r="N8" s="5">
        <v>47</v>
      </c>
      <c r="O8" s="11">
        <f t="shared" si="1"/>
        <v>47</v>
      </c>
      <c r="P8" s="5">
        <v>2</v>
      </c>
      <c r="Q8" s="19" t="str">
        <f t="shared" si="2"/>
        <v>เด็กชายจิรายุ  ดอบุตร</v>
      </c>
      <c r="R8" s="5"/>
      <c r="S8" s="5"/>
      <c r="T8" s="5"/>
      <c r="U8" s="5"/>
      <c r="V8" s="5"/>
      <c r="W8" s="5"/>
      <c r="X8" s="5"/>
      <c r="Y8" s="5"/>
      <c r="Z8" s="5"/>
      <c r="AA8" s="5"/>
      <c r="AB8" s="12">
        <f t="shared" si="3"/>
        <v>0</v>
      </c>
      <c r="AC8" s="5">
        <v>43</v>
      </c>
      <c r="AD8" s="11">
        <f t="shared" si="4"/>
        <v>43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47</v>
      </c>
      <c r="AH8" s="22">
        <f t="shared" si="6"/>
        <v>43</v>
      </c>
      <c r="AI8" s="22">
        <f t="shared" ref="AI8:AI19" si="7">SUM(AG8:AH8)</f>
        <v>90</v>
      </c>
      <c r="AJ8" s="22">
        <f t="shared" ref="AJ8:AJ19" si="8">IF(AI8&gt;79,4,IF(AI8&gt;74,3.5,IF(AI8&gt;69,3,IF(AI8&gt;64,2.5,IF(AI8&gt;59,2,IF(AI8&gt;54,1.5,IF(AI8&gt;49,1,IF(AI8&lt;50,0))))))))</f>
        <v>4</v>
      </c>
      <c r="AK8" s="13"/>
      <c r="AL8" s="13"/>
      <c r="AM8" s="264" t="s">
        <v>619</v>
      </c>
      <c r="AN8" s="265"/>
      <c r="AO8" s="265"/>
      <c r="AP8" s="265"/>
      <c r="AQ8" s="265"/>
      <c r="AR8" s="265"/>
      <c r="AS8" s="265"/>
      <c r="AT8" s="265"/>
      <c r="AU8" s="116" t="s">
        <v>620</v>
      </c>
    </row>
    <row r="9" spans="1:47" ht="24" x14ac:dyDescent="0.4">
      <c r="A9" s="5">
        <v>3</v>
      </c>
      <c r="B9" s="19" t="str">
        <f>'เวลาเรียน4-16'!B8</f>
        <v>เด็กชายจิรายุ  เนตรสว่าง</v>
      </c>
      <c r="C9" s="5"/>
      <c r="D9" s="5"/>
      <c r="E9" s="5"/>
      <c r="F9" s="5"/>
      <c r="G9" s="5"/>
      <c r="H9" s="5"/>
      <c r="I9" s="5"/>
      <c r="J9" s="5"/>
      <c r="K9" s="5"/>
      <c r="L9" s="5"/>
      <c r="M9" s="12">
        <f t="shared" si="0"/>
        <v>0</v>
      </c>
      <c r="N9" s="5">
        <v>46</v>
      </c>
      <c r="O9" s="11">
        <f t="shared" si="1"/>
        <v>46</v>
      </c>
      <c r="P9" s="5">
        <v>3</v>
      </c>
      <c r="Q9" s="19" t="str">
        <f t="shared" si="2"/>
        <v>เด็กชายจิรายุ  เนตรสว่าง</v>
      </c>
      <c r="R9" s="5"/>
      <c r="S9" s="5"/>
      <c r="T9" s="5"/>
      <c r="U9" s="5"/>
      <c r="V9" s="5"/>
      <c r="W9" s="5"/>
      <c r="X9" s="5"/>
      <c r="Y9" s="5"/>
      <c r="Z9" s="5"/>
      <c r="AA9" s="5"/>
      <c r="AB9" s="12">
        <f t="shared" si="3"/>
        <v>0</v>
      </c>
      <c r="AC9" s="5">
        <v>44</v>
      </c>
      <c r="AD9" s="11">
        <f t="shared" si="4"/>
        <v>44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46</v>
      </c>
      <c r="AH9" s="22">
        <f t="shared" si="6"/>
        <v>44</v>
      </c>
      <c r="AI9" s="22">
        <f t="shared" si="7"/>
        <v>90</v>
      </c>
      <c r="AJ9" s="22">
        <f t="shared" si="8"/>
        <v>4</v>
      </c>
      <c r="AK9" s="13"/>
      <c r="AL9" s="13"/>
      <c r="AM9" s="264" t="s">
        <v>621</v>
      </c>
      <c r="AN9" s="265"/>
      <c r="AO9" s="265"/>
      <c r="AP9" s="265"/>
      <c r="AQ9" s="265"/>
      <c r="AR9" s="265"/>
      <c r="AS9" s="265"/>
      <c r="AT9" s="265"/>
      <c r="AU9" s="116" t="s">
        <v>622</v>
      </c>
    </row>
    <row r="10" spans="1:47" ht="24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12">
        <f t="shared" si="0"/>
        <v>0</v>
      </c>
      <c r="N10" s="5">
        <v>40</v>
      </c>
      <c r="O10" s="11">
        <f t="shared" si="1"/>
        <v>40</v>
      </c>
      <c r="P10" s="5">
        <v>4</v>
      </c>
      <c r="Q10" s="19" t="str">
        <f t="shared" si="2"/>
        <v>เด็กชายจีรภัทร  คันธมาตย์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12">
        <f t="shared" si="3"/>
        <v>0</v>
      </c>
      <c r="AC10" s="5">
        <v>41</v>
      </c>
      <c r="AD10" s="11">
        <f t="shared" si="4"/>
        <v>41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40</v>
      </c>
      <c r="AH10" s="22">
        <f t="shared" si="6"/>
        <v>41</v>
      </c>
      <c r="AI10" s="22">
        <f t="shared" si="7"/>
        <v>81</v>
      </c>
      <c r="AJ10" s="22">
        <f t="shared" si="8"/>
        <v>4</v>
      </c>
      <c r="AK10" s="13"/>
      <c r="AL10" s="13"/>
      <c r="AM10" s="266"/>
      <c r="AN10" s="267"/>
      <c r="AO10" s="267"/>
      <c r="AP10" s="267"/>
      <c r="AQ10" s="267"/>
      <c r="AR10" s="267"/>
      <c r="AS10" s="267"/>
      <c r="AT10" s="267"/>
      <c r="AU10" s="268"/>
    </row>
    <row r="11" spans="1:47" ht="24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12">
        <f t="shared" si="0"/>
        <v>0</v>
      </c>
      <c r="N11" s="5">
        <v>44</v>
      </c>
      <c r="O11" s="11">
        <f t="shared" si="1"/>
        <v>44</v>
      </c>
      <c r="P11" s="5">
        <v>5</v>
      </c>
      <c r="Q11" s="19" t="str">
        <f t="shared" si="2"/>
        <v>เด็กชายปรวัฒน์  โพธิ์ศรี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12">
        <f t="shared" si="3"/>
        <v>0</v>
      </c>
      <c r="AC11" s="5">
        <v>42</v>
      </c>
      <c r="AD11" s="11">
        <f t="shared" si="4"/>
        <v>42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44</v>
      </c>
      <c r="AH11" s="22">
        <f t="shared" si="6"/>
        <v>42</v>
      </c>
      <c r="AI11" s="22">
        <f t="shared" si="7"/>
        <v>86</v>
      </c>
      <c r="AJ11" s="22">
        <f t="shared" si="8"/>
        <v>4</v>
      </c>
      <c r="AK11" s="13"/>
      <c r="AL11" s="13"/>
      <c r="AM11" s="266"/>
      <c r="AN11" s="267"/>
      <c r="AO11" s="267"/>
      <c r="AP11" s="267"/>
      <c r="AQ11" s="267"/>
      <c r="AR11" s="267"/>
      <c r="AS11" s="267"/>
      <c r="AT11" s="267"/>
      <c r="AU11" s="268"/>
    </row>
    <row r="12" spans="1:47" ht="24" x14ac:dyDescent="0.4">
      <c r="A12" s="5">
        <v>6</v>
      </c>
      <c r="B12" s="19" t="str">
        <f>'เวลาเรียน4-16'!B11</f>
        <v>เด็กชายพีรภาพ  วงคำใหญ่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12">
        <f t="shared" si="0"/>
        <v>0</v>
      </c>
      <c r="N12" s="5">
        <v>47</v>
      </c>
      <c r="O12" s="11">
        <f t="shared" si="1"/>
        <v>47</v>
      </c>
      <c r="P12" s="5">
        <v>6</v>
      </c>
      <c r="Q12" s="19" t="str">
        <f t="shared" si="2"/>
        <v>เด็กชายพีรภาพ  วงคำใหญ่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12">
        <f t="shared" si="3"/>
        <v>0</v>
      </c>
      <c r="AC12" s="5">
        <v>44</v>
      </c>
      <c r="AD12" s="11">
        <f t="shared" si="4"/>
        <v>44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47</v>
      </c>
      <c r="AH12" s="22">
        <f t="shared" si="6"/>
        <v>44</v>
      </c>
      <c r="AI12" s="22">
        <f t="shared" si="7"/>
        <v>91</v>
      </c>
      <c r="AJ12" s="22">
        <f t="shared" si="8"/>
        <v>4</v>
      </c>
      <c r="AK12" s="13"/>
      <c r="AL12" s="13"/>
      <c r="AM12" s="266"/>
      <c r="AN12" s="267"/>
      <c r="AO12" s="267"/>
      <c r="AP12" s="267"/>
      <c r="AQ12" s="267"/>
      <c r="AR12" s="267"/>
      <c r="AS12" s="267"/>
      <c r="AT12" s="267"/>
      <c r="AU12" s="268"/>
    </row>
    <row r="13" spans="1:47" ht="24" x14ac:dyDescent="0.4">
      <c r="A13" s="5">
        <v>7</v>
      </c>
      <c r="B13" s="19" t="str">
        <f>'เวลาเรียน4-16'!B12</f>
        <v>เด็กหญิงกมลรัตน์  แสดคง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12">
        <f t="shared" si="0"/>
        <v>0</v>
      </c>
      <c r="N13" s="5">
        <v>45</v>
      </c>
      <c r="O13" s="11">
        <f t="shared" si="1"/>
        <v>45</v>
      </c>
      <c r="P13" s="5">
        <v>7</v>
      </c>
      <c r="Q13" s="19" t="str">
        <f t="shared" si="2"/>
        <v>เด็กหญิงกมลรัตน์  แสดคง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12">
        <f t="shared" si="3"/>
        <v>0</v>
      </c>
      <c r="AC13" s="5">
        <v>44</v>
      </c>
      <c r="AD13" s="11">
        <f t="shared" si="4"/>
        <v>44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45</v>
      </c>
      <c r="AH13" s="22">
        <f t="shared" si="6"/>
        <v>44</v>
      </c>
      <c r="AI13" s="22">
        <f t="shared" si="7"/>
        <v>89</v>
      </c>
      <c r="AJ13" s="22">
        <f t="shared" si="8"/>
        <v>4</v>
      </c>
      <c r="AK13" s="13"/>
      <c r="AL13" s="13"/>
      <c r="AM13" s="266"/>
      <c r="AN13" s="267"/>
      <c r="AO13" s="267"/>
      <c r="AP13" s="267"/>
      <c r="AQ13" s="267"/>
      <c r="AR13" s="267"/>
      <c r="AS13" s="267"/>
      <c r="AT13" s="267"/>
      <c r="AU13" s="268"/>
    </row>
    <row r="14" spans="1:47" ht="24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12">
        <f t="shared" si="0"/>
        <v>0</v>
      </c>
      <c r="N14" s="5">
        <v>46</v>
      </c>
      <c r="O14" s="11">
        <f t="shared" si="1"/>
        <v>46</v>
      </c>
      <c r="P14" s="5">
        <v>8</v>
      </c>
      <c r="Q14" s="19" t="str">
        <f t="shared" si="2"/>
        <v>เด็กหญิงกัลยรัตน์  ทึงสุข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12">
        <f t="shared" si="3"/>
        <v>0</v>
      </c>
      <c r="AC14" s="5">
        <v>46</v>
      </c>
      <c r="AD14" s="11">
        <f t="shared" si="4"/>
        <v>46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46</v>
      </c>
      <c r="AH14" s="22">
        <f t="shared" si="6"/>
        <v>46</v>
      </c>
      <c r="AI14" s="22">
        <f t="shared" si="7"/>
        <v>92</v>
      </c>
      <c r="AJ14" s="22">
        <f t="shared" si="8"/>
        <v>4</v>
      </c>
      <c r="AK14" s="13"/>
      <c r="AL14" s="13"/>
      <c r="AM14" s="266"/>
      <c r="AN14" s="267"/>
      <c r="AO14" s="267"/>
      <c r="AP14" s="267"/>
      <c r="AQ14" s="267"/>
      <c r="AR14" s="267"/>
      <c r="AS14" s="267"/>
      <c r="AT14" s="267"/>
      <c r="AU14" s="268"/>
    </row>
    <row r="15" spans="1:47" ht="24" x14ac:dyDescent="0.4">
      <c r="A15" s="5">
        <v>9</v>
      </c>
      <c r="B15" s="19" t="str">
        <f>'เวลาเรียน4-16'!B14</f>
        <v>เด็กหญิงนิตยา  พละโท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12">
        <f t="shared" si="0"/>
        <v>0</v>
      </c>
      <c r="N15" s="5">
        <v>46</v>
      </c>
      <c r="O15" s="11">
        <f t="shared" si="1"/>
        <v>46</v>
      </c>
      <c r="P15" s="5">
        <v>9</v>
      </c>
      <c r="Q15" s="19" t="str">
        <f t="shared" si="2"/>
        <v>เด็กหญิงนิตยา  พละโท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12">
        <f t="shared" si="3"/>
        <v>0</v>
      </c>
      <c r="AC15" s="5">
        <v>49</v>
      </c>
      <c r="AD15" s="11">
        <f t="shared" si="4"/>
        <v>49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46</v>
      </c>
      <c r="AH15" s="22">
        <f t="shared" si="6"/>
        <v>49</v>
      </c>
      <c r="AI15" s="22">
        <f t="shared" si="7"/>
        <v>95</v>
      </c>
      <c r="AJ15" s="22">
        <f t="shared" si="8"/>
        <v>4</v>
      </c>
      <c r="AK15" s="13"/>
      <c r="AL15" s="13"/>
      <c r="AM15" s="266"/>
      <c r="AN15" s="267"/>
      <c r="AO15" s="267"/>
      <c r="AP15" s="267"/>
      <c r="AQ15" s="267"/>
      <c r="AR15" s="267"/>
      <c r="AS15" s="267"/>
      <c r="AT15" s="267"/>
      <c r="AU15" s="268"/>
    </row>
    <row r="16" spans="1:47" ht="24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12">
        <f t="shared" si="0"/>
        <v>0</v>
      </c>
      <c r="N16" s="5">
        <v>42</v>
      </c>
      <c r="O16" s="11">
        <f t="shared" si="1"/>
        <v>42</v>
      </c>
      <c r="P16" s="5">
        <v>10</v>
      </c>
      <c r="Q16" s="19" t="str">
        <f t="shared" si="2"/>
        <v>เด็กหญิงบัณฑิตา  เบ้าพงษ์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12">
        <f t="shared" si="3"/>
        <v>0</v>
      </c>
      <c r="AC16" s="5">
        <v>43</v>
      </c>
      <c r="AD16" s="11">
        <f t="shared" si="4"/>
        <v>43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42</v>
      </c>
      <c r="AH16" s="22">
        <f t="shared" si="6"/>
        <v>43</v>
      </c>
      <c r="AI16" s="22">
        <f t="shared" si="7"/>
        <v>85</v>
      </c>
      <c r="AJ16" s="22">
        <f t="shared" si="8"/>
        <v>4</v>
      </c>
      <c r="AK16" s="13"/>
      <c r="AL16" s="13"/>
      <c r="AM16" s="266"/>
      <c r="AN16" s="267"/>
      <c r="AO16" s="267"/>
      <c r="AP16" s="267"/>
      <c r="AQ16" s="267"/>
      <c r="AR16" s="267"/>
      <c r="AS16" s="267"/>
      <c r="AT16" s="267"/>
      <c r="AU16" s="268"/>
    </row>
    <row r="17" spans="1:47" ht="24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12">
        <f t="shared" si="0"/>
        <v>0</v>
      </c>
      <c r="N17" s="5">
        <v>46</v>
      </c>
      <c r="O17" s="11">
        <f t="shared" si="1"/>
        <v>46</v>
      </c>
      <c r="P17" s="5">
        <v>11</v>
      </c>
      <c r="Q17" s="19" t="str">
        <f t="shared" si="2"/>
        <v>เด็กหญิงพัชรกัญญ์  บาลนาคม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12">
        <f t="shared" si="3"/>
        <v>0</v>
      </c>
      <c r="AC17" s="5">
        <v>48</v>
      </c>
      <c r="AD17" s="11">
        <f t="shared" si="4"/>
        <v>48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46</v>
      </c>
      <c r="AH17" s="22">
        <f t="shared" si="6"/>
        <v>48</v>
      </c>
      <c r="AI17" s="22">
        <f t="shared" si="7"/>
        <v>94</v>
      </c>
      <c r="AJ17" s="22">
        <f t="shared" si="8"/>
        <v>4</v>
      </c>
      <c r="AK17" s="13"/>
      <c r="AL17" s="13"/>
      <c r="AM17" s="266"/>
      <c r="AN17" s="267"/>
      <c r="AO17" s="267"/>
      <c r="AP17" s="267"/>
      <c r="AQ17" s="267"/>
      <c r="AR17" s="267"/>
      <c r="AS17" s="267"/>
      <c r="AT17" s="267"/>
      <c r="AU17" s="268"/>
    </row>
    <row r="18" spans="1:47" ht="24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12">
        <f t="shared" si="0"/>
        <v>0</v>
      </c>
      <c r="N18" s="5">
        <v>41</v>
      </c>
      <c r="O18" s="11">
        <f t="shared" si="1"/>
        <v>41</v>
      </c>
      <c r="P18" s="5">
        <v>12</v>
      </c>
      <c r="Q18" s="19" t="str">
        <f t="shared" si="2"/>
        <v>เด็กหญิงสุวิชาดา  ชูจิตร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12">
        <f t="shared" si="3"/>
        <v>0</v>
      </c>
      <c r="AC18" s="5">
        <v>43</v>
      </c>
      <c r="AD18" s="11">
        <f t="shared" si="4"/>
        <v>43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41</v>
      </c>
      <c r="AH18" s="22">
        <f t="shared" si="6"/>
        <v>43</v>
      </c>
      <c r="AI18" s="22">
        <f t="shared" si="7"/>
        <v>84</v>
      </c>
      <c r="AJ18" s="22">
        <f t="shared" si="8"/>
        <v>4</v>
      </c>
      <c r="AK18" s="13"/>
      <c r="AL18" s="13"/>
      <c r="AM18" s="266"/>
      <c r="AN18" s="267"/>
      <c r="AO18" s="267"/>
      <c r="AP18" s="267"/>
      <c r="AQ18" s="267"/>
      <c r="AR18" s="267"/>
      <c r="AS18" s="267"/>
      <c r="AT18" s="267"/>
      <c r="AU18" s="268"/>
    </row>
    <row r="19" spans="1:47" ht="24" x14ac:dyDescent="0.4">
      <c r="A19" s="5">
        <v>13</v>
      </c>
      <c r="B19" s="19" t="str">
        <f>'เวลาเรียน4-16'!B18</f>
        <v>เด็กหญิงปุญญิศา  อุปทุม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12">
        <f t="shared" si="0"/>
        <v>0</v>
      </c>
      <c r="N19" s="5">
        <v>46</v>
      </c>
      <c r="O19" s="11">
        <f t="shared" si="1"/>
        <v>46</v>
      </c>
      <c r="P19" s="5">
        <v>13</v>
      </c>
      <c r="Q19" s="19" t="str">
        <f t="shared" si="2"/>
        <v>เด็กหญิงปุญญิศา  อุปทุม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12">
        <f t="shared" si="3"/>
        <v>0</v>
      </c>
      <c r="AC19" s="5">
        <v>44</v>
      </c>
      <c r="AD19" s="11">
        <f t="shared" si="4"/>
        <v>44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46</v>
      </c>
      <c r="AH19" s="22">
        <f t="shared" si="6"/>
        <v>44</v>
      </c>
      <c r="AI19" s="22">
        <f t="shared" si="7"/>
        <v>90</v>
      </c>
      <c r="AJ19" s="22">
        <f t="shared" si="8"/>
        <v>4</v>
      </c>
      <c r="AK19" s="13"/>
      <c r="AL19" s="13"/>
      <c r="AM19" s="266"/>
      <c r="AN19" s="267"/>
      <c r="AO19" s="267"/>
      <c r="AP19" s="267"/>
      <c r="AQ19" s="267"/>
      <c r="AR19" s="267"/>
      <c r="AS19" s="267"/>
      <c r="AT19" s="267"/>
      <c r="AU19" s="268"/>
    </row>
    <row r="20" spans="1:47" ht="24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266"/>
      <c r="AN20" s="267"/>
      <c r="AO20" s="267"/>
      <c r="AP20" s="267"/>
      <c r="AQ20" s="267"/>
      <c r="AR20" s="267"/>
      <c r="AS20" s="267"/>
      <c r="AT20" s="267"/>
      <c r="AU20" s="268"/>
    </row>
    <row r="21" spans="1:47" ht="24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266"/>
      <c r="AN21" s="267"/>
      <c r="AO21" s="267"/>
      <c r="AP21" s="267"/>
      <c r="AQ21" s="267"/>
      <c r="AR21" s="267"/>
      <c r="AS21" s="267"/>
      <c r="AT21" s="267"/>
      <c r="AU21" s="268"/>
    </row>
    <row r="22" spans="1:47" ht="24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266"/>
      <c r="AN22" s="267"/>
      <c r="AO22" s="267"/>
      <c r="AP22" s="267"/>
      <c r="AQ22" s="267"/>
      <c r="AR22" s="267"/>
      <c r="AS22" s="267"/>
      <c r="AT22" s="267"/>
      <c r="AU22" s="268"/>
    </row>
    <row r="23" spans="1:47" ht="24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266"/>
      <c r="AN23" s="267"/>
      <c r="AO23" s="267"/>
      <c r="AP23" s="267"/>
      <c r="AQ23" s="267"/>
      <c r="AR23" s="267"/>
      <c r="AS23" s="267"/>
      <c r="AT23" s="267"/>
      <c r="AU23" s="268"/>
    </row>
    <row r="24" spans="1:47" ht="24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266"/>
      <c r="AN24" s="267"/>
      <c r="AO24" s="267"/>
      <c r="AP24" s="267"/>
      <c r="AQ24" s="267"/>
      <c r="AR24" s="267"/>
      <c r="AS24" s="267"/>
      <c r="AT24" s="267"/>
      <c r="AU24" s="268"/>
    </row>
    <row r="25" spans="1:47" ht="24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266"/>
      <c r="AN25" s="267"/>
      <c r="AO25" s="267"/>
      <c r="AP25" s="267"/>
      <c r="AQ25" s="267"/>
      <c r="AR25" s="267"/>
      <c r="AS25" s="267"/>
      <c r="AT25" s="267"/>
      <c r="AU25" s="268"/>
    </row>
    <row r="26" spans="1:47" ht="24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266"/>
      <c r="AN26" s="267"/>
      <c r="AO26" s="267"/>
      <c r="AP26" s="267"/>
      <c r="AQ26" s="267"/>
      <c r="AR26" s="267"/>
      <c r="AS26" s="267"/>
      <c r="AT26" s="267"/>
      <c r="AU26" s="268"/>
    </row>
    <row r="27" spans="1:47" ht="24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66"/>
      <c r="AN27" s="267"/>
      <c r="AO27" s="267"/>
      <c r="AP27" s="267"/>
      <c r="AQ27" s="267"/>
      <c r="AR27" s="267"/>
      <c r="AS27" s="267"/>
      <c r="AT27" s="267"/>
      <c r="AU27" s="268"/>
    </row>
    <row r="28" spans="1:47" ht="24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66"/>
      <c r="AN28" s="267"/>
      <c r="AO28" s="267"/>
      <c r="AP28" s="267"/>
      <c r="AQ28" s="267"/>
      <c r="AR28" s="267"/>
      <c r="AS28" s="267"/>
      <c r="AT28" s="267"/>
      <c r="AU28" s="268"/>
    </row>
    <row r="29" spans="1:47" ht="24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66"/>
      <c r="AN29" s="267"/>
      <c r="AO29" s="267"/>
      <c r="AP29" s="267"/>
      <c r="AQ29" s="267"/>
      <c r="AR29" s="267"/>
      <c r="AS29" s="267"/>
      <c r="AT29" s="267"/>
      <c r="AU29" s="268"/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266"/>
      <c r="AN30" s="267"/>
      <c r="AO30" s="267"/>
      <c r="AP30" s="267"/>
      <c r="AQ30" s="267"/>
      <c r="AR30" s="267"/>
      <c r="AS30" s="267"/>
      <c r="AT30" s="267"/>
      <c r="AU30" s="268"/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266"/>
      <c r="AN31" s="267"/>
      <c r="AO31" s="267"/>
      <c r="AP31" s="267"/>
      <c r="AQ31" s="267"/>
      <c r="AR31" s="267"/>
      <c r="AS31" s="267"/>
      <c r="AT31" s="267"/>
      <c r="AU31" s="268"/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266"/>
      <c r="AN32" s="267"/>
      <c r="AO32" s="267"/>
      <c r="AP32" s="267"/>
      <c r="AQ32" s="267"/>
      <c r="AR32" s="267"/>
      <c r="AS32" s="267"/>
      <c r="AT32" s="267"/>
      <c r="AU32" s="268"/>
    </row>
    <row r="33" spans="1:47" ht="24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266"/>
      <c r="AN33" s="267"/>
      <c r="AO33" s="267"/>
      <c r="AP33" s="267"/>
      <c r="AQ33" s="267"/>
      <c r="AR33" s="267"/>
      <c r="AS33" s="267"/>
      <c r="AT33" s="267"/>
      <c r="AU33" s="268"/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266"/>
      <c r="AN34" s="267"/>
      <c r="AO34" s="267"/>
      <c r="AP34" s="267"/>
      <c r="AQ34" s="267"/>
      <c r="AR34" s="267"/>
      <c r="AS34" s="267"/>
      <c r="AT34" s="267"/>
      <c r="AU34" s="268"/>
    </row>
    <row r="35" spans="1:47" ht="24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266"/>
      <c r="AN35" s="267"/>
      <c r="AO35" s="267"/>
      <c r="AP35" s="267"/>
      <c r="AQ35" s="267"/>
      <c r="AR35" s="267"/>
      <c r="AS35" s="267"/>
      <c r="AT35" s="267"/>
      <c r="AU35" s="268"/>
    </row>
    <row r="36" spans="1:47" ht="20" thickBot="1" x14ac:dyDescent="0.4">
      <c r="AM36" s="269"/>
      <c r="AN36" s="270"/>
      <c r="AO36" s="270"/>
      <c r="AP36" s="270"/>
      <c r="AQ36" s="270"/>
      <c r="AR36" s="270"/>
      <c r="AS36" s="270"/>
      <c r="AT36" s="270"/>
      <c r="AU36" s="271"/>
    </row>
    <row r="48" spans="1:47" ht="14.25" customHeight="1" x14ac:dyDescent="0.35"/>
    <row r="49" ht="14.25" customHeight="1" x14ac:dyDescent="0.35"/>
    <row r="50" ht="14.25" customHeight="1" x14ac:dyDescent="0.35"/>
  </sheetData>
  <mergeCells count="57">
    <mergeCell ref="P4:P6"/>
    <mergeCell ref="AM5:AT5"/>
    <mergeCell ref="AM2:AU2"/>
    <mergeCell ref="A3:O3"/>
    <mergeCell ref="P3:AD3"/>
    <mergeCell ref="AE3:AL3"/>
    <mergeCell ref="AM3:AU3"/>
    <mergeCell ref="A2:O2"/>
    <mergeCell ref="P2:AD2"/>
    <mergeCell ref="AE2:AL2"/>
    <mergeCell ref="R4:AB4"/>
    <mergeCell ref="AC4:AC5"/>
    <mergeCell ref="AD4:AD5"/>
    <mergeCell ref="AE4:AE6"/>
    <mergeCell ref="A4:A6"/>
    <mergeCell ref="C4:M4"/>
    <mergeCell ref="N4:N5"/>
    <mergeCell ref="AM25:AU25"/>
    <mergeCell ref="AF4:AF5"/>
    <mergeCell ref="AG4:AG5"/>
    <mergeCell ref="AH4:AH5"/>
    <mergeCell ref="AM15:AU15"/>
    <mergeCell ref="AM4:AU4"/>
    <mergeCell ref="AM10:AU10"/>
    <mergeCell ref="AM11:AU11"/>
    <mergeCell ref="AM12:AU12"/>
    <mergeCell ref="AM13:AU13"/>
    <mergeCell ref="AM14:AU14"/>
    <mergeCell ref="AI4:AI5"/>
    <mergeCell ref="AJ4:AJ6"/>
    <mergeCell ref="O4:O5"/>
    <mergeCell ref="AK4:AK6"/>
    <mergeCell ref="AL4:AL6"/>
    <mergeCell ref="AM36:AU36"/>
    <mergeCell ref="AM27:AU27"/>
    <mergeCell ref="AM28:AU28"/>
    <mergeCell ref="AM29:AU29"/>
    <mergeCell ref="AM30:AU30"/>
    <mergeCell ref="AM31:AU31"/>
    <mergeCell ref="AM32:AU32"/>
    <mergeCell ref="AM6:AT6"/>
    <mergeCell ref="AM7:AT7"/>
    <mergeCell ref="AM33:AU33"/>
    <mergeCell ref="AM34:AU34"/>
    <mergeCell ref="AM35:AU35"/>
    <mergeCell ref="AM26:AU26"/>
    <mergeCell ref="AM16:AU16"/>
    <mergeCell ref="AM24:AU24"/>
    <mergeCell ref="AM8:AT8"/>
    <mergeCell ref="AM9:AT9"/>
    <mergeCell ref="AM21:AU21"/>
    <mergeCell ref="AM22:AU22"/>
    <mergeCell ref="AM23:AU23"/>
    <mergeCell ref="AM17:AU17"/>
    <mergeCell ref="AM18:AU18"/>
    <mergeCell ref="AM19:AU19"/>
    <mergeCell ref="AM20:AU20"/>
  </mergeCells>
  <pageMargins left="0.85416666666666663" right="0.17708333333333334" top="0.43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U50"/>
  <sheetViews>
    <sheetView view="pageLayout" topLeftCell="AF1" zoomScaleNormal="100" workbookViewId="0">
      <selection activeCell="I16" sqref="I16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39" width="4.1640625" style="10" customWidth="1"/>
    <col min="40" max="45" width="9" style="10"/>
    <col min="46" max="46" width="15.1640625" style="10" customWidth="1"/>
    <col min="47" max="47" width="10" style="10" customWidth="1"/>
    <col min="48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49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50</v>
      </c>
      <c r="AL1" s="1">
        <v>51</v>
      </c>
      <c r="AU1" s="1">
        <v>52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315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320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ภาษาอังกฤษ  (อ16101)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ภาษาอังกฤษ  (อ16101)</v>
      </c>
      <c r="AF3" s="246"/>
      <c r="AG3" s="246"/>
      <c r="AH3" s="246"/>
      <c r="AI3" s="246"/>
      <c r="AJ3" s="246"/>
      <c r="AK3" s="246"/>
      <c r="AL3" s="246"/>
      <c r="AM3" s="247" t="s">
        <v>623</v>
      </c>
      <c r="AN3" s="242"/>
      <c r="AO3" s="242"/>
      <c r="AP3" s="242"/>
      <c r="AQ3" s="242"/>
      <c r="AR3" s="242"/>
      <c r="AS3" s="242"/>
      <c r="AT3" s="242"/>
      <c r="AU3" s="248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51" t="s">
        <v>22</v>
      </c>
      <c r="AM4" s="232"/>
      <c r="AN4" s="233"/>
      <c r="AO4" s="233"/>
      <c r="AP4" s="233"/>
      <c r="AQ4" s="233"/>
      <c r="AR4" s="233"/>
      <c r="AS4" s="233"/>
      <c r="AT4" s="233"/>
      <c r="AU4" s="234"/>
    </row>
    <row r="5" spans="1:47" s="24" customFormat="1" ht="14.25" customHeight="1" x14ac:dyDescent="0.35">
      <c r="A5" s="236"/>
      <c r="B5" s="25" t="s">
        <v>247</v>
      </c>
      <c r="C5" s="112" t="s">
        <v>225</v>
      </c>
      <c r="D5" s="112" t="s">
        <v>226</v>
      </c>
      <c r="E5" s="112" t="s">
        <v>227</v>
      </c>
      <c r="F5" s="112" t="s">
        <v>228</v>
      </c>
      <c r="G5" s="112" t="s">
        <v>259</v>
      </c>
      <c r="H5" s="112"/>
      <c r="I5" s="112"/>
      <c r="J5" s="112"/>
      <c r="K5" s="112"/>
      <c r="L5" s="112"/>
      <c r="M5" s="17" t="s">
        <v>17</v>
      </c>
      <c r="N5" s="237"/>
      <c r="O5" s="237"/>
      <c r="P5" s="236"/>
      <c r="Q5" s="25" t="s">
        <v>247</v>
      </c>
      <c r="R5" s="112" t="s">
        <v>225</v>
      </c>
      <c r="S5" s="112" t="s">
        <v>226</v>
      </c>
      <c r="T5" s="112" t="s">
        <v>227</v>
      </c>
      <c r="U5" s="112" t="s">
        <v>228</v>
      </c>
      <c r="V5" s="112" t="s">
        <v>259</v>
      </c>
      <c r="W5" s="112"/>
      <c r="X5" s="112"/>
      <c r="Y5" s="112"/>
      <c r="Z5" s="112"/>
      <c r="AA5" s="112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52"/>
      <c r="AM5" s="128">
        <v>1</v>
      </c>
      <c r="AN5" s="223" t="s">
        <v>624</v>
      </c>
      <c r="AO5" s="223"/>
      <c r="AP5" s="223"/>
      <c r="AQ5" s="223"/>
      <c r="AR5" s="223"/>
      <c r="AS5" s="223"/>
      <c r="AT5" s="223"/>
      <c r="AU5" s="116" t="s">
        <v>625</v>
      </c>
    </row>
    <row r="6" spans="1:47" ht="18.75" customHeight="1" x14ac:dyDescent="0.35">
      <c r="A6" s="237"/>
      <c r="B6" s="14" t="s">
        <v>16</v>
      </c>
      <c r="C6" s="15">
        <v>6</v>
      </c>
      <c r="D6" s="15">
        <v>6</v>
      </c>
      <c r="E6" s="15">
        <v>6</v>
      </c>
      <c r="F6" s="15">
        <v>6</v>
      </c>
      <c r="G6" s="15">
        <v>6</v>
      </c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6</v>
      </c>
      <c r="S6" s="15">
        <v>6</v>
      </c>
      <c r="T6" s="15">
        <v>6</v>
      </c>
      <c r="U6" s="15">
        <v>6</v>
      </c>
      <c r="V6" s="15">
        <v>6</v>
      </c>
      <c r="W6" s="15"/>
      <c r="X6" s="15"/>
      <c r="Y6" s="15"/>
      <c r="Z6" s="15"/>
      <c r="AA6" s="15"/>
      <c r="AB6" s="17">
        <f>SUM(R6:AA6)</f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53"/>
      <c r="AM6" s="128">
        <v>2</v>
      </c>
      <c r="AN6" s="223" t="s">
        <v>626</v>
      </c>
      <c r="AO6" s="223"/>
      <c r="AP6" s="223"/>
      <c r="AQ6" s="223"/>
      <c r="AR6" s="223"/>
      <c r="AS6" s="223"/>
      <c r="AT6" s="223"/>
      <c r="AU6" s="116" t="s">
        <v>627</v>
      </c>
    </row>
    <row r="7" spans="1:47" ht="21" customHeight="1" x14ac:dyDescent="0.4">
      <c r="A7" s="5">
        <v>1</v>
      </c>
      <c r="B7" s="19" t="str">
        <f>'เวลาเรียน4-16'!B6</f>
        <v>เด็กชายกฤษดา  บัวศรี</v>
      </c>
      <c r="C7" s="5">
        <v>5</v>
      </c>
      <c r="D7" s="5">
        <v>6</v>
      </c>
      <c r="E7" s="5">
        <v>5</v>
      </c>
      <c r="F7" s="5">
        <v>5</v>
      </c>
      <c r="G7" s="5">
        <v>6</v>
      </c>
      <c r="H7" s="5"/>
      <c r="I7" s="5"/>
      <c r="J7" s="5"/>
      <c r="K7" s="5"/>
      <c r="L7" s="5"/>
      <c r="M7" s="12">
        <f t="shared" ref="M7:M19" si="0">SUM(C7:L7)</f>
        <v>27</v>
      </c>
      <c r="N7" s="5">
        <v>12</v>
      </c>
      <c r="O7" s="11">
        <f t="shared" ref="O7:O19" si="1">SUM(M7:N7)</f>
        <v>39</v>
      </c>
      <c r="P7" s="5">
        <v>1</v>
      </c>
      <c r="Q7" s="19" t="str">
        <f t="shared" ref="Q7:Q19" si="2">B7</f>
        <v>เด็กชายกฤษดา  บัวศรี</v>
      </c>
      <c r="R7" s="5">
        <v>6</v>
      </c>
      <c r="S7" s="5">
        <v>5</v>
      </c>
      <c r="T7" s="5">
        <v>5</v>
      </c>
      <c r="U7" s="5">
        <v>6</v>
      </c>
      <c r="V7" s="5">
        <v>6</v>
      </c>
      <c r="W7" s="5"/>
      <c r="X7" s="5"/>
      <c r="Y7" s="5"/>
      <c r="Z7" s="5"/>
      <c r="AA7" s="5"/>
      <c r="AB7" s="12">
        <f t="shared" ref="AB7:AB19" si="3">SUM(R7:AA7)</f>
        <v>28</v>
      </c>
      <c r="AC7" s="5">
        <v>9</v>
      </c>
      <c r="AD7" s="11">
        <f t="shared" ref="AD7:AD19" si="4">SUM(AB7:AC7)</f>
        <v>37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39</v>
      </c>
      <c r="AH7" s="22">
        <f t="shared" ref="AH7:AH19" si="6">AD7</f>
        <v>37</v>
      </c>
      <c r="AI7" s="22">
        <f>SUM(AG7:AH7)</f>
        <v>76</v>
      </c>
      <c r="AJ7" s="22">
        <f>IF(AI7&gt;79,4,IF(AI7&gt;74,3.5,IF(AI7&gt;69,3,IF(AI7&gt;64,2.5,IF(AI7&gt;59,2,IF(AI7&gt;54,1.5,IF(AI7&gt;49,1,IF(AI7&lt;50,0))))))))</f>
        <v>3.5</v>
      </c>
      <c r="AK7" s="13"/>
      <c r="AL7" s="13"/>
      <c r="AM7" s="128">
        <v>3</v>
      </c>
      <c r="AN7" s="223" t="s">
        <v>628</v>
      </c>
      <c r="AO7" s="223"/>
      <c r="AP7" s="223"/>
      <c r="AQ7" s="223"/>
      <c r="AR7" s="223"/>
      <c r="AS7" s="223"/>
      <c r="AT7" s="223"/>
      <c r="AU7" s="116" t="s">
        <v>629</v>
      </c>
    </row>
    <row r="8" spans="1:47" ht="21" customHeight="1" x14ac:dyDescent="0.4">
      <c r="A8" s="5">
        <v>2</v>
      </c>
      <c r="B8" s="19" t="str">
        <f>'เวลาเรียน4-16'!B7</f>
        <v>เด็กชายจิรายุ  ดอบุตร</v>
      </c>
      <c r="C8" s="5">
        <v>6</v>
      </c>
      <c r="D8" s="5">
        <v>6</v>
      </c>
      <c r="E8" s="5">
        <v>5</v>
      </c>
      <c r="F8" s="5">
        <v>6</v>
      </c>
      <c r="G8" s="5">
        <v>6</v>
      </c>
      <c r="H8" s="5"/>
      <c r="I8" s="5"/>
      <c r="J8" s="5"/>
      <c r="K8" s="5"/>
      <c r="L8" s="5"/>
      <c r="M8" s="12">
        <f t="shared" si="0"/>
        <v>29</v>
      </c>
      <c r="N8" s="5">
        <v>15</v>
      </c>
      <c r="O8" s="11">
        <f t="shared" si="1"/>
        <v>44</v>
      </c>
      <c r="P8" s="5">
        <v>2</v>
      </c>
      <c r="Q8" s="19" t="str">
        <f t="shared" si="2"/>
        <v>เด็กชายจิรายุ  ดอบุตร</v>
      </c>
      <c r="R8" s="5">
        <v>6</v>
      </c>
      <c r="S8" s="5">
        <v>6</v>
      </c>
      <c r="T8" s="5">
        <v>6</v>
      </c>
      <c r="U8" s="5">
        <v>6</v>
      </c>
      <c r="V8" s="5">
        <v>6</v>
      </c>
      <c r="W8" s="5"/>
      <c r="X8" s="5"/>
      <c r="Y8" s="5"/>
      <c r="Z8" s="5"/>
      <c r="AA8" s="5"/>
      <c r="AB8" s="12">
        <f t="shared" si="3"/>
        <v>30</v>
      </c>
      <c r="AC8" s="5">
        <v>10</v>
      </c>
      <c r="AD8" s="11">
        <f t="shared" si="4"/>
        <v>40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44</v>
      </c>
      <c r="AH8" s="22">
        <f t="shared" si="6"/>
        <v>40</v>
      </c>
      <c r="AI8" s="22">
        <f t="shared" ref="AI8:AI19" si="7">SUM(AG8:AH8)</f>
        <v>84</v>
      </c>
      <c r="AJ8" s="22">
        <f t="shared" ref="AJ8:AJ19" si="8">IF(AI8&gt;79,4,IF(AI8&gt;74,3.5,IF(AI8&gt;69,3,IF(AI8&gt;64,2.5,IF(AI8&gt;59,2,IF(AI8&gt;54,1.5,IF(AI8&gt;49,1,IF(AI8&lt;50,0))))))))</f>
        <v>4</v>
      </c>
      <c r="AK8" s="13"/>
      <c r="AL8" s="13"/>
      <c r="AM8" s="128">
        <v>4</v>
      </c>
      <c r="AN8" s="223" t="s">
        <v>630</v>
      </c>
      <c r="AO8" s="223"/>
      <c r="AP8" s="223"/>
      <c r="AQ8" s="223"/>
      <c r="AR8" s="223"/>
      <c r="AS8" s="223"/>
      <c r="AT8" s="223"/>
      <c r="AU8" s="116" t="s">
        <v>631</v>
      </c>
    </row>
    <row r="9" spans="1:47" ht="21" customHeight="1" x14ac:dyDescent="0.4">
      <c r="A9" s="5">
        <v>3</v>
      </c>
      <c r="B9" s="19" t="str">
        <f>'เวลาเรียน4-16'!B8</f>
        <v>เด็กชายจิรายุ  เนตรสว่าง</v>
      </c>
      <c r="C9" s="5">
        <v>5</v>
      </c>
      <c r="D9" s="5">
        <v>6</v>
      </c>
      <c r="E9" s="5">
        <v>5</v>
      </c>
      <c r="F9" s="5">
        <v>5</v>
      </c>
      <c r="G9" s="5">
        <v>5</v>
      </c>
      <c r="H9" s="5"/>
      <c r="I9" s="5"/>
      <c r="J9" s="5"/>
      <c r="K9" s="5"/>
      <c r="L9" s="5"/>
      <c r="M9" s="12">
        <f t="shared" si="0"/>
        <v>26</v>
      </c>
      <c r="N9" s="5">
        <v>11</v>
      </c>
      <c r="O9" s="11">
        <f t="shared" si="1"/>
        <v>37</v>
      </c>
      <c r="P9" s="5">
        <v>3</v>
      </c>
      <c r="Q9" s="19" t="str">
        <f t="shared" si="2"/>
        <v>เด็กชายจิรายุ  เนตรสว่าง</v>
      </c>
      <c r="R9" s="5">
        <v>4</v>
      </c>
      <c r="S9" s="5">
        <v>5</v>
      </c>
      <c r="T9" s="5">
        <v>5</v>
      </c>
      <c r="U9" s="5">
        <v>5</v>
      </c>
      <c r="V9" s="5">
        <v>4</v>
      </c>
      <c r="W9" s="5"/>
      <c r="X9" s="5"/>
      <c r="Y9" s="5"/>
      <c r="Z9" s="5"/>
      <c r="AA9" s="5"/>
      <c r="AB9" s="12">
        <f t="shared" si="3"/>
        <v>23</v>
      </c>
      <c r="AC9" s="5">
        <v>8</v>
      </c>
      <c r="AD9" s="11">
        <f t="shared" si="4"/>
        <v>31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37</v>
      </c>
      <c r="AH9" s="22">
        <f t="shared" si="6"/>
        <v>31</v>
      </c>
      <c r="AI9" s="22">
        <f t="shared" si="7"/>
        <v>68</v>
      </c>
      <c r="AJ9" s="22">
        <f t="shared" si="8"/>
        <v>2.5</v>
      </c>
      <c r="AK9" s="13"/>
      <c r="AL9" s="13"/>
      <c r="AM9" s="128">
        <v>5</v>
      </c>
      <c r="AN9" s="223" t="s">
        <v>632</v>
      </c>
      <c r="AO9" s="223"/>
      <c r="AP9" s="223"/>
      <c r="AQ9" s="223"/>
      <c r="AR9" s="223"/>
      <c r="AS9" s="223"/>
      <c r="AT9" s="223"/>
      <c r="AU9" s="116" t="s">
        <v>633</v>
      </c>
    </row>
    <row r="10" spans="1:47" ht="21" customHeight="1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>
        <v>5</v>
      </c>
      <c r="D10" s="5">
        <v>6</v>
      </c>
      <c r="E10" s="5">
        <v>6</v>
      </c>
      <c r="F10" s="5">
        <v>5</v>
      </c>
      <c r="G10" s="5">
        <v>5</v>
      </c>
      <c r="H10" s="5"/>
      <c r="I10" s="5"/>
      <c r="J10" s="5"/>
      <c r="K10" s="5"/>
      <c r="L10" s="5"/>
      <c r="M10" s="12">
        <f t="shared" si="0"/>
        <v>27</v>
      </c>
      <c r="N10" s="5">
        <v>9</v>
      </c>
      <c r="O10" s="11">
        <f t="shared" si="1"/>
        <v>36</v>
      </c>
      <c r="P10" s="5">
        <v>4</v>
      </c>
      <c r="Q10" s="19" t="str">
        <f t="shared" si="2"/>
        <v>เด็กชายจีรภัทร  คันธมาตย์</v>
      </c>
      <c r="R10" s="5">
        <v>4</v>
      </c>
      <c r="S10" s="5">
        <v>4</v>
      </c>
      <c r="T10" s="5">
        <v>5</v>
      </c>
      <c r="U10" s="5">
        <v>5</v>
      </c>
      <c r="V10" s="5">
        <v>5</v>
      </c>
      <c r="W10" s="5"/>
      <c r="X10" s="5"/>
      <c r="Y10" s="5"/>
      <c r="Z10" s="5"/>
      <c r="AA10" s="5"/>
      <c r="AB10" s="12">
        <f t="shared" si="3"/>
        <v>23</v>
      </c>
      <c r="AC10" s="5">
        <v>6</v>
      </c>
      <c r="AD10" s="11">
        <f t="shared" si="4"/>
        <v>29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36</v>
      </c>
      <c r="AH10" s="22">
        <f t="shared" si="6"/>
        <v>29</v>
      </c>
      <c r="AI10" s="22">
        <f t="shared" si="7"/>
        <v>65</v>
      </c>
      <c r="AJ10" s="22">
        <f t="shared" si="8"/>
        <v>2.5</v>
      </c>
      <c r="AK10" s="13"/>
      <c r="AL10" s="13"/>
      <c r="AM10" s="128">
        <v>6</v>
      </c>
      <c r="AN10" s="223" t="s">
        <v>634</v>
      </c>
      <c r="AO10" s="223"/>
      <c r="AP10" s="223"/>
      <c r="AQ10" s="223"/>
      <c r="AR10" s="223"/>
      <c r="AS10" s="223"/>
      <c r="AT10" s="223"/>
      <c r="AU10" s="116" t="s">
        <v>635</v>
      </c>
    </row>
    <row r="11" spans="1:47" ht="21" customHeight="1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>
        <v>5</v>
      </c>
      <c r="D11" s="5">
        <v>4</v>
      </c>
      <c r="E11" s="5">
        <v>5</v>
      </c>
      <c r="F11" s="5">
        <v>5</v>
      </c>
      <c r="G11" s="5">
        <v>5</v>
      </c>
      <c r="H11" s="5"/>
      <c r="I11" s="5"/>
      <c r="J11" s="5"/>
      <c r="K11" s="5"/>
      <c r="L11" s="5"/>
      <c r="M11" s="12">
        <f t="shared" si="0"/>
        <v>24</v>
      </c>
      <c r="N11" s="5">
        <v>7</v>
      </c>
      <c r="O11" s="11">
        <f t="shared" si="1"/>
        <v>31</v>
      </c>
      <c r="P11" s="5">
        <v>5</v>
      </c>
      <c r="Q11" s="19" t="str">
        <f t="shared" si="2"/>
        <v>เด็กชายปรวัฒน์  โพธิ์ศรี</v>
      </c>
      <c r="R11" s="5">
        <v>5</v>
      </c>
      <c r="S11" s="5">
        <v>5</v>
      </c>
      <c r="T11" s="5">
        <v>5</v>
      </c>
      <c r="U11" s="5">
        <v>5</v>
      </c>
      <c r="V11" s="5">
        <v>4</v>
      </c>
      <c r="W11" s="5"/>
      <c r="X11" s="5"/>
      <c r="Y11" s="5"/>
      <c r="Z11" s="5"/>
      <c r="AA11" s="5"/>
      <c r="AB11" s="12">
        <f t="shared" si="3"/>
        <v>24</v>
      </c>
      <c r="AC11" s="5">
        <v>5</v>
      </c>
      <c r="AD11" s="11">
        <f t="shared" si="4"/>
        <v>29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31</v>
      </c>
      <c r="AH11" s="22">
        <f t="shared" si="6"/>
        <v>29</v>
      </c>
      <c r="AI11" s="22">
        <f t="shared" si="7"/>
        <v>60</v>
      </c>
      <c r="AJ11" s="22">
        <f t="shared" si="8"/>
        <v>2</v>
      </c>
      <c r="AK11" s="13"/>
      <c r="AL11" s="13"/>
      <c r="AM11" s="128">
        <v>7</v>
      </c>
      <c r="AN11" s="223" t="s">
        <v>636</v>
      </c>
      <c r="AO11" s="223"/>
      <c r="AP11" s="223"/>
      <c r="AQ11" s="223"/>
      <c r="AR11" s="223"/>
      <c r="AS11" s="223"/>
      <c r="AT11" s="223"/>
      <c r="AU11" s="116" t="s">
        <v>637</v>
      </c>
    </row>
    <row r="12" spans="1:47" ht="21" customHeight="1" x14ac:dyDescent="0.4">
      <c r="A12" s="5">
        <v>6</v>
      </c>
      <c r="B12" s="19" t="str">
        <f>'เวลาเรียน4-16'!B11</f>
        <v>เด็กชายพีรภาพ  วงคำใหญ่</v>
      </c>
      <c r="C12" s="5">
        <v>6</v>
      </c>
      <c r="D12" s="5">
        <v>5</v>
      </c>
      <c r="E12" s="5">
        <v>6</v>
      </c>
      <c r="F12" s="5">
        <v>6</v>
      </c>
      <c r="G12" s="5">
        <v>6</v>
      </c>
      <c r="H12" s="5"/>
      <c r="I12" s="5"/>
      <c r="J12" s="5"/>
      <c r="K12" s="5"/>
      <c r="L12" s="5"/>
      <c r="M12" s="12">
        <f t="shared" si="0"/>
        <v>29</v>
      </c>
      <c r="N12" s="5">
        <v>13</v>
      </c>
      <c r="O12" s="11">
        <f t="shared" si="1"/>
        <v>42</v>
      </c>
      <c r="P12" s="5">
        <v>6</v>
      </c>
      <c r="Q12" s="19" t="str">
        <f t="shared" si="2"/>
        <v>เด็กชายพีรภาพ  วงคำใหญ่</v>
      </c>
      <c r="R12" s="5">
        <v>6</v>
      </c>
      <c r="S12" s="5">
        <v>6</v>
      </c>
      <c r="T12" s="5">
        <v>6</v>
      </c>
      <c r="U12" s="5">
        <v>6</v>
      </c>
      <c r="V12" s="5">
        <v>6</v>
      </c>
      <c r="W12" s="5"/>
      <c r="X12" s="5"/>
      <c r="Y12" s="5"/>
      <c r="Z12" s="5"/>
      <c r="AA12" s="5"/>
      <c r="AB12" s="12">
        <f t="shared" si="3"/>
        <v>30</v>
      </c>
      <c r="AC12" s="5">
        <v>10</v>
      </c>
      <c r="AD12" s="11">
        <f t="shared" si="4"/>
        <v>40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42</v>
      </c>
      <c r="AH12" s="22">
        <f t="shared" si="6"/>
        <v>40</v>
      </c>
      <c r="AI12" s="22">
        <f t="shared" si="7"/>
        <v>82</v>
      </c>
      <c r="AJ12" s="22">
        <f t="shared" si="8"/>
        <v>4</v>
      </c>
      <c r="AK12" s="13"/>
      <c r="AL12" s="13"/>
      <c r="AM12" s="128">
        <v>8</v>
      </c>
      <c r="AN12" s="223" t="s">
        <v>638</v>
      </c>
      <c r="AO12" s="223"/>
      <c r="AP12" s="223"/>
      <c r="AQ12" s="223"/>
      <c r="AR12" s="223"/>
      <c r="AS12" s="223"/>
      <c r="AT12" s="223"/>
      <c r="AU12" s="116" t="s">
        <v>639</v>
      </c>
    </row>
    <row r="13" spans="1:47" ht="21" customHeight="1" x14ac:dyDescent="0.4">
      <c r="A13" s="5">
        <v>7</v>
      </c>
      <c r="B13" s="19" t="str">
        <f>'เวลาเรียน4-16'!B12</f>
        <v>เด็กหญิงกมลรัตน์  แสดคง</v>
      </c>
      <c r="C13" s="5">
        <v>5</v>
      </c>
      <c r="D13" s="5">
        <v>5</v>
      </c>
      <c r="E13" s="5">
        <v>6</v>
      </c>
      <c r="F13" s="5">
        <v>6</v>
      </c>
      <c r="G13" s="5">
        <v>6</v>
      </c>
      <c r="H13" s="5"/>
      <c r="I13" s="5"/>
      <c r="J13" s="5"/>
      <c r="K13" s="5"/>
      <c r="L13" s="5"/>
      <c r="M13" s="12">
        <f t="shared" si="0"/>
        <v>28</v>
      </c>
      <c r="N13" s="5">
        <v>11</v>
      </c>
      <c r="O13" s="11">
        <f t="shared" si="1"/>
        <v>39</v>
      </c>
      <c r="P13" s="5">
        <v>7</v>
      </c>
      <c r="Q13" s="19" t="str">
        <f t="shared" si="2"/>
        <v>เด็กหญิงกมลรัตน์  แสดคง</v>
      </c>
      <c r="R13" s="5">
        <v>5</v>
      </c>
      <c r="S13" s="5">
        <v>5</v>
      </c>
      <c r="T13" s="5">
        <v>6</v>
      </c>
      <c r="U13" s="5">
        <v>6</v>
      </c>
      <c r="V13" s="5">
        <v>6</v>
      </c>
      <c r="W13" s="5"/>
      <c r="X13" s="5"/>
      <c r="Y13" s="5"/>
      <c r="Z13" s="5"/>
      <c r="AA13" s="5"/>
      <c r="AB13" s="12">
        <f t="shared" si="3"/>
        <v>28</v>
      </c>
      <c r="AC13" s="5">
        <v>8</v>
      </c>
      <c r="AD13" s="11">
        <f t="shared" si="4"/>
        <v>36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39</v>
      </c>
      <c r="AH13" s="22">
        <f t="shared" si="6"/>
        <v>36</v>
      </c>
      <c r="AI13" s="22">
        <f t="shared" si="7"/>
        <v>75</v>
      </c>
      <c r="AJ13" s="22">
        <f t="shared" si="8"/>
        <v>3.5</v>
      </c>
      <c r="AK13" s="13"/>
      <c r="AL13" s="13"/>
      <c r="AM13" s="128">
        <v>9</v>
      </c>
      <c r="AN13" s="223" t="s">
        <v>640</v>
      </c>
      <c r="AO13" s="223"/>
      <c r="AP13" s="223"/>
      <c r="AQ13" s="223"/>
      <c r="AR13" s="223"/>
      <c r="AS13" s="223"/>
      <c r="AT13" s="223"/>
      <c r="AU13" s="116" t="s">
        <v>641</v>
      </c>
    </row>
    <row r="14" spans="1:47" ht="21" customHeight="1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>
        <v>6</v>
      </c>
      <c r="D14" s="5">
        <v>6</v>
      </c>
      <c r="E14" s="5">
        <v>6</v>
      </c>
      <c r="F14" s="5">
        <v>6</v>
      </c>
      <c r="G14" s="5">
        <v>6</v>
      </c>
      <c r="H14" s="5"/>
      <c r="I14" s="5"/>
      <c r="J14" s="5"/>
      <c r="K14" s="5"/>
      <c r="L14" s="5"/>
      <c r="M14" s="12">
        <f t="shared" si="0"/>
        <v>30</v>
      </c>
      <c r="N14" s="5">
        <v>16</v>
      </c>
      <c r="O14" s="11">
        <f t="shared" si="1"/>
        <v>46</v>
      </c>
      <c r="P14" s="5">
        <v>8</v>
      </c>
      <c r="Q14" s="19" t="str">
        <f t="shared" si="2"/>
        <v>เด็กหญิงกัลยรัตน์  ทึงสุข</v>
      </c>
      <c r="R14" s="5">
        <v>6</v>
      </c>
      <c r="S14" s="5">
        <v>6</v>
      </c>
      <c r="T14" s="5">
        <v>5</v>
      </c>
      <c r="U14" s="5">
        <v>6</v>
      </c>
      <c r="V14" s="5">
        <v>6</v>
      </c>
      <c r="W14" s="5"/>
      <c r="X14" s="5"/>
      <c r="Y14" s="5"/>
      <c r="Z14" s="5"/>
      <c r="AA14" s="5"/>
      <c r="AB14" s="12">
        <f t="shared" si="3"/>
        <v>29</v>
      </c>
      <c r="AC14" s="5">
        <v>11</v>
      </c>
      <c r="AD14" s="11">
        <f t="shared" si="4"/>
        <v>40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46</v>
      </c>
      <c r="AH14" s="22">
        <f t="shared" si="6"/>
        <v>40</v>
      </c>
      <c r="AI14" s="22">
        <f t="shared" si="7"/>
        <v>86</v>
      </c>
      <c r="AJ14" s="22">
        <f t="shared" si="8"/>
        <v>4</v>
      </c>
      <c r="AK14" s="13"/>
      <c r="AL14" s="13"/>
      <c r="AM14" s="128">
        <v>10</v>
      </c>
      <c r="AN14" s="223" t="s">
        <v>642</v>
      </c>
      <c r="AO14" s="223"/>
      <c r="AP14" s="223"/>
      <c r="AQ14" s="223"/>
      <c r="AR14" s="223"/>
      <c r="AS14" s="223"/>
      <c r="AT14" s="223"/>
      <c r="AU14" s="116" t="s">
        <v>643</v>
      </c>
    </row>
    <row r="15" spans="1:47" ht="21" customHeight="1" x14ac:dyDescent="0.4">
      <c r="A15" s="5">
        <v>9</v>
      </c>
      <c r="B15" s="19" t="str">
        <f>'เวลาเรียน4-16'!B14</f>
        <v>เด็กหญิงนิตยา  พละโท</v>
      </c>
      <c r="C15" s="5">
        <v>5</v>
      </c>
      <c r="D15" s="5">
        <v>6</v>
      </c>
      <c r="E15" s="5">
        <v>6</v>
      </c>
      <c r="F15" s="5">
        <v>6</v>
      </c>
      <c r="G15" s="5">
        <v>6</v>
      </c>
      <c r="H15" s="5"/>
      <c r="I15" s="5"/>
      <c r="J15" s="5"/>
      <c r="K15" s="5"/>
      <c r="L15" s="5"/>
      <c r="M15" s="12">
        <f t="shared" si="0"/>
        <v>29</v>
      </c>
      <c r="N15" s="5">
        <v>14</v>
      </c>
      <c r="O15" s="11">
        <f t="shared" si="1"/>
        <v>43</v>
      </c>
      <c r="P15" s="5">
        <v>9</v>
      </c>
      <c r="Q15" s="19" t="str">
        <f t="shared" si="2"/>
        <v>เด็กหญิงนิตยา  พละโท</v>
      </c>
      <c r="R15" s="5">
        <v>5</v>
      </c>
      <c r="S15" s="5">
        <v>6</v>
      </c>
      <c r="T15" s="5">
        <v>6</v>
      </c>
      <c r="U15" s="5">
        <v>6</v>
      </c>
      <c r="V15" s="5">
        <v>6</v>
      </c>
      <c r="W15" s="5"/>
      <c r="X15" s="5"/>
      <c r="Y15" s="5"/>
      <c r="Z15" s="5"/>
      <c r="AA15" s="5"/>
      <c r="AB15" s="12">
        <f t="shared" si="3"/>
        <v>29</v>
      </c>
      <c r="AC15" s="5">
        <v>10</v>
      </c>
      <c r="AD15" s="11">
        <f t="shared" si="4"/>
        <v>39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43</v>
      </c>
      <c r="AH15" s="22">
        <f t="shared" si="6"/>
        <v>39</v>
      </c>
      <c r="AI15" s="22">
        <f t="shared" si="7"/>
        <v>82</v>
      </c>
      <c r="AJ15" s="22">
        <f t="shared" si="8"/>
        <v>4</v>
      </c>
      <c r="AK15" s="13"/>
      <c r="AL15" s="13"/>
      <c r="AM15" s="128">
        <v>11</v>
      </c>
      <c r="AN15" s="223" t="s">
        <v>644</v>
      </c>
      <c r="AO15" s="223"/>
      <c r="AP15" s="223"/>
      <c r="AQ15" s="223"/>
      <c r="AR15" s="223"/>
      <c r="AS15" s="223"/>
      <c r="AT15" s="223"/>
      <c r="AU15" s="116" t="s">
        <v>645</v>
      </c>
    </row>
    <row r="16" spans="1:47" ht="21" customHeight="1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>
        <v>5</v>
      </c>
      <c r="D16" s="5">
        <v>5</v>
      </c>
      <c r="E16" s="5">
        <v>6</v>
      </c>
      <c r="F16" s="5">
        <v>6</v>
      </c>
      <c r="G16" s="5">
        <v>6</v>
      </c>
      <c r="H16" s="5"/>
      <c r="I16" s="5"/>
      <c r="J16" s="5"/>
      <c r="K16" s="5"/>
      <c r="L16" s="5"/>
      <c r="M16" s="12">
        <f t="shared" si="0"/>
        <v>28</v>
      </c>
      <c r="N16" s="5">
        <v>11</v>
      </c>
      <c r="O16" s="11">
        <f t="shared" si="1"/>
        <v>39</v>
      </c>
      <c r="P16" s="5">
        <v>10</v>
      </c>
      <c r="Q16" s="19" t="str">
        <f t="shared" si="2"/>
        <v>เด็กหญิงบัณฑิตา  เบ้าพงษ์</v>
      </c>
      <c r="R16" s="5">
        <v>6</v>
      </c>
      <c r="S16" s="5">
        <v>5</v>
      </c>
      <c r="T16" s="5">
        <v>6</v>
      </c>
      <c r="U16" s="5">
        <v>6</v>
      </c>
      <c r="V16" s="5">
        <v>5</v>
      </c>
      <c r="W16" s="5"/>
      <c r="X16" s="5"/>
      <c r="Y16" s="5"/>
      <c r="Z16" s="5"/>
      <c r="AA16" s="5"/>
      <c r="AB16" s="12">
        <f t="shared" si="3"/>
        <v>28</v>
      </c>
      <c r="AC16" s="5">
        <v>9</v>
      </c>
      <c r="AD16" s="11">
        <f t="shared" si="4"/>
        <v>37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39</v>
      </c>
      <c r="AH16" s="22">
        <f t="shared" si="6"/>
        <v>37</v>
      </c>
      <c r="AI16" s="22">
        <f t="shared" si="7"/>
        <v>76</v>
      </c>
      <c r="AJ16" s="22">
        <f t="shared" si="8"/>
        <v>3.5</v>
      </c>
      <c r="AK16" s="13"/>
      <c r="AL16" s="13"/>
      <c r="AM16" s="128">
        <v>12</v>
      </c>
      <c r="AN16" s="223" t="s">
        <v>646</v>
      </c>
      <c r="AO16" s="223"/>
      <c r="AP16" s="223"/>
      <c r="AQ16" s="223"/>
      <c r="AR16" s="223"/>
      <c r="AS16" s="223"/>
      <c r="AT16" s="223"/>
      <c r="AU16" s="116" t="s">
        <v>647</v>
      </c>
    </row>
    <row r="17" spans="1:47" ht="21" customHeight="1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>
        <v>6</v>
      </c>
      <c r="D17" s="5">
        <v>6</v>
      </c>
      <c r="E17" s="5">
        <v>5</v>
      </c>
      <c r="F17" s="5">
        <v>6</v>
      </c>
      <c r="G17" s="5">
        <v>6</v>
      </c>
      <c r="H17" s="5"/>
      <c r="I17" s="5"/>
      <c r="J17" s="5"/>
      <c r="K17" s="5"/>
      <c r="L17" s="5"/>
      <c r="M17" s="12">
        <f t="shared" si="0"/>
        <v>29</v>
      </c>
      <c r="N17" s="5">
        <v>12</v>
      </c>
      <c r="O17" s="11">
        <f t="shared" si="1"/>
        <v>41</v>
      </c>
      <c r="P17" s="5">
        <v>11</v>
      </c>
      <c r="Q17" s="19" t="str">
        <f t="shared" si="2"/>
        <v>เด็กหญิงพัชรกัญญ์  บาลนาคม</v>
      </c>
      <c r="R17" s="5">
        <v>6</v>
      </c>
      <c r="S17" s="5">
        <v>5</v>
      </c>
      <c r="T17" s="5">
        <v>6</v>
      </c>
      <c r="U17" s="5">
        <v>6</v>
      </c>
      <c r="V17" s="5">
        <v>6</v>
      </c>
      <c r="W17" s="5"/>
      <c r="X17" s="5"/>
      <c r="Y17" s="5"/>
      <c r="Z17" s="5"/>
      <c r="AA17" s="5"/>
      <c r="AB17" s="12">
        <f t="shared" si="3"/>
        <v>29</v>
      </c>
      <c r="AC17" s="5">
        <v>10</v>
      </c>
      <c r="AD17" s="11">
        <f t="shared" si="4"/>
        <v>39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41</v>
      </c>
      <c r="AH17" s="22">
        <f t="shared" si="6"/>
        <v>39</v>
      </c>
      <c r="AI17" s="22">
        <f t="shared" si="7"/>
        <v>80</v>
      </c>
      <c r="AJ17" s="22">
        <f t="shared" si="8"/>
        <v>4</v>
      </c>
      <c r="AK17" s="13"/>
      <c r="AL17" s="13"/>
      <c r="AM17" s="128">
        <v>13</v>
      </c>
      <c r="AN17" s="223" t="s">
        <v>648</v>
      </c>
      <c r="AO17" s="223"/>
      <c r="AP17" s="223"/>
      <c r="AQ17" s="223"/>
      <c r="AR17" s="223"/>
      <c r="AS17" s="223"/>
      <c r="AT17" s="223"/>
      <c r="AU17" s="116" t="s">
        <v>649</v>
      </c>
    </row>
    <row r="18" spans="1:47" ht="21" customHeight="1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>
        <v>4</v>
      </c>
      <c r="D18" s="5">
        <v>4</v>
      </c>
      <c r="E18" s="5">
        <v>4</v>
      </c>
      <c r="F18" s="5">
        <v>4</v>
      </c>
      <c r="G18" s="5">
        <v>4</v>
      </c>
      <c r="H18" s="5"/>
      <c r="I18" s="5"/>
      <c r="J18" s="5"/>
      <c r="K18" s="5"/>
      <c r="L18" s="5"/>
      <c r="M18" s="12">
        <f t="shared" si="0"/>
        <v>20</v>
      </c>
      <c r="N18" s="5">
        <v>9</v>
      </c>
      <c r="O18" s="11">
        <f t="shared" si="1"/>
        <v>29</v>
      </c>
      <c r="P18" s="5">
        <v>12</v>
      </c>
      <c r="Q18" s="19" t="str">
        <f t="shared" si="2"/>
        <v>เด็กหญิงสุวิชาดา  ชูจิตร</v>
      </c>
      <c r="R18" s="5">
        <v>4</v>
      </c>
      <c r="S18" s="5">
        <v>4</v>
      </c>
      <c r="T18" s="5">
        <v>5</v>
      </c>
      <c r="U18" s="5">
        <v>4</v>
      </c>
      <c r="V18" s="5">
        <v>4</v>
      </c>
      <c r="W18" s="5"/>
      <c r="X18" s="5"/>
      <c r="Y18" s="5"/>
      <c r="Z18" s="5"/>
      <c r="AA18" s="5"/>
      <c r="AB18" s="12">
        <f t="shared" si="3"/>
        <v>21</v>
      </c>
      <c r="AC18" s="5">
        <v>5</v>
      </c>
      <c r="AD18" s="11">
        <f t="shared" si="4"/>
        <v>26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29</v>
      </c>
      <c r="AH18" s="22">
        <f t="shared" si="6"/>
        <v>26</v>
      </c>
      <c r="AI18" s="22">
        <f t="shared" si="7"/>
        <v>55</v>
      </c>
      <c r="AJ18" s="22">
        <f t="shared" si="8"/>
        <v>1.5</v>
      </c>
      <c r="AK18" s="13"/>
      <c r="AL18" s="13"/>
      <c r="AM18" s="128"/>
      <c r="AN18" s="223" t="s">
        <v>650</v>
      </c>
      <c r="AO18" s="223"/>
      <c r="AP18" s="223"/>
      <c r="AQ18" s="223"/>
      <c r="AR18" s="223"/>
      <c r="AS18" s="223"/>
      <c r="AT18" s="223"/>
      <c r="AU18" s="116"/>
    </row>
    <row r="19" spans="1:47" ht="21" customHeight="1" x14ac:dyDescent="0.4">
      <c r="A19" s="5">
        <v>13</v>
      </c>
      <c r="B19" s="19" t="str">
        <f>'เวลาเรียน4-16'!B18</f>
        <v>เด็กหญิงปุญญิศา  อุปทุม</v>
      </c>
      <c r="C19" s="5">
        <v>6</v>
      </c>
      <c r="D19" s="5">
        <v>6</v>
      </c>
      <c r="E19" s="5">
        <v>6</v>
      </c>
      <c r="F19" s="5">
        <v>6</v>
      </c>
      <c r="G19" s="5">
        <v>6</v>
      </c>
      <c r="H19" s="5"/>
      <c r="I19" s="5"/>
      <c r="J19" s="5"/>
      <c r="K19" s="5"/>
      <c r="L19" s="5"/>
      <c r="M19" s="12">
        <f t="shared" si="0"/>
        <v>30</v>
      </c>
      <c r="N19" s="5">
        <v>13</v>
      </c>
      <c r="O19" s="11">
        <f t="shared" si="1"/>
        <v>43</v>
      </c>
      <c r="P19" s="5">
        <v>13</v>
      </c>
      <c r="Q19" s="19" t="str">
        <f t="shared" si="2"/>
        <v>เด็กหญิงปุญญิศา  อุปทุม</v>
      </c>
      <c r="R19" s="5">
        <v>6</v>
      </c>
      <c r="S19" s="5">
        <v>6</v>
      </c>
      <c r="T19" s="5">
        <v>6</v>
      </c>
      <c r="U19" s="5">
        <v>6</v>
      </c>
      <c r="V19" s="5">
        <v>6</v>
      </c>
      <c r="W19" s="5"/>
      <c r="X19" s="5"/>
      <c r="Y19" s="5"/>
      <c r="Z19" s="5"/>
      <c r="AA19" s="5"/>
      <c r="AB19" s="12">
        <f t="shared" si="3"/>
        <v>30</v>
      </c>
      <c r="AC19" s="5">
        <v>12</v>
      </c>
      <c r="AD19" s="11">
        <f t="shared" si="4"/>
        <v>42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43</v>
      </c>
      <c r="AH19" s="22">
        <f t="shared" si="6"/>
        <v>42</v>
      </c>
      <c r="AI19" s="22">
        <f t="shared" si="7"/>
        <v>85</v>
      </c>
      <c r="AJ19" s="22">
        <f t="shared" si="8"/>
        <v>4</v>
      </c>
      <c r="AK19" s="13"/>
      <c r="AL19" s="13"/>
      <c r="AM19" s="128">
        <v>14</v>
      </c>
      <c r="AN19" s="223" t="s">
        <v>651</v>
      </c>
      <c r="AO19" s="223"/>
      <c r="AP19" s="223"/>
      <c r="AQ19" s="223"/>
      <c r="AR19" s="223"/>
      <c r="AS19" s="223"/>
      <c r="AT19" s="223"/>
      <c r="AU19" s="116" t="s">
        <v>652</v>
      </c>
    </row>
    <row r="20" spans="1:47" ht="21" customHeight="1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128">
        <v>16</v>
      </c>
      <c r="AN20" s="223" t="s">
        <v>653</v>
      </c>
      <c r="AO20" s="223"/>
      <c r="AP20" s="223"/>
      <c r="AQ20" s="223"/>
      <c r="AR20" s="223"/>
      <c r="AS20" s="223"/>
      <c r="AT20" s="223"/>
      <c r="AU20" s="116" t="s">
        <v>654</v>
      </c>
    </row>
    <row r="21" spans="1:47" ht="21" customHeight="1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128"/>
      <c r="AN21" s="223" t="s">
        <v>655</v>
      </c>
      <c r="AO21" s="223"/>
      <c r="AP21" s="223"/>
      <c r="AQ21" s="223"/>
      <c r="AR21" s="223"/>
      <c r="AS21" s="223"/>
      <c r="AT21" s="223"/>
      <c r="AU21" s="116"/>
    </row>
    <row r="22" spans="1:47" ht="24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128">
        <v>17</v>
      </c>
      <c r="AN22" s="223" t="s">
        <v>656</v>
      </c>
      <c r="AO22" s="223"/>
      <c r="AP22" s="223"/>
      <c r="AQ22" s="223"/>
      <c r="AR22" s="223"/>
      <c r="AS22" s="223"/>
      <c r="AT22" s="223"/>
      <c r="AU22" s="116" t="s">
        <v>657</v>
      </c>
    </row>
    <row r="23" spans="1:47" ht="24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128">
        <v>18</v>
      </c>
      <c r="AN23" s="223" t="s">
        <v>658</v>
      </c>
      <c r="AO23" s="223"/>
      <c r="AP23" s="223"/>
      <c r="AQ23" s="223"/>
      <c r="AR23" s="223"/>
      <c r="AS23" s="223"/>
      <c r="AT23" s="223"/>
      <c r="AU23" s="116" t="s">
        <v>659</v>
      </c>
    </row>
    <row r="24" spans="1:47" ht="24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128"/>
      <c r="AN24" s="223" t="s">
        <v>660</v>
      </c>
      <c r="AO24" s="223"/>
      <c r="AP24" s="223"/>
      <c r="AQ24" s="223"/>
      <c r="AR24" s="223"/>
      <c r="AS24" s="223"/>
      <c r="AT24" s="223"/>
      <c r="AU24" s="116"/>
    </row>
    <row r="25" spans="1:47" ht="24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128">
        <v>19</v>
      </c>
      <c r="AN25" s="223" t="s">
        <v>661</v>
      </c>
      <c r="AO25" s="223"/>
      <c r="AP25" s="223"/>
      <c r="AQ25" s="223"/>
      <c r="AR25" s="223"/>
      <c r="AS25" s="223"/>
      <c r="AT25" s="223"/>
      <c r="AU25" s="116" t="s">
        <v>662</v>
      </c>
    </row>
    <row r="26" spans="1:47" ht="24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128">
        <v>20</v>
      </c>
      <c r="AN26" s="223" t="s">
        <v>663</v>
      </c>
      <c r="AO26" s="223"/>
      <c r="AP26" s="223"/>
      <c r="AQ26" s="223"/>
      <c r="AR26" s="223"/>
      <c r="AS26" s="223"/>
      <c r="AT26" s="223"/>
      <c r="AU26" s="116" t="s">
        <v>664</v>
      </c>
    </row>
    <row r="27" spans="1:47" ht="24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66"/>
      <c r="AN27" s="267"/>
      <c r="AO27" s="267"/>
      <c r="AP27" s="267"/>
      <c r="AQ27" s="267"/>
      <c r="AR27" s="267"/>
      <c r="AS27" s="267"/>
      <c r="AT27" s="267"/>
      <c r="AU27" s="268"/>
    </row>
    <row r="28" spans="1:47" ht="24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66"/>
      <c r="AN28" s="267"/>
      <c r="AO28" s="267"/>
      <c r="AP28" s="267"/>
      <c r="AQ28" s="267"/>
      <c r="AR28" s="267"/>
      <c r="AS28" s="267"/>
      <c r="AT28" s="267"/>
      <c r="AU28" s="268"/>
    </row>
    <row r="29" spans="1:47" ht="24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66"/>
      <c r="AN29" s="267"/>
      <c r="AO29" s="267"/>
      <c r="AP29" s="267"/>
      <c r="AQ29" s="267"/>
      <c r="AR29" s="267"/>
      <c r="AS29" s="267"/>
      <c r="AT29" s="267"/>
      <c r="AU29" s="268"/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266"/>
      <c r="AN30" s="267"/>
      <c r="AO30" s="267"/>
      <c r="AP30" s="267"/>
      <c r="AQ30" s="267"/>
      <c r="AR30" s="267"/>
      <c r="AS30" s="267"/>
      <c r="AT30" s="267"/>
      <c r="AU30" s="268"/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266"/>
      <c r="AN31" s="267"/>
      <c r="AO31" s="267"/>
      <c r="AP31" s="267"/>
      <c r="AQ31" s="267"/>
      <c r="AR31" s="267"/>
      <c r="AS31" s="267"/>
      <c r="AT31" s="267"/>
      <c r="AU31" s="268"/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266"/>
      <c r="AN32" s="267"/>
      <c r="AO32" s="267"/>
      <c r="AP32" s="267"/>
      <c r="AQ32" s="267"/>
      <c r="AR32" s="267"/>
      <c r="AS32" s="267"/>
      <c r="AT32" s="267"/>
      <c r="AU32" s="268"/>
    </row>
    <row r="33" spans="1:47" ht="25" thickBot="1" x14ac:dyDescent="0.45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269"/>
      <c r="AN33" s="270"/>
      <c r="AO33" s="270"/>
      <c r="AP33" s="270"/>
      <c r="AQ33" s="270"/>
      <c r="AR33" s="270"/>
      <c r="AS33" s="270"/>
      <c r="AT33" s="270"/>
      <c r="AU33" s="271"/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</row>
    <row r="35" spans="1:47" ht="24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</row>
    <row r="48" spans="1:47" ht="14.25" customHeight="1" x14ac:dyDescent="0.35"/>
    <row r="49" ht="14.25" customHeight="1" x14ac:dyDescent="0.35"/>
    <row r="50" ht="14.25" customHeight="1" x14ac:dyDescent="0.35"/>
  </sheetData>
  <mergeCells count="54">
    <mergeCell ref="R4:AB4"/>
    <mergeCell ref="A4:A6"/>
    <mergeCell ref="C4:M4"/>
    <mergeCell ref="N4:N5"/>
    <mergeCell ref="O4:O5"/>
    <mergeCell ref="P4:P6"/>
    <mergeCell ref="A2:O2"/>
    <mergeCell ref="P2:AD2"/>
    <mergeCell ref="AE2:AL2"/>
    <mergeCell ref="AM2:AU2"/>
    <mergeCell ref="A3:O3"/>
    <mergeCell ref="P3:AD3"/>
    <mergeCell ref="AE3:AL3"/>
    <mergeCell ref="AM3:AU3"/>
    <mergeCell ref="AC4:AC5"/>
    <mergeCell ref="AD4:AD5"/>
    <mergeCell ref="AE4:AE6"/>
    <mergeCell ref="AF4:AF5"/>
    <mergeCell ref="AG4:AG5"/>
    <mergeCell ref="AH4:AH5"/>
    <mergeCell ref="AI4:AI5"/>
    <mergeCell ref="AJ4:AJ6"/>
    <mergeCell ref="AK4:AK6"/>
    <mergeCell ref="AM30:AU30"/>
    <mergeCell ref="AL4:AL6"/>
    <mergeCell ref="AM4:AU4"/>
    <mergeCell ref="AN17:AT17"/>
    <mergeCell ref="AN18:AT18"/>
    <mergeCell ref="AN19:AT19"/>
    <mergeCell ref="AN20:AT20"/>
    <mergeCell ref="AN21:AT21"/>
    <mergeCell ref="AN5:AT5"/>
    <mergeCell ref="AN6:AT6"/>
    <mergeCell ref="AN7:AT7"/>
    <mergeCell ref="AN13:AT13"/>
    <mergeCell ref="AM31:AU31"/>
    <mergeCell ref="AM32:AU32"/>
    <mergeCell ref="AM33:AU33"/>
    <mergeCell ref="AM27:AU27"/>
    <mergeCell ref="AM28:AU28"/>
    <mergeCell ref="AM29:AU29"/>
    <mergeCell ref="AN14:AT14"/>
    <mergeCell ref="AN15:AT15"/>
    <mergeCell ref="AN16:AT16"/>
    <mergeCell ref="AN8:AT8"/>
    <mergeCell ref="AN9:AT9"/>
    <mergeCell ref="AN10:AT10"/>
    <mergeCell ref="AN11:AT11"/>
    <mergeCell ref="AN12:AT12"/>
    <mergeCell ref="AN22:AT22"/>
    <mergeCell ref="AN23:AT23"/>
    <mergeCell ref="AN24:AT24"/>
    <mergeCell ref="AN25:AT25"/>
    <mergeCell ref="AN26:AT26"/>
  </mergeCells>
  <pageMargins left="0.85416666666666663" right="0.17708333333333334" top="0.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U50"/>
  <sheetViews>
    <sheetView tabSelected="1" view="pageLayout" topLeftCell="I1" zoomScaleNormal="100" workbookViewId="0">
      <selection activeCell="AF26" sqref="AF26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53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54</v>
      </c>
      <c r="AL1" s="1">
        <v>55</v>
      </c>
      <c r="AU1" s="1">
        <v>56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315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325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การป้องกันการทุจริต  (ส16201)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การป้องกันการทุจริต  (ส16201)</v>
      </c>
      <c r="AF3" s="246"/>
      <c r="AG3" s="246"/>
      <c r="AH3" s="246"/>
      <c r="AI3" s="246"/>
      <c r="AJ3" s="246"/>
      <c r="AK3" s="246"/>
      <c r="AL3" s="246"/>
      <c r="AM3" s="273" t="s">
        <v>246</v>
      </c>
      <c r="AN3" s="274"/>
      <c r="AO3" s="274"/>
      <c r="AP3" s="274"/>
      <c r="AQ3" s="274"/>
      <c r="AR3" s="274"/>
      <c r="AS3" s="274"/>
      <c r="AT3" s="274"/>
      <c r="AU3" s="275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266"/>
      <c r="AN4" s="267"/>
      <c r="AO4" s="267"/>
      <c r="AP4" s="267"/>
      <c r="AQ4" s="267"/>
      <c r="AR4" s="267"/>
      <c r="AS4" s="267"/>
      <c r="AT4" s="267"/>
      <c r="AU4" s="268"/>
    </row>
    <row r="5" spans="1:47" s="24" customFormat="1" ht="14.25" customHeight="1" x14ac:dyDescent="0.35">
      <c r="A5" s="236"/>
      <c r="B5" s="25" t="s">
        <v>247</v>
      </c>
      <c r="C5" s="112"/>
      <c r="D5" s="112"/>
      <c r="E5" s="112"/>
      <c r="F5" s="112"/>
      <c r="G5" s="15"/>
      <c r="H5" s="15"/>
      <c r="I5" s="15"/>
      <c r="J5" s="15"/>
      <c r="K5" s="15"/>
      <c r="L5" s="15"/>
      <c r="M5" s="17" t="s">
        <v>17</v>
      </c>
      <c r="N5" s="237"/>
      <c r="O5" s="237"/>
      <c r="P5" s="236"/>
      <c r="Q5" s="25" t="s">
        <v>247</v>
      </c>
      <c r="R5" s="112"/>
      <c r="S5" s="112"/>
      <c r="T5" s="112"/>
      <c r="U5" s="112"/>
      <c r="V5" s="112"/>
      <c r="W5" s="15"/>
      <c r="X5" s="15"/>
      <c r="Y5" s="15"/>
      <c r="Z5" s="15"/>
      <c r="AA5" s="15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281" t="s">
        <v>229</v>
      </c>
      <c r="AN5" s="282"/>
      <c r="AO5" s="282"/>
      <c r="AP5" s="282"/>
      <c r="AQ5" s="282"/>
      <c r="AR5" s="282"/>
      <c r="AS5" s="282"/>
      <c r="AT5" s="282"/>
      <c r="AU5" s="283"/>
    </row>
    <row r="6" spans="1:47" ht="21" x14ac:dyDescent="0.35">
      <c r="A6" s="237"/>
      <c r="B6" s="14" t="s">
        <v>16</v>
      </c>
      <c r="C6" s="15">
        <v>10</v>
      </c>
      <c r="D6" s="15">
        <v>10</v>
      </c>
      <c r="E6" s="15">
        <v>10</v>
      </c>
      <c r="F6" s="15"/>
      <c r="G6" s="15"/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10</v>
      </c>
      <c r="S6" s="15">
        <v>10</v>
      </c>
      <c r="T6" s="15">
        <v>10</v>
      </c>
      <c r="U6" s="15"/>
      <c r="V6" s="15"/>
      <c r="W6" s="15"/>
      <c r="X6" s="15"/>
      <c r="Y6" s="15"/>
      <c r="Z6" s="15"/>
      <c r="AA6" s="15"/>
      <c r="AB6" s="17">
        <f>SUM(R6:AA6)</f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278" t="s">
        <v>230</v>
      </c>
      <c r="AN6" s="279"/>
      <c r="AO6" s="279"/>
      <c r="AP6" s="279"/>
      <c r="AQ6" s="279"/>
      <c r="AR6" s="279"/>
      <c r="AS6" s="279"/>
      <c r="AT6" s="279"/>
      <c r="AU6" s="280"/>
    </row>
    <row r="7" spans="1:47" ht="24" x14ac:dyDescent="0.4">
      <c r="A7" s="5">
        <v>1</v>
      </c>
      <c r="B7" s="19" t="str">
        <f>'เวลาเรียน4-16'!B6</f>
        <v>เด็กชายกฤษดา  บัวศรี</v>
      </c>
      <c r="C7" s="5">
        <v>8</v>
      </c>
      <c r="D7" s="5">
        <v>9</v>
      </c>
      <c r="E7" s="5">
        <v>8</v>
      </c>
      <c r="F7" s="5"/>
      <c r="G7" s="5"/>
      <c r="H7" s="5"/>
      <c r="I7" s="5"/>
      <c r="J7" s="5"/>
      <c r="K7" s="5"/>
      <c r="L7" s="5"/>
      <c r="M7" s="12">
        <f t="shared" ref="M7:M19" si="0">SUM(C7:L7)</f>
        <v>25</v>
      </c>
      <c r="N7" s="5">
        <v>10</v>
      </c>
      <c r="O7" s="11">
        <f t="shared" ref="O7:O19" si="1">SUM(M7:N7)</f>
        <v>35</v>
      </c>
      <c r="P7" s="5">
        <v>1</v>
      </c>
      <c r="Q7" s="19" t="str">
        <f t="shared" ref="Q7:Q19" si="2">B7</f>
        <v>เด็กชายกฤษดา  บัวศรี</v>
      </c>
      <c r="R7" s="5">
        <v>8</v>
      </c>
      <c r="S7" s="5">
        <v>9</v>
      </c>
      <c r="T7" s="5">
        <v>8</v>
      </c>
      <c r="U7" s="5"/>
      <c r="V7" s="5"/>
      <c r="W7" s="5"/>
      <c r="X7" s="5"/>
      <c r="Y7" s="5"/>
      <c r="Z7" s="5"/>
      <c r="AA7" s="5"/>
      <c r="AB7" s="12">
        <f t="shared" ref="AB7:AB19" si="3">SUM(R7:AA7)</f>
        <v>25</v>
      </c>
      <c r="AC7" s="5">
        <v>11</v>
      </c>
      <c r="AD7" s="11">
        <f t="shared" ref="AD7:AD19" si="4">SUM(AB7:AC7)</f>
        <v>36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35</v>
      </c>
      <c r="AH7" s="22">
        <f t="shared" ref="AH7:AH19" si="6">AD7</f>
        <v>36</v>
      </c>
      <c r="AI7" s="22">
        <f>SUM(AG7:AH7)</f>
        <v>71</v>
      </c>
      <c r="AJ7" s="22">
        <f>IF(AI7&gt;79,4,IF(AI7&gt;74,3.5,IF(AI7&gt;69,3,IF(AI7&gt;64,2.5,IF(AI7&gt;59,2,IF(AI7&gt;54,1.5,IF(AI7&gt;49,1,IF(AI7&lt;50,0))))))))</f>
        <v>3</v>
      </c>
      <c r="AK7" s="13"/>
      <c r="AL7" s="13"/>
      <c r="AM7" s="278" t="s">
        <v>231</v>
      </c>
      <c r="AN7" s="279"/>
      <c r="AO7" s="279"/>
      <c r="AP7" s="279"/>
      <c r="AQ7" s="279"/>
      <c r="AR7" s="279"/>
      <c r="AS7" s="279"/>
      <c r="AT7" s="279"/>
      <c r="AU7" s="280"/>
    </row>
    <row r="8" spans="1:47" ht="24" x14ac:dyDescent="0.4">
      <c r="A8" s="5">
        <v>2</v>
      </c>
      <c r="B8" s="19" t="str">
        <f>'เวลาเรียน4-16'!B7</f>
        <v>เด็กชายจิรายุ  ดอบุตร</v>
      </c>
      <c r="C8" s="5">
        <v>9</v>
      </c>
      <c r="D8" s="5">
        <v>8</v>
      </c>
      <c r="E8" s="5">
        <v>8</v>
      </c>
      <c r="F8" s="5"/>
      <c r="G8" s="5"/>
      <c r="H8" s="5"/>
      <c r="I8" s="5"/>
      <c r="J8" s="5"/>
      <c r="K8" s="5"/>
      <c r="L8" s="5"/>
      <c r="M8" s="12">
        <f t="shared" si="0"/>
        <v>25</v>
      </c>
      <c r="N8" s="5">
        <v>12</v>
      </c>
      <c r="O8" s="11">
        <f t="shared" si="1"/>
        <v>37</v>
      </c>
      <c r="P8" s="5">
        <v>2</v>
      </c>
      <c r="Q8" s="19" t="str">
        <f t="shared" si="2"/>
        <v>เด็กชายจิรายุ  ดอบุตร</v>
      </c>
      <c r="R8" s="5">
        <v>10</v>
      </c>
      <c r="S8" s="5">
        <v>9</v>
      </c>
      <c r="T8" s="5">
        <v>9</v>
      </c>
      <c r="U8" s="5"/>
      <c r="V8" s="5"/>
      <c r="W8" s="5"/>
      <c r="X8" s="5"/>
      <c r="Y8" s="5"/>
      <c r="Z8" s="5"/>
      <c r="AA8" s="5"/>
      <c r="AB8" s="12">
        <f t="shared" si="3"/>
        <v>28</v>
      </c>
      <c r="AC8" s="5">
        <v>13</v>
      </c>
      <c r="AD8" s="11">
        <f t="shared" si="4"/>
        <v>41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37</v>
      </c>
      <c r="AH8" s="22">
        <f t="shared" si="6"/>
        <v>41</v>
      </c>
      <c r="AI8" s="22">
        <f t="shared" ref="AI8:AI19" si="7">SUM(AG8:AH8)</f>
        <v>78</v>
      </c>
      <c r="AJ8" s="22">
        <f t="shared" ref="AJ8:AJ19" si="8">IF(AI8&gt;79,4,IF(AI8&gt;74,3.5,IF(AI8&gt;69,3,IF(AI8&gt;64,2.5,IF(AI8&gt;59,2,IF(AI8&gt;54,1.5,IF(AI8&gt;49,1,IF(AI8&lt;50,0))))))))</f>
        <v>3.5</v>
      </c>
      <c r="AK8" s="13"/>
      <c r="AL8" s="13"/>
      <c r="AM8" s="281" t="s">
        <v>232</v>
      </c>
      <c r="AN8" s="282"/>
      <c r="AO8" s="282"/>
      <c r="AP8" s="282"/>
      <c r="AQ8" s="282"/>
      <c r="AR8" s="282"/>
      <c r="AS8" s="282"/>
      <c r="AT8" s="282"/>
      <c r="AU8" s="283"/>
    </row>
    <row r="9" spans="1:47" ht="24" x14ac:dyDescent="0.4">
      <c r="A9" s="5">
        <v>3</v>
      </c>
      <c r="B9" s="19" t="str">
        <f>'เวลาเรียน4-16'!B8</f>
        <v>เด็กชายจิรายุ  เนตรสว่าง</v>
      </c>
      <c r="C9" s="5">
        <v>10</v>
      </c>
      <c r="D9" s="5">
        <v>9</v>
      </c>
      <c r="E9" s="5">
        <v>9</v>
      </c>
      <c r="F9" s="5"/>
      <c r="G9" s="5"/>
      <c r="H9" s="5"/>
      <c r="I9" s="5"/>
      <c r="J9" s="5"/>
      <c r="K9" s="5"/>
      <c r="L9" s="5"/>
      <c r="M9" s="12">
        <f t="shared" si="0"/>
        <v>28</v>
      </c>
      <c r="N9" s="5">
        <v>14</v>
      </c>
      <c r="O9" s="11">
        <f t="shared" si="1"/>
        <v>42</v>
      </c>
      <c r="P9" s="5">
        <v>3</v>
      </c>
      <c r="Q9" s="19" t="str">
        <f t="shared" si="2"/>
        <v>เด็กชายจิรายุ  เนตรสว่าง</v>
      </c>
      <c r="R9" s="5">
        <v>10</v>
      </c>
      <c r="S9" s="5">
        <v>10</v>
      </c>
      <c r="T9" s="5">
        <v>10</v>
      </c>
      <c r="U9" s="5"/>
      <c r="V9" s="5"/>
      <c r="W9" s="5"/>
      <c r="X9" s="5"/>
      <c r="Y9" s="5"/>
      <c r="Z9" s="5"/>
      <c r="AA9" s="5"/>
      <c r="AB9" s="12">
        <f t="shared" si="3"/>
        <v>30</v>
      </c>
      <c r="AC9" s="5">
        <v>15</v>
      </c>
      <c r="AD9" s="11">
        <f t="shared" si="4"/>
        <v>45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42</v>
      </c>
      <c r="AH9" s="22">
        <f t="shared" si="6"/>
        <v>45</v>
      </c>
      <c r="AI9" s="22">
        <f t="shared" si="7"/>
        <v>87</v>
      </c>
      <c r="AJ9" s="22">
        <f t="shared" si="8"/>
        <v>4</v>
      </c>
      <c r="AK9" s="13"/>
      <c r="AL9" s="13"/>
      <c r="AM9" s="278" t="s">
        <v>233</v>
      </c>
      <c r="AN9" s="279"/>
      <c r="AO9" s="279"/>
      <c r="AP9" s="279"/>
      <c r="AQ9" s="279"/>
      <c r="AR9" s="279"/>
      <c r="AS9" s="279"/>
      <c r="AT9" s="279"/>
      <c r="AU9" s="280"/>
    </row>
    <row r="10" spans="1:47" ht="24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>
        <v>9</v>
      </c>
      <c r="D10" s="5">
        <v>10</v>
      </c>
      <c r="E10" s="5">
        <v>9</v>
      </c>
      <c r="F10" s="5"/>
      <c r="G10" s="5"/>
      <c r="H10" s="5"/>
      <c r="I10" s="5"/>
      <c r="J10" s="5"/>
      <c r="K10" s="5"/>
      <c r="L10" s="5"/>
      <c r="M10" s="12">
        <f t="shared" si="0"/>
        <v>28</v>
      </c>
      <c r="N10" s="5">
        <v>13</v>
      </c>
      <c r="O10" s="11">
        <f t="shared" si="1"/>
        <v>41</v>
      </c>
      <c r="P10" s="5">
        <v>4</v>
      </c>
      <c r="Q10" s="19" t="str">
        <f t="shared" si="2"/>
        <v>เด็กชายจีรภัทร  คันธมาตย์</v>
      </c>
      <c r="R10" s="5">
        <v>10</v>
      </c>
      <c r="S10" s="5">
        <v>10</v>
      </c>
      <c r="T10" s="5">
        <v>10</v>
      </c>
      <c r="U10" s="5"/>
      <c r="V10" s="5"/>
      <c r="W10" s="5"/>
      <c r="X10" s="5"/>
      <c r="Y10" s="5"/>
      <c r="Z10" s="5"/>
      <c r="AA10" s="5"/>
      <c r="AB10" s="12">
        <f t="shared" si="3"/>
        <v>30</v>
      </c>
      <c r="AC10" s="5">
        <v>16</v>
      </c>
      <c r="AD10" s="11">
        <f t="shared" si="4"/>
        <v>46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41</v>
      </c>
      <c r="AH10" s="22">
        <f t="shared" si="6"/>
        <v>46</v>
      </c>
      <c r="AI10" s="22">
        <f t="shared" si="7"/>
        <v>87</v>
      </c>
      <c r="AJ10" s="22">
        <f t="shared" si="8"/>
        <v>4</v>
      </c>
      <c r="AK10" s="13"/>
      <c r="AL10" s="13"/>
      <c r="AM10" s="278" t="s">
        <v>234</v>
      </c>
      <c r="AN10" s="279"/>
      <c r="AO10" s="279"/>
      <c r="AP10" s="279"/>
      <c r="AQ10" s="279"/>
      <c r="AR10" s="279"/>
      <c r="AS10" s="279"/>
      <c r="AT10" s="279"/>
      <c r="AU10" s="280"/>
    </row>
    <row r="11" spans="1:47" ht="24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>
        <v>9</v>
      </c>
      <c r="D11" s="5">
        <v>10</v>
      </c>
      <c r="E11" s="5">
        <v>9</v>
      </c>
      <c r="F11" s="5"/>
      <c r="G11" s="5"/>
      <c r="H11" s="5"/>
      <c r="I11" s="5"/>
      <c r="J11" s="5"/>
      <c r="K11" s="5"/>
      <c r="L11" s="5"/>
      <c r="M11" s="12">
        <f t="shared" si="0"/>
        <v>28</v>
      </c>
      <c r="N11" s="5">
        <v>15</v>
      </c>
      <c r="O11" s="11">
        <f t="shared" si="1"/>
        <v>43</v>
      </c>
      <c r="P11" s="5">
        <v>5</v>
      </c>
      <c r="Q11" s="19" t="str">
        <f t="shared" si="2"/>
        <v>เด็กชายปรวัฒน์  โพธิ์ศรี</v>
      </c>
      <c r="R11" s="5">
        <v>9</v>
      </c>
      <c r="S11" s="5">
        <v>9</v>
      </c>
      <c r="T11" s="5">
        <v>10</v>
      </c>
      <c r="U11" s="5"/>
      <c r="V11" s="5"/>
      <c r="W11" s="5"/>
      <c r="X11" s="5"/>
      <c r="Y11" s="5"/>
      <c r="Z11" s="5"/>
      <c r="AA11" s="5"/>
      <c r="AB11" s="12">
        <f t="shared" si="3"/>
        <v>28</v>
      </c>
      <c r="AC11" s="5">
        <v>14</v>
      </c>
      <c r="AD11" s="11">
        <f t="shared" si="4"/>
        <v>42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43</v>
      </c>
      <c r="AH11" s="22">
        <f t="shared" si="6"/>
        <v>42</v>
      </c>
      <c r="AI11" s="22">
        <f t="shared" si="7"/>
        <v>85</v>
      </c>
      <c r="AJ11" s="22">
        <f t="shared" si="8"/>
        <v>4</v>
      </c>
      <c r="AK11" s="13"/>
      <c r="AL11" s="13"/>
      <c r="AM11" s="281" t="s">
        <v>235</v>
      </c>
      <c r="AN11" s="282"/>
      <c r="AO11" s="282"/>
      <c r="AP11" s="282"/>
      <c r="AQ11" s="282"/>
      <c r="AR11" s="282"/>
      <c r="AS11" s="282"/>
      <c r="AT11" s="282"/>
      <c r="AU11" s="283"/>
    </row>
    <row r="12" spans="1:47" ht="24" x14ac:dyDescent="0.4">
      <c r="A12" s="5">
        <v>6</v>
      </c>
      <c r="B12" s="19" t="str">
        <f>'เวลาเรียน4-16'!B11</f>
        <v>เด็กชายพีรภาพ  วงคำใหญ่</v>
      </c>
      <c r="C12" s="5">
        <v>10</v>
      </c>
      <c r="D12" s="5">
        <v>10</v>
      </c>
      <c r="E12" s="5">
        <v>10</v>
      </c>
      <c r="F12" s="5"/>
      <c r="G12" s="5"/>
      <c r="H12" s="5"/>
      <c r="I12" s="5"/>
      <c r="J12" s="5"/>
      <c r="K12" s="5"/>
      <c r="L12" s="5"/>
      <c r="M12" s="12">
        <f t="shared" si="0"/>
        <v>30</v>
      </c>
      <c r="N12" s="5">
        <v>16</v>
      </c>
      <c r="O12" s="11">
        <f t="shared" si="1"/>
        <v>46</v>
      </c>
      <c r="P12" s="5">
        <v>6</v>
      </c>
      <c r="Q12" s="19" t="str">
        <f t="shared" si="2"/>
        <v>เด็กชายพีรภาพ  วงคำใหญ่</v>
      </c>
      <c r="R12" s="5">
        <v>10</v>
      </c>
      <c r="S12" s="5">
        <v>10</v>
      </c>
      <c r="T12" s="5">
        <v>10</v>
      </c>
      <c r="U12" s="5"/>
      <c r="V12" s="5"/>
      <c r="W12" s="5"/>
      <c r="X12" s="5"/>
      <c r="Y12" s="5"/>
      <c r="Z12" s="5"/>
      <c r="AA12" s="5"/>
      <c r="AB12" s="12">
        <f t="shared" si="3"/>
        <v>30</v>
      </c>
      <c r="AC12" s="5">
        <v>18</v>
      </c>
      <c r="AD12" s="11">
        <f t="shared" si="4"/>
        <v>48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46</v>
      </c>
      <c r="AH12" s="22">
        <f t="shared" si="6"/>
        <v>48</v>
      </c>
      <c r="AI12" s="22">
        <f t="shared" si="7"/>
        <v>94</v>
      </c>
      <c r="AJ12" s="22">
        <f t="shared" si="8"/>
        <v>4</v>
      </c>
      <c r="AK12" s="13"/>
      <c r="AL12" s="13"/>
      <c r="AM12" s="278" t="s">
        <v>236</v>
      </c>
      <c r="AN12" s="279"/>
      <c r="AO12" s="279"/>
      <c r="AP12" s="279"/>
      <c r="AQ12" s="279"/>
      <c r="AR12" s="279"/>
      <c r="AS12" s="279"/>
      <c r="AT12" s="279"/>
      <c r="AU12" s="280"/>
    </row>
    <row r="13" spans="1:47" ht="24" x14ac:dyDescent="0.4">
      <c r="A13" s="5">
        <v>7</v>
      </c>
      <c r="B13" s="19" t="str">
        <f>'เวลาเรียน4-16'!B12</f>
        <v>เด็กหญิงกมลรัตน์  แสดคง</v>
      </c>
      <c r="C13" s="5">
        <v>10</v>
      </c>
      <c r="D13" s="5">
        <v>10</v>
      </c>
      <c r="E13" s="5">
        <v>10</v>
      </c>
      <c r="F13" s="5"/>
      <c r="G13" s="5"/>
      <c r="H13" s="5"/>
      <c r="I13" s="5"/>
      <c r="J13" s="5"/>
      <c r="K13" s="5"/>
      <c r="L13" s="5"/>
      <c r="M13" s="12">
        <f t="shared" si="0"/>
        <v>30</v>
      </c>
      <c r="N13" s="5">
        <v>15</v>
      </c>
      <c r="O13" s="11">
        <f t="shared" si="1"/>
        <v>45</v>
      </c>
      <c r="P13" s="5">
        <v>7</v>
      </c>
      <c r="Q13" s="19" t="str">
        <f t="shared" si="2"/>
        <v>เด็กหญิงกมลรัตน์  แสดคง</v>
      </c>
      <c r="R13" s="5">
        <v>10</v>
      </c>
      <c r="S13" s="5">
        <v>10</v>
      </c>
      <c r="T13" s="5">
        <v>10</v>
      </c>
      <c r="U13" s="5"/>
      <c r="V13" s="5"/>
      <c r="W13" s="5"/>
      <c r="X13" s="5"/>
      <c r="Y13" s="5"/>
      <c r="Z13" s="5"/>
      <c r="AA13" s="5"/>
      <c r="AB13" s="12">
        <f t="shared" si="3"/>
        <v>30</v>
      </c>
      <c r="AC13" s="5">
        <v>15</v>
      </c>
      <c r="AD13" s="11">
        <f t="shared" si="4"/>
        <v>45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45</v>
      </c>
      <c r="AH13" s="22">
        <f t="shared" si="6"/>
        <v>45</v>
      </c>
      <c r="AI13" s="22">
        <f t="shared" si="7"/>
        <v>90</v>
      </c>
      <c r="AJ13" s="22">
        <f t="shared" si="8"/>
        <v>4</v>
      </c>
      <c r="AK13" s="13"/>
      <c r="AL13" s="13"/>
      <c r="AM13" s="278" t="s">
        <v>237</v>
      </c>
      <c r="AN13" s="279"/>
      <c r="AO13" s="279"/>
      <c r="AP13" s="279"/>
      <c r="AQ13" s="279"/>
      <c r="AR13" s="279"/>
      <c r="AS13" s="279"/>
      <c r="AT13" s="279"/>
      <c r="AU13" s="280"/>
    </row>
    <row r="14" spans="1:47" ht="24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>
        <v>10</v>
      </c>
      <c r="D14" s="5">
        <v>10</v>
      </c>
      <c r="E14" s="5">
        <v>10</v>
      </c>
      <c r="F14" s="5"/>
      <c r="G14" s="5"/>
      <c r="H14" s="5"/>
      <c r="I14" s="5"/>
      <c r="J14" s="5"/>
      <c r="K14" s="5"/>
      <c r="L14" s="5"/>
      <c r="M14" s="12">
        <f t="shared" si="0"/>
        <v>30</v>
      </c>
      <c r="N14" s="5">
        <v>16</v>
      </c>
      <c r="O14" s="11">
        <f t="shared" si="1"/>
        <v>46</v>
      </c>
      <c r="P14" s="5">
        <v>8</v>
      </c>
      <c r="Q14" s="19" t="str">
        <f t="shared" si="2"/>
        <v>เด็กหญิงกัลยรัตน์  ทึงสุข</v>
      </c>
      <c r="R14" s="5">
        <v>10</v>
      </c>
      <c r="S14" s="5">
        <v>10</v>
      </c>
      <c r="T14" s="5">
        <v>10</v>
      </c>
      <c r="U14" s="5"/>
      <c r="V14" s="5"/>
      <c r="W14" s="5"/>
      <c r="X14" s="5"/>
      <c r="Y14" s="5"/>
      <c r="Z14" s="5"/>
      <c r="AA14" s="5"/>
      <c r="AB14" s="12">
        <f t="shared" si="3"/>
        <v>30</v>
      </c>
      <c r="AC14" s="5">
        <v>19</v>
      </c>
      <c r="AD14" s="11">
        <f t="shared" si="4"/>
        <v>49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46</v>
      </c>
      <c r="AH14" s="22">
        <f t="shared" si="6"/>
        <v>49</v>
      </c>
      <c r="AI14" s="22">
        <f t="shared" si="7"/>
        <v>95</v>
      </c>
      <c r="AJ14" s="22">
        <f t="shared" si="8"/>
        <v>4</v>
      </c>
      <c r="AK14" s="13"/>
      <c r="AL14" s="13"/>
      <c r="AM14" s="281" t="s">
        <v>238</v>
      </c>
      <c r="AN14" s="282"/>
      <c r="AO14" s="282"/>
      <c r="AP14" s="282"/>
      <c r="AQ14" s="282"/>
      <c r="AR14" s="282"/>
      <c r="AS14" s="282"/>
      <c r="AT14" s="282"/>
      <c r="AU14" s="283"/>
    </row>
    <row r="15" spans="1:47" ht="24" x14ac:dyDescent="0.4">
      <c r="A15" s="5">
        <v>9</v>
      </c>
      <c r="B15" s="19" t="str">
        <f>'เวลาเรียน4-16'!B14</f>
        <v>เด็กหญิงนิตยา  พละโท</v>
      </c>
      <c r="C15" s="5">
        <v>10</v>
      </c>
      <c r="D15" s="5">
        <v>10</v>
      </c>
      <c r="E15" s="5">
        <v>10</v>
      </c>
      <c r="F15" s="5"/>
      <c r="G15" s="5"/>
      <c r="H15" s="5"/>
      <c r="I15" s="5"/>
      <c r="J15" s="5"/>
      <c r="K15" s="5"/>
      <c r="L15" s="5"/>
      <c r="M15" s="12">
        <f t="shared" si="0"/>
        <v>30</v>
      </c>
      <c r="N15" s="5">
        <v>15</v>
      </c>
      <c r="O15" s="11">
        <f t="shared" si="1"/>
        <v>45</v>
      </c>
      <c r="P15" s="5">
        <v>9</v>
      </c>
      <c r="Q15" s="19" t="str">
        <f t="shared" si="2"/>
        <v>เด็กหญิงนิตยา  พละโท</v>
      </c>
      <c r="R15" s="5">
        <v>10</v>
      </c>
      <c r="S15" s="5">
        <v>10</v>
      </c>
      <c r="T15" s="5">
        <v>10</v>
      </c>
      <c r="U15" s="5"/>
      <c r="V15" s="5"/>
      <c r="W15" s="5"/>
      <c r="X15" s="5"/>
      <c r="Y15" s="5"/>
      <c r="Z15" s="5"/>
      <c r="AA15" s="5"/>
      <c r="AB15" s="12">
        <f t="shared" si="3"/>
        <v>30</v>
      </c>
      <c r="AC15" s="5">
        <v>18</v>
      </c>
      <c r="AD15" s="11">
        <f t="shared" si="4"/>
        <v>48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45</v>
      </c>
      <c r="AH15" s="22">
        <f t="shared" si="6"/>
        <v>48</v>
      </c>
      <c r="AI15" s="22">
        <f t="shared" si="7"/>
        <v>93</v>
      </c>
      <c r="AJ15" s="22">
        <f t="shared" si="8"/>
        <v>4</v>
      </c>
      <c r="AK15" s="13"/>
      <c r="AL15" s="13"/>
      <c r="AM15" s="278" t="s">
        <v>239</v>
      </c>
      <c r="AN15" s="279"/>
      <c r="AO15" s="279"/>
      <c r="AP15" s="279"/>
      <c r="AQ15" s="279"/>
      <c r="AR15" s="279"/>
      <c r="AS15" s="279"/>
      <c r="AT15" s="279"/>
      <c r="AU15" s="280"/>
    </row>
    <row r="16" spans="1:47" ht="24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>
        <v>10</v>
      </c>
      <c r="D16" s="5">
        <v>10</v>
      </c>
      <c r="E16" s="5">
        <v>10</v>
      </c>
      <c r="F16" s="5"/>
      <c r="G16" s="5"/>
      <c r="H16" s="5"/>
      <c r="I16" s="5"/>
      <c r="J16" s="5"/>
      <c r="K16" s="5"/>
      <c r="L16" s="5"/>
      <c r="M16" s="12">
        <f t="shared" si="0"/>
        <v>30</v>
      </c>
      <c r="N16" s="5">
        <v>16</v>
      </c>
      <c r="O16" s="11">
        <f t="shared" si="1"/>
        <v>46</v>
      </c>
      <c r="P16" s="5">
        <v>10</v>
      </c>
      <c r="Q16" s="19" t="str">
        <f t="shared" si="2"/>
        <v>เด็กหญิงบัณฑิตา  เบ้าพงษ์</v>
      </c>
      <c r="R16" s="5">
        <v>9</v>
      </c>
      <c r="S16" s="5">
        <v>10</v>
      </c>
      <c r="T16" s="5">
        <v>9</v>
      </c>
      <c r="U16" s="5"/>
      <c r="V16" s="5"/>
      <c r="W16" s="5"/>
      <c r="X16" s="5"/>
      <c r="Y16" s="5"/>
      <c r="Z16" s="5"/>
      <c r="AA16" s="5"/>
      <c r="AB16" s="12">
        <f t="shared" si="3"/>
        <v>28</v>
      </c>
      <c r="AC16" s="5">
        <v>13</v>
      </c>
      <c r="AD16" s="11">
        <f t="shared" si="4"/>
        <v>41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46</v>
      </c>
      <c r="AH16" s="22">
        <f t="shared" si="6"/>
        <v>41</v>
      </c>
      <c r="AI16" s="22">
        <f t="shared" si="7"/>
        <v>87</v>
      </c>
      <c r="AJ16" s="22">
        <f t="shared" si="8"/>
        <v>4</v>
      </c>
      <c r="AK16" s="13"/>
      <c r="AL16" s="13"/>
      <c r="AM16" s="278" t="s">
        <v>240</v>
      </c>
      <c r="AN16" s="279"/>
      <c r="AO16" s="279"/>
      <c r="AP16" s="279"/>
      <c r="AQ16" s="279"/>
      <c r="AR16" s="279"/>
      <c r="AS16" s="279"/>
      <c r="AT16" s="279"/>
      <c r="AU16" s="280"/>
    </row>
    <row r="17" spans="1:47" ht="24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>
        <v>10</v>
      </c>
      <c r="D17" s="5">
        <v>10</v>
      </c>
      <c r="E17" s="5">
        <v>10</v>
      </c>
      <c r="F17" s="5"/>
      <c r="G17" s="5"/>
      <c r="H17" s="5"/>
      <c r="I17" s="5"/>
      <c r="J17" s="5"/>
      <c r="K17" s="5"/>
      <c r="L17" s="5"/>
      <c r="M17" s="12">
        <f t="shared" si="0"/>
        <v>30</v>
      </c>
      <c r="N17" s="5">
        <v>16</v>
      </c>
      <c r="O17" s="11">
        <f t="shared" si="1"/>
        <v>46</v>
      </c>
      <c r="P17" s="5">
        <v>11</v>
      </c>
      <c r="Q17" s="19" t="str">
        <f t="shared" si="2"/>
        <v>เด็กหญิงพัชรกัญญ์  บาลนาคม</v>
      </c>
      <c r="R17" s="5">
        <v>10</v>
      </c>
      <c r="S17" s="5">
        <v>10</v>
      </c>
      <c r="T17" s="5">
        <v>10</v>
      </c>
      <c r="U17" s="5"/>
      <c r="V17" s="5"/>
      <c r="W17" s="5"/>
      <c r="X17" s="5"/>
      <c r="Y17" s="5"/>
      <c r="Z17" s="5"/>
      <c r="AA17" s="5"/>
      <c r="AB17" s="12">
        <f t="shared" si="3"/>
        <v>30</v>
      </c>
      <c r="AC17" s="5">
        <v>15</v>
      </c>
      <c r="AD17" s="11">
        <f t="shared" si="4"/>
        <v>45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46</v>
      </c>
      <c r="AH17" s="22">
        <f t="shared" si="6"/>
        <v>45</v>
      </c>
      <c r="AI17" s="22">
        <f t="shared" si="7"/>
        <v>91</v>
      </c>
      <c r="AJ17" s="22">
        <f t="shared" si="8"/>
        <v>4</v>
      </c>
      <c r="AK17" s="13"/>
      <c r="AL17" s="13"/>
      <c r="AM17" s="278" t="s">
        <v>241</v>
      </c>
      <c r="AN17" s="279"/>
      <c r="AO17" s="279"/>
      <c r="AP17" s="279"/>
      <c r="AQ17" s="279"/>
      <c r="AR17" s="279"/>
      <c r="AS17" s="279"/>
      <c r="AT17" s="279"/>
      <c r="AU17" s="280"/>
    </row>
    <row r="18" spans="1:47" ht="24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>
        <v>9</v>
      </c>
      <c r="D18" s="5">
        <v>9</v>
      </c>
      <c r="E18" s="5">
        <v>10</v>
      </c>
      <c r="F18" s="5"/>
      <c r="G18" s="5"/>
      <c r="H18" s="5"/>
      <c r="I18" s="5"/>
      <c r="J18" s="5"/>
      <c r="K18" s="5"/>
      <c r="L18" s="5"/>
      <c r="M18" s="12">
        <f t="shared" si="0"/>
        <v>28</v>
      </c>
      <c r="N18" s="5">
        <v>12</v>
      </c>
      <c r="O18" s="11">
        <f t="shared" si="1"/>
        <v>40</v>
      </c>
      <c r="P18" s="5">
        <v>12</v>
      </c>
      <c r="Q18" s="19" t="str">
        <f t="shared" si="2"/>
        <v>เด็กหญิงสุวิชาดา  ชูจิตร</v>
      </c>
      <c r="R18" s="5">
        <v>9</v>
      </c>
      <c r="S18" s="5">
        <v>10</v>
      </c>
      <c r="T18" s="5">
        <v>9</v>
      </c>
      <c r="U18" s="5"/>
      <c r="V18" s="5"/>
      <c r="W18" s="5"/>
      <c r="X18" s="5"/>
      <c r="Y18" s="5"/>
      <c r="Z18" s="5"/>
      <c r="AA18" s="5"/>
      <c r="AB18" s="12">
        <f t="shared" si="3"/>
        <v>28</v>
      </c>
      <c r="AC18" s="5">
        <v>16</v>
      </c>
      <c r="AD18" s="11">
        <f t="shared" si="4"/>
        <v>44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40</v>
      </c>
      <c r="AH18" s="22">
        <f t="shared" si="6"/>
        <v>44</v>
      </c>
      <c r="AI18" s="22">
        <f t="shared" si="7"/>
        <v>84</v>
      </c>
      <c r="AJ18" s="22">
        <f t="shared" si="8"/>
        <v>4</v>
      </c>
      <c r="AK18" s="13"/>
      <c r="AL18" s="13"/>
      <c r="AM18" s="266"/>
      <c r="AN18" s="267"/>
      <c r="AO18" s="267"/>
      <c r="AP18" s="267"/>
      <c r="AQ18" s="267"/>
      <c r="AR18" s="267"/>
      <c r="AS18" s="267"/>
      <c r="AT18" s="267"/>
      <c r="AU18" s="268"/>
    </row>
    <row r="19" spans="1:47" ht="24" x14ac:dyDescent="0.4">
      <c r="A19" s="5">
        <v>13</v>
      </c>
      <c r="B19" s="19" t="str">
        <f>'เวลาเรียน4-16'!B18</f>
        <v>เด็กหญิงปุญญิศา  อุปทุม</v>
      </c>
      <c r="C19" s="5">
        <v>10</v>
      </c>
      <c r="D19" s="5">
        <v>10</v>
      </c>
      <c r="E19" s="5">
        <v>10</v>
      </c>
      <c r="F19" s="5"/>
      <c r="G19" s="5"/>
      <c r="H19" s="5"/>
      <c r="I19" s="5"/>
      <c r="J19" s="5"/>
      <c r="K19" s="5"/>
      <c r="L19" s="5"/>
      <c r="M19" s="12">
        <f t="shared" si="0"/>
        <v>30</v>
      </c>
      <c r="N19" s="5">
        <v>18</v>
      </c>
      <c r="O19" s="11">
        <f t="shared" si="1"/>
        <v>48</v>
      </c>
      <c r="P19" s="5">
        <v>13</v>
      </c>
      <c r="Q19" s="19" t="str">
        <f t="shared" si="2"/>
        <v>เด็กหญิงปุญญิศา  อุปทุม</v>
      </c>
      <c r="R19" s="5">
        <v>10</v>
      </c>
      <c r="S19" s="5">
        <v>10</v>
      </c>
      <c r="T19" s="5">
        <v>10</v>
      </c>
      <c r="U19" s="5"/>
      <c r="V19" s="5"/>
      <c r="W19" s="5"/>
      <c r="X19" s="5"/>
      <c r="Y19" s="5"/>
      <c r="Z19" s="5"/>
      <c r="AA19" s="5"/>
      <c r="AB19" s="12">
        <f t="shared" si="3"/>
        <v>30</v>
      </c>
      <c r="AC19" s="5">
        <v>17</v>
      </c>
      <c r="AD19" s="11">
        <f t="shared" si="4"/>
        <v>47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48</v>
      </c>
      <c r="AH19" s="22">
        <f t="shared" si="6"/>
        <v>47</v>
      </c>
      <c r="AI19" s="22">
        <f t="shared" si="7"/>
        <v>95</v>
      </c>
      <c r="AJ19" s="22">
        <f t="shared" si="8"/>
        <v>4</v>
      </c>
      <c r="AK19" s="13"/>
      <c r="AL19" s="13"/>
      <c r="AM19" s="266"/>
      <c r="AN19" s="267"/>
      <c r="AO19" s="267"/>
      <c r="AP19" s="267"/>
      <c r="AQ19" s="267"/>
      <c r="AR19" s="267"/>
      <c r="AS19" s="267"/>
      <c r="AT19" s="267"/>
      <c r="AU19" s="268"/>
    </row>
    <row r="20" spans="1:47" ht="24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266"/>
      <c r="AN20" s="267"/>
      <c r="AO20" s="267"/>
      <c r="AP20" s="267"/>
      <c r="AQ20" s="267"/>
      <c r="AR20" s="267"/>
      <c r="AS20" s="267"/>
      <c r="AT20" s="267"/>
      <c r="AU20" s="268"/>
    </row>
    <row r="21" spans="1:47" ht="24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266"/>
      <c r="AN21" s="267"/>
      <c r="AO21" s="267"/>
      <c r="AP21" s="267"/>
      <c r="AQ21" s="267"/>
      <c r="AR21" s="267"/>
      <c r="AS21" s="267"/>
      <c r="AT21" s="267"/>
      <c r="AU21" s="268"/>
    </row>
    <row r="22" spans="1:47" ht="24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266"/>
      <c r="AN22" s="267"/>
      <c r="AO22" s="267"/>
      <c r="AP22" s="267"/>
      <c r="AQ22" s="267"/>
      <c r="AR22" s="267"/>
      <c r="AS22" s="267"/>
      <c r="AT22" s="267"/>
      <c r="AU22" s="268"/>
    </row>
    <row r="23" spans="1:47" ht="24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266"/>
      <c r="AN23" s="267"/>
      <c r="AO23" s="267"/>
      <c r="AP23" s="267"/>
      <c r="AQ23" s="267"/>
      <c r="AR23" s="267"/>
      <c r="AS23" s="267"/>
      <c r="AT23" s="267"/>
      <c r="AU23" s="268"/>
    </row>
    <row r="24" spans="1:47" ht="24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266"/>
      <c r="AN24" s="267"/>
      <c r="AO24" s="267"/>
      <c r="AP24" s="267"/>
      <c r="AQ24" s="267"/>
      <c r="AR24" s="267"/>
      <c r="AS24" s="267"/>
      <c r="AT24" s="267"/>
      <c r="AU24" s="268"/>
    </row>
    <row r="25" spans="1:47" ht="24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266"/>
      <c r="AN25" s="267"/>
      <c r="AO25" s="267"/>
      <c r="AP25" s="267"/>
      <c r="AQ25" s="267"/>
      <c r="AR25" s="267"/>
      <c r="AS25" s="267"/>
      <c r="AT25" s="267"/>
      <c r="AU25" s="268"/>
    </row>
    <row r="26" spans="1:47" ht="24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266"/>
      <c r="AN26" s="267"/>
      <c r="AO26" s="267"/>
      <c r="AP26" s="267"/>
      <c r="AQ26" s="267"/>
      <c r="AR26" s="267"/>
      <c r="AS26" s="267"/>
      <c r="AT26" s="267"/>
      <c r="AU26" s="268"/>
    </row>
    <row r="27" spans="1:47" ht="24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66"/>
      <c r="AN27" s="267"/>
      <c r="AO27" s="267"/>
      <c r="AP27" s="267"/>
      <c r="AQ27" s="267"/>
      <c r="AR27" s="267"/>
      <c r="AS27" s="267"/>
      <c r="AT27" s="267"/>
      <c r="AU27" s="268"/>
    </row>
    <row r="28" spans="1:47" ht="24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66"/>
      <c r="AN28" s="267"/>
      <c r="AO28" s="267"/>
      <c r="AP28" s="267"/>
      <c r="AQ28" s="267"/>
      <c r="AR28" s="267"/>
      <c r="AS28" s="267"/>
      <c r="AT28" s="267"/>
      <c r="AU28" s="268"/>
    </row>
    <row r="29" spans="1:47" ht="24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66"/>
      <c r="AN29" s="267"/>
      <c r="AO29" s="267"/>
      <c r="AP29" s="267"/>
      <c r="AQ29" s="267"/>
      <c r="AR29" s="267"/>
      <c r="AS29" s="267"/>
      <c r="AT29" s="267"/>
      <c r="AU29" s="268"/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266"/>
      <c r="AN30" s="267"/>
      <c r="AO30" s="267"/>
      <c r="AP30" s="267"/>
      <c r="AQ30" s="267"/>
      <c r="AR30" s="267"/>
      <c r="AS30" s="267"/>
      <c r="AT30" s="267"/>
      <c r="AU30" s="268"/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266"/>
      <c r="AN31" s="267"/>
      <c r="AO31" s="267"/>
      <c r="AP31" s="267"/>
      <c r="AQ31" s="267"/>
      <c r="AR31" s="267"/>
      <c r="AS31" s="267"/>
      <c r="AT31" s="267"/>
      <c r="AU31" s="268"/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266"/>
      <c r="AN32" s="267"/>
      <c r="AO32" s="267"/>
      <c r="AP32" s="267"/>
      <c r="AQ32" s="267"/>
      <c r="AR32" s="267"/>
      <c r="AS32" s="267"/>
      <c r="AT32" s="267"/>
      <c r="AU32" s="268"/>
    </row>
    <row r="33" spans="1:47" ht="24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266"/>
      <c r="AN33" s="267"/>
      <c r="AO33" s="267"/>
      <c r="AP33" s="267"/>
      <c r="AQ33" s="267"/>
      <c r="AR33" s="267"/>
      <c r="AS33" s="267"/>
      <c r="AT33" s="267"/>
      <c r="AU33" s="268"/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266"/>
      <c r="AN34" s="267"/>
      <c r="AO34" s="267"/>
      <c r="AP34" s="267"/>
      <c r="AQ34" s="267"/>
      <c r="AR34" s="267"/>
      <c r="AS34" s="267"/>
      <c r="AT34" s="267"/>
      <c r="AU34" s="268"/>
    </row>
    <row r="35" spans="1:47" ht="24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266"/>
      <c r="AN35" s="267"/>
      <c r="AO35" s="267"/>
      <c r="AP35" s="267"/>
      <c r="AQ35" s="267"/>
      <c r="AR35" s="267"/>
      <c r="AS35" s="267"/>
      <c r="AT35" s="267"/>
      <c r="AU35" s="268"/>
    </row>
    <row r="36" spans="1:47" ht="20" thickBot="1" x14ac:dyDescent="0.4">
      <c r="AM36" s="269"/>
      <c r="AN36" s="270"/>
      <c r="AO36" s="270"/>
      <c r="AP36" s="270"/>
      <c r="AQ36" s="270"/>
      <c r="AR36" s="270"/>
      <c r="AS36" s="270"/>
      <c r="AT36" s="270"/>
      <c r="AU36" s="271"/>
    </row>
    <row r="48" spans="1:47" ht="14.25" customHeight="1" x14ac:dyDescent="0.35"/>
    <row r="49" ht="14.25" customHeight="1" x14ac:dyDescent="0.35"/>
    <row r="50" ht="14.25" customHeight="1" x14ac:dyDescent="0.35"/>
  </sheetData>
  <mergeCells count="57">
    <mergeCell ref="AL4:AL6"/>
    <mergeCell ref="A2:O2"/>
    <mergeCell ref="P2:AD2"/>
    <mergeCell ref="AE2:AL2"/>
    <mergeCell ref="A4:A6"/>
    <mergeCell ref="C4:M4"/>
    <mergeCell ref="N4:N5"/>
    <mergeCell ref="O4:O5"/>
    <mergeCell ref="P4:P6"/>
    <mergeCell ref="R4:AB4"/>
    <mergeCell ref="AH4:AH5"/>
    <mergeCell ref="AC4:AC5"/>
    <mergeCell ref="AD4:AD5"/>
    <mergeCell ref="AE4:AE6"/>
    <mergeCell ref="AF4:AF5"/>
    <mergeCell ref="AG4:AG5"/>
    <mergeCell ref="AM2:AU2"/>
    <mergeCell ref="A3:O3"/>
    <mergeCell ref="P3:AD3"/>
    <mergeCell ref="AE3:AL3"/>
    <mergeCell ref="AM3:AU3"/>
    <mergeCell ref="AM10:AU10"/>
    <mergeCell ref="AM11:AU11"/>
    <mergeCell ref="AM12:AU12"/>
    <mergeCell ref="AM13:AU13"/>
    <mergeCell ref="AM14:AU14"/>
    <mergeCell ref="AM5:AU5"/>
    <mergeCell ref="AM6:AU6"/>
    <mergeCell ref="AM7:AU7"/>
    <mergeCell ref="AM8:AU8"/>
    <mergeCell ref="AM9:AU9"/>
    <mergeCell ref="AI4:AI5"/>
    <mergeCell ref="AJ4:AJ6"/>
    <mergeCell ref="AK4:AK6"/>
    <mergeCell ref="AM26:AU26"/>
    <mergeCell ref="AM16:AU16"/>
    <mergeCell ref="AM17:AU17"/>
    <mergeCell ref="AM18:AU18"/>
    <mergeCell ref="AM19:AU19"/>
    <mergeCell ref="AM20:AU20"/>
    <mergeCell ref="AM21:AU21"/>
    <mergeCell ref="AM22:AU22"/>
    <mergeCell ref="AM23:AU23"/>
    <mergeCell ref="AM24:AU24"/>
    <mergeCell ref="AM25:AU25"/>
    <mergeCell ref="AM15:AU15"/>
    <mergeCell ref="AM4:AU4"/>
    <mergeCell ref="AM33:AU33"/>
    <mergeCell ref="AM34:AU34"/>
    <mergeCell ref="AM35:AU35"/>
    <mergeCell ref="AM36:AU36"/>
    <mergeCell ref="AM27:AU27"/>
    <mergeCell ref="AM28:AU28"/>
    <mergeCell ref="AM29:AU29"/>
    <mergeCell ref="AM30:AU30"/>
    <mergeCell ref="AM31:AU31"/>
    <mergeCell ref="AM32:AU32"/>
  </mergeCells>
  <pageMargins left="0.85416666666666663" right="0.17708333333333334" top="0.46875" bottom="0.75" header="0.3" footer="0.3"/>
  <pageSetup paperSize="9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CDA9-E420-4B05-992B-DB48DFC5D8A6}">
  <sheetPr>
    <tabColor rgb="FF00B050"/>
  </sheetPr>
  <dimension ref="A1:AU50"/>
  <sheetViews>
    <sheetView view="pageLayout" topLeftCell="A3" zoomScaleNormal="100" workbookViewId="0">
      <selection activeCell="X24" sqref="X24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53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54</v>
      </c>
      <c r="AL1" s="1">
        <v>55</v>
      </c>
      <c r="AU1" s="1">
        <v>56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315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670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คอมพิวเตอร์  (ว16201)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คอมพิวเตอร์  (ว16201)</v>
      </c>
      <c r="AF3" s="246"/>
      <c r="AG3" s="246"/>
      <c r="AH3" s="246"/>
      <c r="AI3" s="246"/>
      <c r="AJ3" s="246"/>
      <c r="AK3" s="246"/>
      <c r="AL3" s="246"/>
      <c r="AM3" s="273" t="s">
        <v>246</v>
      </c>
      <c r="AN3" s="274"/>
      <c r="AO3" s="274"/>
      <c r="AP3" s="274"/>
      <c r="AQ3" s="274"/>
      <c r="AR3" s="274"/>
      <c r="AS3" s="274"/>
      <c r="AT3" s="274"/>
      <c r="AU3" s="275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266"/>
      <c r="AN4" s="267"/>
      <c r="AO4" s="267"/>
      <c r="AP4" s="267"/>
      <c r="AQ4" s="267"/>
      <c r="AR4" s="267"/>
      <c r="AS4" s="267"/>
      <c r="AT4" s="267"/>
      <c r="AU4" s="268"/>
    </row>
    <row r="5" spans="1:47" s="24" customFormat="1" ht="14.25" customHeight="1" x14ac:dyDescent="0.35">
      <c r="A5" s="236"/>
      <c r="B5" s="25" t="s">
        <v>247</v>
      </c>
      <c r="C5" s="112"/>
      <c r="D5" s="112"/>
      <c r="E5" s="112"/>
      <c r="F5" s="112"/>
      <c r="G5" s="15"/>
      <c r="H5" s="15"/>
      <c r="I5" s="15"/>
      <c r="J5" s="15"/>
      <c r="K5" s="15"/>
      <c r="L5" s="15"/>
      <c r="M5" s="17" t="s">
        <v>17</v>
      </c>
      <c r="N5" s="237"/>
      <c r="O5" s="237"/>
      <c r="P5" s="236"/>
      <c r="Q5" s="25" t="s">
        <v>247</v>
      </c>
      <c r="R5" s="112"/>
      <c r="S5" s="112"/>
      <c r="T5" s="112"/>
      <c r="U5" s="112"/>
      <c r="V5" s="112"/>
      <c r="W5" s="15"/>
      <c r="X5" s="15"/>
      <c r="Y5" s="15"/>
      <c r="Z5" s="15"/>
      <c r="AA5" s="15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281" t="s">
        <v>229</v>
      </c>
      <c r="AN5" s="282"/>
      <c r="AO5" s="282"/>
      <c r="AP5" s="282"/>
      <c r="AQ5" s="282"/>
      <c r="AR5" s="282"/>
      <c r="AS5" s="282"/>
      <c r="AT5" s="282"/>
      <c r="AU5" s="283"/>
    </row>
    <row r="6" spans="1:47" ht="21" x14ac:dyDescent="0.35">
      <c r="A6" s="237"/>
      <c r="B6" s="14" t="s">
        <v>16</v>
      </c>
      <c r="C6" s="15">
        <v>20</v>
      </c>
      <c r="D6" s="15">
        <v>10</v>
      </c>
      <c r="E6" s="15"/>
      <c r="F6" s="15"/>
      <c r="G6" s="15"/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10</v>
      </c>
      <c r="S6" s="15">
        <v>10</v>
      </c>
      <c r="T6" s="15">
        <v>10</v>
      </c>
      <c r="U6" s="15"/>
      <c r="V6" s="15"/>
      <c r="W6" s="15"/>
      <c r="X6" s="15"/>
      <c r="Y6" s="15"/>
      <c r="Z6" s="15"/>
      <c r="AA6" s="15"/>
      <c r="AB6" s="17">
        <f>SUM(R6:AA6)</f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278" t="s">
        <v>230</v>
      </c>
      <c r="AN6" s="279"/>
      <c r="AO6" s="279"/>
      <c r="AP6" s="279"/>
      <c r="AQ6" s="279"/>
      <c r="AR6" s="279"/>
      <c r="AS6" s="279"/>
      <c r="AT6" s="279"/>
      <c r="AU6" s="280"/>
    </row>
    <row r="7" spans="1:47" ht="24" x14ac:dyDescent="0.4">
      <c r="A7" s="5">
        <v>1</v>
      </c>
      <c r="B7" s="19" t="str">
        <f>'เวลาเรียน4-16'!B6</f>
        <v>เด็กชายกฤษดา  บัวศรี</v>
      </c>
      <c r="C7" s="5">
        <v>17</v>
      </c>
      <c r="D7" s="5">
        <v>10</v>
      </c>
      <c r="E7" s="5"/>
      <c r="F7" s="5"/>
      <c r="G7" s="5"/>
      <c r="H7" s="5"/>
      <c r="I7" s="5"/>
      <c r="J7" s="5"/>
      <c r="K7" s="5"/>
      <c r="L7" s="5"/>
      <c r="M7" s="12">
        <f t="shared" ref="M7:M19" si="0">SUM(C7:L7)</f>
        <v>27</v>
      </c>
      <c r="N7" s="5">
        <v>16</v>
      </c>
      <c r="O7" s="11">
        <f t="shared" ref="O7:O19" si="1">SUM(M7:N7)</f>
        <v>43</v>
      </c>
      <c r="P7" s="5">
        <v>1</v>
      </c>
      <c r="Q7" s="19" t="str">
        <f t="shared" ref="Q7:Q19" si="2">B7</f>
        <v>เด็กชายกฤษดา  บัวศรี</v>
      </c>
      <c r="R7" s="5">
        <v>9</v>
      </c>
      <c r="S7" s="5">
        <v>8</v>
      </c>
      <c r="T7" s="5">
        <v>9</v>
      </c>
      <c r="U7" s="5"/>
      <c r="V7" s="5"/>
      <c r="W7" s="5"/>
      <c r="X7" s="5"/>
      <c r="Y7" s="5"/>
      <c r="Z7" s="5"/>
      <c r="AA7" s="5"/>
      <c r="AB7" s="12">
        <f t="shared" ref="AB7:AB19" si="3">SUM(R7:AA7)</f>
        <v>26</v>
      </c>
      <c r="AC7" s="5">
        <v>16</v>
      </c>
      <c r="AD7" s="11">
        <f t="shared" ref="AD7:AD19" si="4">SUM(AB7:AC7)</f>
        <v>42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43</v>
      </c>
      <c r="AH7" s="22">
        <f t="shared" ref="AH7:AH19" si="6">AD7</f>
        <v>42</v>
      </c>
      <c r="AI7" s="22">
        <f>SUM(AG7:AH7)</f>
        <v>85</v>
      </c>
      <c r="AJ7" s="22">
        <f>IF(AI7&gt;79,4,IF(AI7&gt;74,3.5,IF(AI7&gt;69,3,IF(AI7&gt;64,2.5,IF(AI7&gt;59,2,IF(AI7&gt;54,1.5,IF(AI7&gt;49,1,IF(AI7&lt;50,0))))))))</f>
        <v>4</v>
      </c>
      <c r="AK7" s="13"/>
      <c r="AL7" s="13"/>
      <c r="AM7" s="278" t="s">
        <v>231</v>
      </c>
      <c r="AN7" s="279"/>
      <c r="AO7" s="279"/>
      <c r="AP7" s="279"/>
      <c r="AQ7" s="279"/>
      <c r="AR7" s="279"/>
      <c r="AS7" s="279"/>
      <c r="AT7" s="279"/>
      <c r="AU7" s="280"/>
    </row>
    <row r="8" spans="1:47" ht="24" x14ac:dyDescent="0.4">
      <c r="A8" s="5">
        <v>2</v>
      </c>
      <c r="B8" s="19" t="str">
        <f>'เวลาเรียน4-16'!B7</f>
        <v>เด็กชายจิรายุ  ดอบุตร</v>
      </c>
      <c r="C8" s="5">
        <v>17</v>
      </c>
      <c r="D8" s="5">
        <v>10</v>
      </c>
      <c r="E8" s="5"/>
      <c r="F8" s="5"/>
      <c r="G8" s="5"/>
      <c r="H8" s="5"/>
      <c r="I8" s="5"/>
      <c r="J8" s="5"/>
      <c r="K8" s="5"/>
      <c r="L8" s="5"/>
      <c r="M8" s="12">
        <f t="shared" si="0"/>
        <v>27</v>
      </c>
      <c r="N8" s="5">
        <v>15</v>
      </c>
      <c r="O8" s="11">
        <f t="shared" si="1"/>
        <v>42</v>
      </c>
      <c r="P8" s="5">
        <v>2</v>
      </c>
      <c r="Q8" s="19" t="str">
        <f t="shared" si="2"/>
        <v>เด็กชายจิรายุ  ดอบุตร</v>
      </c>
      <c r="R8" s="5">
        <v>7</v>
      </c>
      <c r="S8" s="5">
        <v>8</v>
      </c>
      <c r="T8" s="5">
        <v>9</v>
      </c>
      <c r="U8" s="5"/>
      <c r="V8" s="5"/>
      <c r="W8" s="5"/>
      <c r="X8" s="5"/>
      <c r="Y8" s="5"/>
      <c r="Z8" s="5"/>
      <c r="AA8" s="5"/>
      <c r="AB8" s="12">
        <f t="shared" si="3"/>
        <v>24</v>
      </c>
      <c r="AC8" s="5">
        <v>17</v>
      </c>
      <c r="AD8" s="11">
        <f t="shared" si="4"/>
        <v>41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42</v>
      </c>
      <c r="AH8" s="22">
        <f t="shared" si="6"/>
        <v>41</v>
      </c>
      <c r="AI8" s="22">
        <f t="shared" ref="AI8:AI19" si="7">SUM(AG8:AH8)</f>
        <v>83</v>
      </c>
      <c r="AJ8" s="22">
        <f t="shared" ref="AJ8:AJ19" si="8">IF(AI8&gt;79,4,IF(AI8&gt;74,3.5,IF(AI8&gt;69,3,IF(AI8&gt;64,2.5,IF(AI8&gt;59,2,IF(AI8&gt;54,1.5,IF(AI8&gt;49,1,IF(AI8&lt;50,0))))))))</f>
        <v>4</v>
      </c>
      <c r="AK8" s="13"/>
      <c r="AL8" s="13"/>
      <c r="AM8" s="281" t="s">
        <v>232</v>
      </c>
      <c r="AN8" s="282"/>
      <c r="AO8" s="282"/>
      <c r="AP8" s="282"/>
      <c r="AQ8" s="282"/>
      <c r="AR8" s="282"/>
      <c r="AS8" s="282"/>
      <c r="AT8" s="282"/>
      <c r="AU8" s="283"/>
    </row>
    <row r="9" spans="1:47" ht="24" x14ac:dyDescent="0.4">
      <c r="A9" s="5">
        <v>3</v>
      </c>
      <c r="B9" s="19" t="str">
        <f>'เวลาเรียน4-16'!B8</f>
        <v>เด็กชายจิรายุ  เนตรสว่าง</v>
      </c>
      <c r="C9" s="5">
        <v>17</v>
      </c>
      <c r="D9" s="5">
        <v>10</v>
      </c>
      <c r="E9" s="5"/>
      <c r="F9" s="5"/>
      <c r="G9" s="5"/>
      <c r="H9" s="5"/>
      <c r="I9" s="5"/>
      <c r="J9" s="5"/>
      <c r="K9" s="5"/>
      <c r="L9" s="5"/>
      <c r="M9" s="12">
        <f t="shared" si="0"/>
        <v>27</v>
      </c>
      <c r="N9" s="5">
        <v>17</v>
      </c>
      <c r="O9" s="11">
        <f t="shared" si="1"/>
        <v>44</v>
      </c>
      <c r="P9" s="5">
        <v>3</v>
      </c>
      <c r="Q9" s="19" t="str">
        <f t="shared" si="2"/>
        <v>เด็กชายจิรายุ  เนตรสว่าง</v>
      </c>
      <c r="R9" s="5">
        <v>9</v>
      </c>
      <c r="S9" s="5">
        <v>8</v>
      </c>
      <c r="T9" s="5">
        <v>9</v>
      </c>
      <c r="U9" s="5"/>
      <c r="V9" s="5"/>
      <c r="W9" s="5"/>
      <c r="X9" s="5"/>
      <c r="Y9" s="5"/>
      <c r="Z9" s="5"/>
      <c r="AA9" s="5"/>
      <c r="AB9" s="12">
        <f t="shared" si="3"/>
        <v>26</v>
      </c>
      <c r="AC9" s="5">
        <v>18</v>
      </c>
      <c r="AD9" s="11">
        <f t="shared" si="4"/>
        <v>44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44</v>
      </c>
      <c r="AH9" s="22">
        <f t="shared" si="6"/>
        <v>44</v>
      </c>
      <c r="AI9" s="22">
        <f t="shared" si="7"/>
        <v>88</v>
      </c>
      <c r="AJ9" s="22">
        <f t="shared" si="8"/>
        <v>4</v>
      </c>
      <c r="AK9" s="13"/>
      <c r="AL9" s="13"/>
      <c r="AM9" s="278" t="s">
        <v>233</v>
      </c>
      <c r="AN9" s="279"/>
      <c r="AO9" s="279"/>
      <c r="AP9" s="279"/>
      <c r="AQ9" s="279"/>
      <c r="AR9" s="279"/>
      <c r="AS9" s="279"/>
      <c r="AT9" s="279"/>
      <c r="AU9" s="280"/>
    </row>
    <row r="10" spans="1:47" ht="24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>
        <v>17</v>
      </c>
      <c r="D10" s="5">
        <v>5</v>
      </c>
      <c r="E10" s="5"/>
      <c r="F10" s="5"/>
      <c r="G10" s="5"/>
      <c r="H10" s="5"/>
      <c r="I10" s="5"/>
      <c r="J10" s="5"/>
      <c r="K10" s="5"/>
      <c r="L10" s="5"/>
      <c r="M10" s="12">
        <f t="shared" si="0"/>
        <v>22</v>
      </c>
      <c r="N10" s="5">
        <v>16</v>
      </c>
      <c r="O10" s="11">
        <f t="shared" si="1"/>
        <v>38</v>
      </c>
      <c r="P10" s="5">
        <v>4</v>
      </c>
      <c r="Q10" s="19" t="str">
        <f t="shared" si="2"/>
        <v>เด็กชายจีรภัทร  คันธมาตย์</v>
      </c>
      <c r="R10" s="5">
        <v>8</v>
      </c>
      <c r="S10" s="5">
        <v>8</v>
      </c>
      <c r="T10" s="5">
        <v>9</v>
      </c>
      <c r="U10" s="5"/>
      <c r="V10" s="5"/>
      <c r="W10" s="5"/>
      <c r="X10" s="5"/>
      <c r="Y10" s="5"/>
      <c r="Z10" s="5"/>
      <c r="AA10" s="5"/>
      <c r="AB10" s="12">
        <f t="shared" si="3"/>
        <v>25</v>
      </c>
      <c r="AC10" s="5">
        <v>17</v>
      </c>
      <c r="AD10" s="11">
        <f t="shared" si="4"/>
        <v>42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38</v>
      </c>
      <c r="AH10" s="22">
        <f t="shared" si="6"/>
        <v>42</v>
      </c>
      <c r="AI10" s="22">
        <f t="shared" si="7"/>
        <v>80</v>
      </c>
      <c r="AJ10" s="22">
        <f t="shared" si="8"/>
        <v>4</v>
      </c>
      <c r="AK10" s="13"/>
      <c r="AL10" s="13"/>
      <c r="AM10" s="278" t="s">
        <v>234</v>
      </c>
      <c r="AN10" s="279"/>
      <c r="AO10" s="279"/>
      <c r="AP10" s="279"/>
      <c r="AQ10" s="279"/>
      <c r="AR10" s="279"/>
      <c r="AS10" s="279"/>
      <c r="AT10" s="279"/>
      <c r="AU10" s="280"/>
    </row>
    <row r="11" spans="1:47" ht="24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>
        <v>17</v>
      </c>
      <c r="D11" s="5">
        <v>7</v>
      </c>
      <c r="E11" s="5"/>
      <c r="F11" s="5"/>
      <c r="G11" s="5"/>
      <c r="H11" s="5"/>
      <c r="I11" s="5"/>
      <c r="J11" s="5"/>
      <c r="K11" s="5"/>
      <c r="L11" s="5"/>
      <c r="M11" s="12">
        <f t="shared" si="0"/>
        <v>24</v>
      </c>
      <c r="N11" s="5">
        <v>18</v>
      </c>
      <c r="O11" s="11">
        <f t="shared" si="1"/>
        <v>42</v>
      </c>
      <c r="P11" s="5">
        <v>5</v>
      </c>
      <c r="Q11" s="19" t="str">
        <f t="shared" si="2"/>
        <v>เด็กชายปรวัฒน์  โพธิ์ศรี</v>
      </c>
      <c r="R11" s="5">
        <v>9</v>
      </c>
      <c r="S11" s="5">
        <v>8</v>
      </c>
      <c r="T11" s="5">
        <v>9</v>
      </c>
      <c r="U11" s="5"/>
      <c r="V11" s="5"/>
      <c r="W11" s="5"/>
      <c r="X11" s="5"/>
      <c r="Y11" s="5"/>
      <c r="Z11" s="5"/>
      <c r="AA11" s="5"/>
      <c r="AB11" s="12">
        <f t="shared" si="3"/>
        <v>26</v>
      </c>
      <c r="AC11" s="5">
        <v>16</v>
      </c>
      <c r="AD11" s="11">
        <f t="shared" si="4"/>
        <v>42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42</v>
      </c>
      <c r="AH11" s="22">
        <f t="shared" si="6"/>
        <v>42</v>
      </c>
      <c r="AI11" s="22">
        <f t="shared" si="7"/>
        <v>84</v>
      </c>
      <c r="AJ11" s="22">
        <f t="shared" si="8"/>
        <v>4</v>
      </c>
      <c r="AK11" s="13"/>
      <c r="AL11" s="13"/>
      <c r="AM11" s="281" t="s">
        <v>235</v>
      </c>
      <c r="AN11" s="282"/>
      <c r="AO11" s="282"/>
      <c r="AP11" s="282"/>
      <c r="AQ11" s="282"/>
      <c r="AR11" s="282"/>
      <c r="AS11" s="282"/>
      <c r="AT11" s="282"/>
      <c r="AU11" s="283"/>
    </row>
    <row r="12" spans="1:47" ht="24" x14ac:dyDescent="0.4">
      <c r="A12" s="5">
        <v>6</v>
      </c>
      <c r="B12" s="19" t="str">
        <f>'เวลาเรียน4-16'!B11</f>
        <v>เด็กชายพีรภาพ  วงคำใหญ่</v>
      </c>
      <c r="C12" s="5">
        <v>17</v>
      </c>
      <c r="D12" s="5">
        <v>10</v>
      </c>
      <c r="E12" s="5"/>
      <c r="F12" s="5"/>
      <c r="G12" s="5"/>
      <c r="H12" s="5"/>
      <c r="I12" s="5"/>
      <c r="J12" s="5"/>
      <c r="K12" s="5"/>
      <c r="L12" s="5"/>
      <c r="M12" s="12">
        <f t="shared" si="0"/>
        <v>27</v>
      </c>
      <c r="N12" s="5">
        <v>17</v>
      </c>
      <c r="O12" s="11">
        <f t="shared" si="1"/>
        <v>44</v>
      </c>
      <c r="P12" s="5">
        <v>6</v>
      </c>
      <c r="Q12" s="19" t="str">
        <f t="shared" si="2"/>
        <v>เด็กชายพีรภาพ  วงคำใหญ่</v>
      </c>
      <c r="R12" s="5">
        <v>9</v>
      </c>
      <c r="S12" s="5">
        <v>9</v>
      </c>
      <c r="T12" s="5">
        <v>9</v>
      </c>
      <c r="U12" s="5"/>
      <c r="V12" s="5"/>
      <c r="W12" s="5"/>
      <c r="X12" s="5"/>
      <c r="Y12" s="5"/>
      <c r="Z12" s="5"/>
      <c r="AA12" s="5"/>
      <c r="AB12" s="12">
        <f t="shared" si="3"/>
        <v>27</v>
      </c>
      <c r="AC12" s="5">
        <v>18</v>
      </c>
      <c r="AD12" s="11">
        <f t="shared" si="4"/>
        <v>45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44</v>
      </c>
      <c r="AH12" s="22">
        <f t="shared" si="6"/>
        <v>45</v>
      </c>
      <c r="AI12" s="22">
        <f t="shared" si="7"/>
        <v>89</v>
      </c>
      <c r="AJ12" s="22">
        <f t="shared" si="8"/>
        <v>4</v>
      </c>
      <c r="AK12" s="13"/>
      <c r="AL12" s="13"/>
      <c r="AM12" s="278" t="s">
        <v>236</v>
      </c>
      <c r="AN12" s="279"/>
      <c r="AO12" s="279"/>
      <c r="AP12" s="279"/>
      <c r="AQ12" s="279"/>
      <c r="AR12" s="279"/>
      <c r="AS12" s="279"/>
      <c r="AT12" s="279"/>
      <c r="AU12" s="280"/>
    </row>
    <row r="13" spans="1:47" ht="24" x14ac:dyDescent="0.4">
      <c r="A13" s="5">
        <v>7</v>
      </c>
      <c r="B13" s="19" t="str">
        <f>'เวลาเรียน4-16'!B12</f>
        <v>เด็กหญิงกมลรัตน์  แสดคง</v>
      </c>
      <c r="C13" s="5">
        <v>17</v>
      </c>
      <c r="D13" s="5">
        <v>9</v>
      </c>
      <c r="E13" s="5"/>
      <c r="F13" s="5"/>
      <c r="G13" s="5"/>
      <c r="H13" s="5"/>
      <c r="I13" s="5"/>
      <c r="J13" s="5"/>
      <c r="K13" s="5"/>
      <c r="L13" s="5"/>
      <c r="M13" s="12">
        <f t="shared" si="0"/>
        <v>26</v>
      </c>
      <c r="N13" s="5">
        <v>19</v>
      </c>
      <c r="O13" s="11">
        <f t="shared" si="1"/>
        <v>45</v>
      </c>
      <c r="P13" s="5">
        <v>7</v>
      </c>
      <c r="Q13" s="19" t="str">
        <f t="shared" si="2"/>
        <v>เด็กหญิงกมลรัตน์  แสดคง</v>
      </c>
      <c r="R13" s="5">
        <v>9</v>
      </c>
      <c r="S13" s="5">
        <v>8</v>
      </c>
      <c r="T13" s="5">
        <v>9</v>
      </c>
      <c r="U13" s="5"/>
      <c r="V13" s="5"/>
      <c r="W13" s="5"/>
      <c r="X13" s="5"/>
      <c r="Y13" s="5"/>
      <c r="Z13" s="5"/>
      <c r="AA13" s="5"/>
      <c r="AB13" s="12">
        <f t="shared" si="3"/>
        <v>26</v>
      </c>
      <c r="AC13" s="5">
        <v>16</v>
      </c>
      <c r="AD13" s="11">
        <f t="shared" si="4"/>
        <v>42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45</v>
      </c>
      <c r="AH13" s="22">
        <f t="shared" si="6"/>
        <v>42</v>
      </c>
      <c r="AI13" s="22">
        <f t="shared" si="7"/>
        <v>87</v>
      </c>
      <c r="AJ13" s="22">
        <f t="shared" si="8"/>
        <v>4</v>
      </c>
      <c r="AK13" s="13"/>
      <c r="AL13" s="13"/>
      <c r="AM13" s="278" t="s">
        <v>237</v>
      </c>
      <c r="AN13" s="279"/>
      <c r="AO13" s="279"/>
      <c r="AP13" s="279"/>
      <c r="AQ13" s="279"/>
      <c r="AR13" s="279"/>
      <c r="AS13" s="279"/>
      <c r="AT13" s="279"/>
      <c r="AU13" s="280"/>
    </row>
    <row r="14" spans="1:47" ht="24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>
        <v>17</v>
      </c>
      <c r="D14" s="5">
        <v>8</v>
      </c>
      <c r="E14" s="5"/>
      <c r="F14" s="5"/>
      <c r="G14" s="5"/>
      <c r="H14" s="5"/>
      <c r="I14" s="5"/>
      <c r="J14" s="5"/>
      <c r="K14" s="5"/>
      <c r="L14" s="5"/>
      <c r="M14" s="12">
        <f t="shared" si="0"/>
        <v>25</v>
      </c>
      <c r="N14" s="5">
        <v>19</v>
      </c>
      <c r="O14" s="11">
        <f t="shared" si="1"/>
        <v>44</v>
      </c>
      <c r="P14" s="5">
        <v>8</v>
      </c>
      <c r="Q14" s="19" t="str">
        <f t="shared" si="2"/>
        <v>เด็กหญิงกัลยรัตน์  ทึงสุข</v>
      </c>
      <c r="R14" s="5">
        <v>9</v>
      </c>
      <c r="S14" s="5">
        <v>9</v>
      </c>
      <c r="T14" s="5">
        <v>9</v>
      </c>
      <c r="U14" s="5"/>
      <c r="V14" s="5"/>
      <c r="W14" s="5"/>
      <c r="X14" s="5"/>
      <c r="Y14" s="5"/>
      <c r="Z14" s="5"/>
      <c r="AA14" s="5"/>
      <c r="AB14" s="12">
        <f t="shared" si="3"/>
        <v>27</v>
      </c>
      <c r="AC14" s="5">
        <v>17</v>
      </c>
      <c r="AD14" s="11">
        <f t="shared" si="4"/>
        <v>44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44</v>
      </c>
      <c r="AH14" s="22">
        <f t="shared" si="6"/>
        <v>44</v>
      </c>
      <c r="AI14" s="22">
        <f t="shared" si="7"/>
        <v>88</v>
      </c>
      <c r="AJ14" s="22">
        <f t="shared" si="8"/>
        <v>4</v>
      </c>
      <c r="AK14" s="13"/>
      <c r="AL14" s="13"/>
      <c r="AM14" s="281" t="s">
        <v>238</v>
      </c>
      <c r="AN14" s="282"/>
      <c r="AO14" s="282"/>
      <c r="AP14" s="282"/>
      <c r="AQ14" s="282"/>
      <c r="AR14" s="282"/>
      <c r="AS14" s="282"/>
      <c r="AT14" s="282"/>
      <c r="AU14" s="283"/>
    </row>
    <row r="15" spans="1:47" ht="24" x14ac:dyDescent="0.4">
      <c r="A15" s="5">
        <v>9</v>
      </c>
      <c r="B15" s="19" t="str">
        <f>'เวลาเรียน4-16'!B14</f>
        <v>เด็กหญิงนิตยา  พละโท</v>
      </c>
      <c r="C15" s="5">
        <v>17</v>
      </c>
      <c r="D15" s="5">
        <v>9</v>
      </c>
      <c r="E15" s="5"/>
      <c r="F15" s="5"/>
      <c r="G15" s="5"/>
      <c r="H15" s="5"/>
      <c r="I15" s="5"/>
      <c r="J15" s="5"/>
      <c r="K15" s="5"/>
      <c r="L15" s="5"/>
      <c r="M15" s="12">
        <f t="shared" si="0"/>
        <v>26</v>
      </c>
      <c r="N15" s="5">
        <v>19</v>
      </c>
      <c r="O15" s="11">
        <f t="shared" si="1"/>
        <v>45</v>
      </c>
      <c r="P15" s="5">
        <v>9</v>
      </c>
      <c r="Q15" s="19" t="str">
        <f t="shared" si="2"/>
        <v>เด็กหญิงนิตยา  พละโท</v>
      </c>
      <c r="R15" s="5">
        <v>9</v>
      </c>
      <c r="S15" s="5">
        <v>8</v>
      </c>
      <c r="T15" s="5">
        <v>9</v>
      </c>
      <c r="U15" s="5"/>
      <c r="V15" s="5"/>
      <c r="W15" s="5"/>
      <c r="X15" s="5"/>
      <c r="Y15" s="5"/>
      <c r="Z15" s="5"/>
      <c r="AA15" s="5"/>
      <c r="AB15" s="12">
        <f t="shared" si="3"/>
        <v>26</v>
      </c>
      <c r="AC15" s="5">
        <v>17</v>
      </c>
      <c r="AD15" s="11">
        <f t="shared" si="4"/>
        <v>43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45</v>
      </c>
      <c r="AH15" s="22">
        <f t="shared" si="6"/>
        <v>43</v>
      </c>
      <c r="AI15" s="22">
        <f t="shared" si="7"/>
        <v>88</v>
      </c>
      <c r="AJ15" s="22">
        <f t="shared" si="8"/>
        <v>4</v>
      </c>
      <c r="AK15" s="13"/>
      <c r="AL15" s="13"/>
      <c r="AM15" s="278" t="s">
        <v>239</v>
      </c>
      <c r="AN15" s="279"/>
      <c r="AO15" s="279"/>
      <c r="AP15" s="279"/>
      <c r="AQ15" s="279"/>
      <c r="AR15" s="279"/>
      <c r="AS15" s="279"/>
      <c r="AT15" s="279"/>
      <c r="AU15" s="280"/>
    </row>
    <row r="16" spans="1:47" ht="24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>
        <v>17</v>
      </c>
      <c r="D16" s="5">
        <v>8</v>
      </c>
      <c r="E16" s="5"/>
      <c r="F16" s="5"/>
      <c r="G16" s="5"/>
      <c r="H16" s="5"/>
      <c r="I16" s="5"/>
      <c r="J16" s="5"/>
      <c r="K16" s="5"/>
      <c r="L16" s="5"/>
      <c r="M16" s="12">
        <f t="shared" si="0"/>
        <v>25</v>
      </c>
      <c r="N16" s="5">
        <v>19</v>
      </c>
      <c r="O16" s="11">
        <f t="shared" si="1"/>
        <v>44</v>
      </c>
      <c r="P16" s="5">
        <v>10</v>
      </c>
      <c r="Q16" s="19" t="str">
        <f t="shared" si="2"/>
        <v>เด็กหญิงบัณฑิตา  เบ้าพงษ์</v>
      </c>
      <c r="R16" s="5">
        <v>9</v>
      </c>
      <c r="S16" s="5">
        <v>8</v>
      </c>
      <c r="T16" s="5">
        <v>9</v>
      </c>
      <c r="U16" s="5"/>
      <c r="V16" s="5"/>
      <c r="W16" s="5"/>
      <c r="X16" s="5"/>
      <c r="Y16" s="5"/>
      <c r="Z16" s="5"/>
      <c r="AA16" s="5"/>
      <c r="AB16" s="12">
        <f t="shared" si="3"/>
        <v>26</v>
      </c>
      <c r="AC16" s="5">
        <v>15</v>
      </c>
      <c r="AD16" s="11">
        <f t="shared" si="4"/>
        <v>41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44</v>
      </c>
      <c r="AH16" s="22">
        <f t="shared" si="6"/>
        <v>41</v>
      </c>
      <c r="AI16" s="22">
        <f t="shared" si="7"/>
        <v>85</v>
      </c>
      <c r="AJ16" s="22">
        <f t="shared" si="8"/>
        <v>4</v>
      </c>
      <c r="AK16" s="13"/>
      <c r="AL16" s="13"/>
      <c r="AM16" s="278" t="s">
        <v>240</v>
      </c>
      <c r="AN16" s="279"/>
      <c r="AO16" s="279"/>
      <c r="AP16" s="279"/>
      <c r="AQ16" s="279"/>
      <c r="AR16" s="279"/>
      <c r="AS16" s="279"/>
      <c r="AT16" s="279"/>
      <c r="AU16" s="280"/>
    </row>
    <row r="17" spans="1:47" ht="24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>
        <v>17</v>
      </c>
      <c r="D17" s="5">
        <v>9</v>
      </c>
      <c r="E17" s="5"/>
      <c r="F17" s="5"/>
      <c r="G17" s="5"/>
      <c r="H17" s="5"/>
      <c r="I17" s="5"/>
      <c r="J17" s="5"/>
      <c r="K17" s="5"/>
      <c r="L17" s="5"/>
      <c r="M17" s="12">
        <f t="shared" si="0"/>
        <v>26</v>
      </c>
      <c r="N17" s="5">
        <v>17</v>
      </c>
      <c r="O17" s="11">
        <f t="shared" si="1"/>
        <v>43</v>
      </c>
      <c r="P17" s="5">
        <v>11</v>
      </c>
      <c r="Q17" s="19" t="str">
        <f t="shared" si="2"/>
        <v>เด็กหญิงพัชรกัญญ์  บาลนาคม</v>
      </c>
      <c r="R17" s="5">
        <v>9</v>
      </c>
      <c r="S17" s="5">
        <v>8</v>
      </c>
      <c r="T17" s="5">
        <v>9</v>
      </c>
      <c r="U17" s="5"/>
      <c r="V17" s="5"/>
      <c r="W17" s="5"/>
      <c r="X17" s="5"/>
      <c r="Y17" s="5"/>
      <c r="Z17" s="5"/>
      <c r="AA17" s="5"/>
      <c r="AB17" s="12">
        <f t="shared" si="3"/>
        <v>26</v>
      </c>
      <c r="AC17" s="5">
        <v>17</v>
      </c>
      <c r="AD17" s="11">
        <f t="shared" si="4"/>
        <v>43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43</v>
      </c>
      <c r="AH17" s="22">
        <f t="shared" si="6"/>
        <v>43</v>
      </c>
      <c r="AI17" s="22">
        <f t="shared" si="7"/>
        <v>86</v>
      </c>
      <c r="AJ17" s="22">
        <f t="shared" si="8"/>
        <v>4</v>
      </c>
      <c r="AK17" s="13"/>
      <c r="AL17" s="13"/>
      <c r="AM17" s="278" t="s">
        <v>241</v>
      </c>
      <c r="AN17" s="279"/>
      <c r="AO17" s="279"/>
      <c r="AP17" s="279"/>
      <c r="AQ17" s="279"/>
      <c r="AR17" s="279"/>
      <c r="AS17" s="279"/>
      <c r="AT17" s="279"/>
      <c r="AU17" s="280"/>
    </row>
    <row r="18" spans="1:47" ht="24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>
        <v>17</v>
      </c>
      <c r="D18" s="5">
        <v>9</v>
      </c>
      <c r="E18" s="5"/>
      <c r="F18" s="5"/>
      <c r="G18" s="5"/>
      <c r="H18" s="5"/>
      <c r="I18" s="5"/>
      <c r="J18" s="5"/>
      <c r="K18" s="5"/>
      <c r="L18" s="5"/>
      <c r="M18" s="12">
        <f t="shared" si="0"/>
        <v>26</v>
      </c>
      <c r="N18" s="5">
        <v>20</v>
      </c>
      <c r="O18" s="11">
        <f t="shared" si="1"/>
        <v>46</v>
      </c>
      <c r="P18" s="5">
        <v>12</v>
      </c>
      <c r="Q18" s="19" t="str">
        <f t="shared" si="2"/>
        <v>เด็กหญิงสุวิชาดา  ชูจิตร</v>
      </c>
      <c r="R18" s="5">
        <v>9</v>
      </c>
      <c r="S18" s="5">
        <v>8</v>
      </c>
      <c r="T18" s="5">
        <v>9</v>
      </c>
      <c r="U18" s="5"/>
      <c r="V18" s="5"/>
      <c r="W18" s="5"/>
      <c r="X18" s="5"/>
      <c r="Y18" s="5"/>
      <c r="Z18" s="5"/>
      <c r="AA18" s="5"/>
      <c r="AB18" s="12">
        <f t="shared" si="3"/>
        <v>26</v>
      </c>
      <c r="AC18" s="5">
        <v>17</v>
      </c>
      <c r="AD18" s="11">
        <f t="shared" si="4"/>
        <v>43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46</v>
      </c>
      <c r="AH18" s="22">
        <f t="shared" si="6"/>
        <v>43</v>
      </c>
      <c r="AI18" s="22">
        <f t="shared" si="7"/>
        <v>89</v>
      </c>
      <c r="AJ18" s="22">
        <f t="shared" si="8"/>
        <v>4</v>
      </c>
      <c r="AK18" s="13"/>
      <c r="AL18" s="13"/>
      <c r="AM18" s="266"/>
      <c r="AN18" s="267"/>
      <c r="AO18" s="267"/>
      <c r="AP18" s="267"/>
      <c r="AQ18" s="267"/>
      <c r="AR18" s="267"/>
      <c r="AS18" s="267"/>
      <c r="AT18" s="267"/>
      <c r="AU18" s="268"/>
    </row>
    <row r="19" spans="1:47" ht="24" x14ac:dyDescent="0.4">
      <c r="A19" s="5">
        <v>13</v>
      </c>
      <c r="B19" s="19" t="str">
        <f>'เวลาเรียน4-16'!B18</f>
        <v>เด็กหญิงปุญญิศา  อุปทุม</v>
      </c>
      <c r="C19" s="5">
        <v>17</v>
      </c>
      <c r="D19" s="5">
        <v>8</v>
      </c>
      <c r="E19" s="5"/>
      <c r="F19" s="5"/>
      <c r="G19" s="5"/>
      <c r="H19" s="5"/>
      <c r="I19" s="5"/>
      <c r="J19" s="5"/>
      <c r="K19" s="5"/>
      <c r="L19" s="5"/>
      <c r="M19" s="12">
        <f t="shared" si="0"/>
        <v>25</v>
      </c>
      <c r="N19" s="5">
        <v>18</v>
      </c>
      <c r="O19" s="11">
        <f t="shared" si="1"/>
        <v>43</v>
      </c>
      <c r="P19" s="5">
        <v>13</v>
      </c>
      <c r="Q19" s="19" t="str">
        <f t="shared" si="2"/>
        <v>เด็กหญิงปุญญิศา  อุปทุม</v>
      </c>
      <c r="R19" s="5">
        <v>9</v>
      </c>
      <c r="S19" s="5">
        <v>8</v>
      </c>
      <c r="T19" s="5">
        <v>9</v>
      </c>
      <c r="U19" s="5"/>
      <c r="V19" s="5"/>
      <c r="W19" s="5"/>
      <c r="X19" s="5"/>
      <c r="Y19" s="5"/>
      <c r="Z19" s="5"/>
      <c r="AA19" s="5"/>
      <c r="AB19" s="12">
        <f t="shared" si="3"/>
        <v>26</v>
      </c>
      <c r="AC19" s="5">
        <v>16</v>
      </c>
      <c r="AD19" s="11">
        <f t="shared" si="4"/>
        <v>42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43</v>
      </c>
      <c r="AH19" s="22">
        <f t="shared" si="6"/>
        <v>42</v>
      </c>
      <c r="AI19" s="22">
        <f t="shared" si="7"/>
        <v>85</v>
      </c>
      <c r="AJ19" s="22">
        <f t="shared" si="8"/>
        <v>4</v>
      </c>
      <c r="AK19" s="13"/>
      <c r="AL19" s="13"/>
      <c r="AM19" s="266"/>
      <c r="AN19" s="267"/>
      <c r="AO19" s="267"/>
      <c r="AP19" s="267"/>
      <c r="AQ19" s="267"/>
      <c r="AR19" s="267"/>
      <c r="AS19" s="267"/>
      <c r="AT19" s="267"/>
      <c r="AU19" s="268"/>
    </row>
    <row r="20" spans="1:47" ht="24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266"/>
      <c r="AN20" s="267"/>
      <c r="AO20" s="267"/>
      <c r="AP20" s="267"/>
      <c r="AQ20" s="267"/>
      <c r="AR20" s="267"/>
      <c r="AS20" s="267"/>
      <c r="AT20" s="267"/>
      <c r="AU20" s="268"/>
    </row>
    <row r="21" spans="1:47" ht="24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266"/>
      <c r="AN21" s="267"/>
      <c r="AO21" s="267"/>
      <c r="AP21" s="267"/>
      <c r="AQ21" s="267"/>
      <c r="AR21" s="267"/>
      <c r="AS21" s="267"/>
      <c r="AT21" s="267"/>
      <c r="AU21" s="268"/>
    </row>
    <row r="22" spans="1:47" ht="24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266"/>
      <c r="AN22" s="267"/>
      <c r="AO22" s="267"/>
      <c r="AP22" s="267"/>
      <c r="AQ22" s="267"/>
      <c r="AR22" s="267"/>
      <c r="AS22" s="267"/>
      <c r="AT22" s="267"/>
      <c r="AU22" s="268"/>
    </row>
    <row r="23" spans="1:47" ht="24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266"/>
      <c r="AN23" s="267"/>
      <c r="AO23" s="267"/>
      <c r="AP23" s="267"/>
      <c r="AQ23" s="267"/>
      <c r="AR23" s="267"/>
      <c r="AS23" s="267"/>
      <c r="AT23" s="267"/>
      <c r="AU23" s="268"/>
    </row>
    <row r="24" spans="1:47" ht="24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266"/>
      <c r="AN24" s="267"/>
      <c r="AO24" s="267"/>
      <c r="AP24" s="267"/>
      <c r="AQ24" s="267"/>
      <c r="AR24" s="267"/>
      <c r="AS24" s="267"/>
      <c r="AT24" s="267"/>
      <c r="AU24" s="268"/>
    </row>
    <row r="25" spans="1:47" ht="24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266"/>
      <c r="AN25" s="267"/>
      <c r="AO25" s="267"/>
      <c r="AP25" s="267"/>
      <c r="AQ25" s="267"/>
      <c r="AR25" s="267"/>
      <c r="AS25" s="267"/>
      <c r="AT25" s="267"/>
      <c r="AU25" s="268"/>
    </row>
    <row r="26" spans="1:47" ht="24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266"/>
      <c r="AN26" s="267"/>
      <c r="AO26" s="267"/>
      <c r="AP26" s="267"/>
      <c r="AQ26" s="267"/>
      <c r="AR26" s="267"/>
      <c r="AS26" s="267"/>
      <c r="AT26" s="267"/>
      <c r="AU26" s="268"/>
    </row>
    <row r="27" spans="1:47" ht="24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66"/>
      <c r="AN27" s="267"/>
      <c r="AO27" s="267"/>
      <c r="AP27" s="267"/>
      <c r="AQ27" s="267"/>
      <c r="AR27" s="267"/>
      <c r="AS27" s="267"/>
      <c r="AT27" s="267"/>
      <c r="AU27" s="268"/>
    </row>
    <row r="28" spans="1:47" ht="24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66"/>
      <c r="AN28" s="267"/>
      <c r="AO28" s="267"/>
      <c r="AP28" s="267"/>
      <c r="AQ28" s="267"/>
      <c r="AR28" s="267"/>
      <c r="AS28" s="267"/>
      <c r="AT28" s="267"/>
      <c r="AU28" s="268"/>
    </row>
    <row r="29" spans="1:47" ht="24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66"/>
      <c r="AN29" s="267"/>
      <c r="AO29" s="267"/>
      <c r="AP29" s="267"/>
      <c r="AQ29" s="267"/>
      <c r="AR29" s="267"/>
      <c r="AS29" s="267"/>
      <c r="AT29" s="267"/>
      <c r="AU29" s="268"/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266"/>
      <c r="AN30" s="267"/>
      <c r="AO30" s="267"/>
      <c r="AP30" s="267"/>
      <c r="AQ30" s="267"/>
      <c r="AR30" s="267"/>
      <c r="AS30" s="267"/>
      <c r="AT30" s="267"/>
      <c r="AU30" s="268"/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266"/>
      <c r="AN31" s="267"/>
      <c r="AO31" s="267"/>
      <c r="AP31" s="267"/>
      <c r="AQ31" s="267"/>
      <c r="AR31" s="267"/>
      <c r="AS31" s="267"/>
      <c r="AT31" s="267"/>
      <c r="AU31" s="268"/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266"/>
      <c r="AN32" s="267"/>
      <c r="AO32" s="267"/>
      <c r="AP32" s="267"/>
      <c r="AQ32" s="267"/>
      <c r="AR32" s="267"/>
      <c r="AS32" s="267"/>
      <c r="AT32" s="267"/>
      <c r="AU32" s="268"/>
    </row>
    <row r="33" spans="1:47" ht="24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266"/>
      <c r="AN33" s="267"/>
      <c r="AO33" s="267"/>
      <c r="AP33" s="267"/>
      <c r="AQ33" s="267"/>
      <c r="AR33" s="267"/>
      <c r="AS33" s="267"/>
      <c r="AT33" s="267"/>
      <c r="AU33" s="268"/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266"/>
      <c r="AN34" s="267"/>
      <c r="AO34" s="267"/>
      <c r="AP34" s="267"/>
      <c r="AQ34" s="267"/>
      <c r="AR34" s="267"/>
      <c r="AS34" s="267"/>
      <c r="AT34" s="267"/>
      <c r="AU34" s="268"/>
    </row>
    <row r="35" spans="1:47" ht="24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266"/>
      <c r="AN35" s="267"/>
      <c r="AO35" s="267"/>
      <c r="AP35" s="267"/>
      <c r="AQ35" s="267"/>
      <c r="AR35" s="267"/>
      <c r="AS35" s="267"/>
      <c r="AT35" s="267"/>
      <c r="AU35" s="268"/>
    </row>
    <row r="36" spans="1:47" ht="20" thickBot="1" x14ac:dyDescent="0.4">
      <c r="AM36" s="269"/>
      <c r="AN36" s="270"/>
      <c r="AO36" s="270"/>
      <c r="AP36" s="270"/>
      <c r="AQ36" s="270"/>
      <c r="AR36" s="270"/>
      <c r="AS36" s="270"/>
      <c r="AT36" s="270"/>
      <c r="AU36" s="271"/>
    </row>
    <row r="48" spans="1:47" ht="14.25" customHeight="1" x14ac:dyDescent="0.35"/>
    <row r="49" ht="14.25" customHeight="1" x14ac:dyDescent="0.35"/>
    <row r="50" ht="14.25" customHeight="1" x14ac:dyDescent="0.35"/>
  </sheetData>
  <mergeCells count="57">
    <mergeCell ref="A2:O2"/>
    <mergeCell ref="P2:AD2"/>
    <mergeCell ref="AE2:AL2"/>
    <mergeCell ref="AM2:AU2"/>
    <mergeCell ref="A3:O3"/>
    <mergeCell ref="P3:AD3"/>
    <mergeCell ref="AE3:AL3"/>
    <mergeCell ref="AM3:AU3"/>
    <mergeCell ref="AH4:AH5"/>
    <mergeCell ref="A4:A6"/>
    <mergeCell ref="C4:M4"/>
    <mergeCell ref="N4:N5"/>
    <mergeCell ref="O4:O5"/>
    <mergeCell ref="P4:P6"/>
    <mergeCell ref="R4:AB4"/>
    <mergeCell ref="AC4:AC5"/>
    <mergeCell ref="AD4:AD5"/>
    <mergeCell ref="AE4:AE6"/>
    <mergeCell ref="AF4:AF5"/>
    <mergeCell ref="AG4:AG5"/>
    <mergeCell ref="AI4:AI5"/>
    <mergeCell ref="AJ4:AJ6"/>
    <mergeCell ref="AK4:AK6"/>
    <mergeCell ref="AL4:AL6"/>
    <mergeCell ref="AM4:AU4"/>
    <mergeCell ref="AM5:AU5"/>
    <mergeCell ref="AM6:AU6"/>
    <mergeCell ref="AM18:AU18"/>
    <mergeCell ref="AM7:AU7"/>
    <mergeCell ref="AM8:AU8"/>
    <mergeCell ref="AM9:AU9"/>
    <mergeCell ref="AM10:AU10"/>
    <mergeCell ref="AM11:AU11"/>
    <mergeCell ref="AM12:AU12"/>
    <mergeCell ref="AM13:AU13"/>
    <mergeCell ref="AM14:AU14"/>
    <mergeCell ref="AM15:AU15"/>
    <mergeCell ref="AM16:AU16"/>
    <mergeCell ref="AM17:AU17"/>
    <mergeCell ref="AM29:AU29"/>
    <mergeCell ref="AM19:AU19"/>
    <mergeCell ref="AM20:AU20"/>
    <mergeCell ref="AM21:AU21"/>
    <mergeCell ref="AM22:AU22"/>
    <mergeCell ref="AM23:AU23"/>
    <mergeCell ref="AM24:AU24"/>
    <mergeCell ref="AM25:AU25"/>
    <mergeCell ref="AM26:AU26"/>
    <mergeCell ref="AM27:AU27"/>
    <mergeCell ref="AM28:AU28"/>
    <mergeCell ref="AM36:AU36"/>
    <mergeCell ref="AM30:AU30"/>
    <mergeCell ref="AM31:AU31"/>
    <mergeCell ref="AM32:AU32"/>
    <mergeCell ref="AM33:AU33"/>
    <mergeCell ref="AM34:AU34"/>
    <mergeCell ref="AM35:AU35"/>
  </mergeCells>
  <pageMargins left="0.85416666666666663" right="0.17708333333333334" top="0.46875" bottom="0.75" header="0.3" footer="0.3"/>
  <pageSetup paperSize="9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C75D-0A44-4E4C-945E-D4F063096160}">
  <sheetPr>
    <tabColor rgb="FF00B050"/>
  </sheetPr>
  <dimension ref="A1:AU50"/>
  <sheetViews>
    <sheetView view="pageLayout" topLeftCell="AC1" zoomScaleNormal="100" workbookViewId="0">
      <selection activeCell="AC20" sqref="AC20"/>
    </sheetView>
  </sheetViews>
  <sheetFormatPr baseColWidth="10" defaultColWidth="9" defaultRowHeight="19" x14ac:dyDescent="0.35"/>
  <cols>
    <col min="1" max="1" width="3.5" style="10" customWidth="1"/>
    <col min="2" max="2" width="16.1640625" style="10" customWidth="1"/>
    <col min="3" max="12" width="4.1640625" style="24" customWidth="1"/>
    <col min="13" max="13" width="5" style="24" customWidth="1"/>
    <col min="14" max="14" width="10.33203125" style="24" customWidth="1"/>
    <col min="15" max="15" width="6" style="10" customWidth="1"/>
    <col min="16" max="16" width="3.6640625" style="10" customWidth="1"/>
    <col min="17" max="17" width="14.1640625" style="10" customWidth="1"/>
    <col min="18" max="27" width="4.6640625" style="24" customWidth="1"/>
    <col min="28" max="28" width="5" style="24" customWidth="1"/>
    <col min="29" max="29" width="8.6640625" style="24" customWidth="1"/>
    <col min="30" max="30" width="5" style="10" customWidth="1"/>
    <col min="31" max="31" width="3.6640625" style="10" customWidth="1"/>
    <col min="32" max="32" width="15.83203125" style="10" customWidth="1"/>
    <col min="33" max="33" width="12.5" style="10" customWidth="1"/>
    <col min="34" max="34" width="12.83203125" style="10" customWidth="1"/>
    <col min="35" max="35" width="12.1640625" style="10" customWidth="1"/>
    <col min="36" max="36" width="9.6640625" style="10" customWidth="1"/>
    <col min="37" max="37" width="9.83203125" style="10" customWidth="1"/>
    <col min="38" max="38" width="8.83203125" style="10" customWidth="1"/>
    <col min="39" max="16384" width="9" style="10"/>
  </cols>
  <sheetData>
    <row r="1" spans="1:47" s="1" customFormat="1" ht="25" thickBot="1" x14ac:dyDescent="0.45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>
        <v>53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>
        <v>54</v>
      </c>
      <c r="AL1" s="1">
        <v>55</v>
      </c>
      <c r="AU1" s="1">
        <v>56</v>
      </c>
    </row>
    <row r="2" spans="1:47" ht="21" x14ac:dyDescent="0.35">
      <c r="A2" s="242" t="s">
        <v>23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 t="s">
        <v>24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 t="s">
        <v>315</v>
      </c>
      <c r="AF2" s="242"/>
      <c r="AG2" s="242"/>
      <c r="AH2" s="242"/>
      <c r="AI2" s="242"/>
      <c r="AJ2" s="242"/>
      <c r="AK2" s="242"/>
      <c r="AL2" s="242"/>
      <c r="AM2" s="243" t="s">
        <v>41</v>
      </c>
      <c r="AN2" s="244"/>
      <c r="AO2" s="244"/>
      <c r="AP2" s="244"/>
      <c r="AQ2" s="244"/>
      <c r="AR2" s="244"/>
      <c r="AS2" s="244"/>
      <c r="AT2" s="244"/>
      <c r="AU2" s="245"/>
    </row>
    <row r="3" spans="1:47" ht="22" thickBot="1" x14ac:dyDescent="0.4">
      <c r="A3" s="242" t="s">
        <v>325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 t="str">
        <f>A3</f>
        <v>รายวิชา การป้องกันการทุจริต  (ส16201)</v>
      </c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6" t="str">
        <f>A3</f>
        <v>รายวิชา การป้องกันการทุจริต  (ส16201)</v>
      </c>
      <c r="AF3" s="246"/>
      <c r="AG3" s="246"/>
      <c r="AH3" s="246"/>
      <c r="AI3" s="246"/>
      <c r="AJ3" s="246"/>
      <c r="AK3" s="246"/>
      <c r="AL3" s="246"/>
      <c r="AM3" s="273" t="s">
        <v>246</v>
      </c>
      <c r="AN3" s="274"/>
      <c r="AO3" s="274"/>
      <c r="AP3" s="274"/>
      <c r="AQ3" s="274"/>
      <c r="AR3" s="274"/>
      <c r="AS3" s="274"/>
      <c r="AT3" s="274"/>
      <c r="AU3" s="275"/>
    </row>
    <row r="4" spans="1:47" s="24" customFormat="1" ht="14.25" customHeight="1" x14ac:dyDescent="0.35">
      <c r="A4" s="235" t="s">
        <v>1</v>
      </c>
      <c r="B4" s="21" t="s">
        <v>0</v>
      </c>
      <c r="C4" s="238" t="s">
        <v>242</v>
      </c>
      <c r="D4" s="239"/>
      <c r="E4" s="239"/>
      <c r="F4" s="239"/>
      <c r="G4" s="239"/>
      <c r="H4" s="239"/>
      <c r="I4" s="239"/>
      <c r="J4" s="239"/>
      <c r="K4" s="239"/>
      <c r="L4" s="239"/>
      <c r="M4" s="240"/>
      <c r="N4" s="235" t="s">
        <v>43</v>
      </c>
      <c r="O4" s="235" t="s">
        <v>18</v>
      </c>
      <c r="P4" s="235" t="s">
        <v>1</v>
      </c>
      <c r="Q4" s="21" t="s">
        <v>0</v>
      </c>
      <c r="R4" s="238" t="s">
        <v>243</v>
      </c>
      <c r="S4" s="239"/>
      <c r="T4" s="239"/>
      <c r="U4" s="239"/>
      <c r="V4" s="239"/>
      <c r="W4" s="239"/>
      <c r="X4" s="239"/>
      <c r="Y4" s="239"/>
      <c r="Z4" s="239"/>
      <c r="AA4" s="239"/>
      <c r="AB4" s="240"/>
      <c r="AC4" s="235" t="s">
        <v>42</v>
      </c>
      <c r="AD4" s="235" t="s">
        <v>18</v>
      </c>
      <c r="AE4" s="224" t="s">
        <v>1</v>
      </c>
      <c r="AF4" s="226" t="s">
        <v>0</v>
      </c>
      <c r="AG4" s="224" t="s">
        <v>19</v>
      </c>
      <c r="AH4" s="224" t="s">
        <v>20</v>
      </c>
      <c r="AI4" s="224" t="s">
        <v>25</v>
      </c>
      <c r="AJ4" s="226" t="s">
        <v>21</v>
      </c>
      <c r="AK4" s="226" t="s">
        <v>26</v>
      </c>
      <c r="AL4" s="229" t="s">
        <v>22</v>
      </c>
      <c r="AM4" s="266"/>
      <c r="AN4" s="267"/>
      <c r="AO4" s="267"/>
      <c r="AP4" s="267"/>
      <c r="AQ4" s="267"/>
      <c r="AR4" s="267"/>
      <c r="AS4" s="267"/>
      <c r="AT4" s="267"/>
      <c r="AU4" s="268"/>
    </row>
    <row r="5" spans="1:47" s="24" customFormat="1" ht="14.25" customHeight="1" x14ac:dyDescent="0.35">
      <c r="A5" s="236"/>
      <c r="B5" s="25" t="s">
        <v>247</v>
      </c>
      <c r="C5" s="112"/>
      <c r="D5" s="112"/>
      <c r="E5" s="112"/>
      <c r="F5" s="112"/>
      <c r="G5" s="15"/>
      <c r="H5" s="15"/>
      <c r="I5" s="15"/>
      <c r="J5" s="15"/>
      <c r="K5" s="15"/>
      <c r="L5" s="15"/>
      <c r="M5" s="17" t="s">
        <v>17</v>
      </c>
      <c r="N5" s="237"/>
      <c r="O5" s="237"/>
      <c r="P5" s="236"/>
      <c r="Q5" s="25" t="s">
        <v>247</v>
      </c>
      <c r="R5" s="112"/>
      <c r="S5" s="112"/>
      <c r="T5" s="112"/>
      <c r="U5" s="112"/>
      <c r="V5" s="112"/>
      <c r="W5" s="15"/>
      <c r="X5" s="15"/>
      <c r="Y5" s="15"/>
      <c r="Z5" s="15"/>
      <c r="AA5" s="15"/>
      <c r="AB5" s="17" t="s">
        <v>17</v>
      </c>
      <c r="AC5" s="237"/>
      <c r="AD5" s="237"/>
      <c r="AE5" s="241"/>
      <c r="AF5" s="228"/>
      <c r="AG5" s="225"/>
      <c r="AH5" s="225"/>
      <c r="AI5" s="225"/>
      <c r="AJ5" s="227"/>
      <c r="AK5" s="227"/>
      <c r="AL5" s="230"/>
      <c r="AM5" s="281" t="s">
        <v>229</v>
      </c>
      <c r="AN5" s="282"/>
      <c r="AO5" s="282"/>
      <c r="AP5" s="282"/>
      <c r="AQ5" s="282"/>
      <c r="AR5" s="282"/>
      <c r="AS5" s="282"/>
      <c r="AT5" s="282"/>
      <c r="AU5" s="283"/>
    </row>
    <row r="6" spans="1:47" ht="21" x14ac:dyDescent="0.35">
      <c r="A6" s="237"/>
      <c r="B6" s="14" t="s">
        <v>16</v>
      </c>
      <c r="C6" s="15">
        <v>30</v>
      </c>
      <c r="D6" s="15"/>
      <c r="E6" s="15"/>
      <c r="F6" s="15"/>
      <c r="G6" s="15"/>
      <c r="H6" s="15"/>
      <c r="I6" s="15"/>
      <c r="J6" s="15"/>
      <c r="K6" s="15"/>
      <c r="L6" s="15"/>
      <c r="M6" s="17">
        <f>SUM(C6:L6)</f>
        <v>30</v>
      </c>
      <c r="N6" s="16">
        <v>20</v>
      </c>
      <c r="O6" s="18">
        <f>SUM(M6:N6)</f>
        <v>50</v>
      </c>
      <c r="P6" s="237"/>
      <c r="Q6" s="14" t="s">
        <v>16</v>
      </c>
      <c r="R6" s="15">
        <v>30</v>
      </c>
      <c r="S6" s="15"/>
      <c r="T6" s="15"/>
      <c r="U6" s="15"/>
      <c r="V6" s="15"/>
      <c r="W6" s="15"/>
      <c r="X6" s="15"/>
      <c r="Y6" s="15"/>
      <c r="Z6" s="15"/>
      <c r="AA6" s="15"/>
      <c r="AB6" s="17">
        <f>SUM(R6:AA6)</f>
        <v>30</v>
      </c>
      <c r="AC6" s="15">
        <v>20</v>
      </c>
      <c r="AD6" s="18">
        <f>SUM(AB6:AC6)</f>
        <v>50</v>
      </c>
      <c r="AE6" s="225"/>
      <c r="AF6" s="120" t="s">
        <v>16</v>
      </c>
      <c r="AG6" s="26">
        <v>50</v>
      </c>
      <c r="AH6" s="26">
        <v>50</v>
      </c>
      <c r="AI6" s="26">
        <v>100</v>
      </c>
      <c r="AJ6" s="228"/>
      <c r="AK6" s="228"/>
      <c r="AL6" s="231"/>
      <c r="AM6" s="278" t="s">
        <v>230</v>
      </c>
      <c r="AN6" s="279"/>
      <c r="AO6" s="279"/>
      <c r="AP6" s="279"/>
      <c r="AQ6" s="279"/>
      <c r="AR6" s="279"/>
      <c r="AS6" s="279"/>
      <c r="AT6" s="279"/>
      <c r="AU6" s="280"/>
    </row>
    <row r="7" spans="1:47" ht="24" x14ac:dyDescent="0.4">
      <c r="A7" s="5">
        <v>1</v>
      </c>
      <c r="B7" s="19" t="str">
        <f>'เวลาเรียน4-16'!B6</f>
        <v>เด็กชายกฤษดา  บัวศรี</v>
      </c>
      <c r="C7" s="5">
        <v>30</v>
      </c>
      <c r="D7" s="5"/>
      <c r="E7" s="5"/>
      <c r="F7" s="5"/>
      <c r="G7" s="5"/>
      <c r="H7" s="5"/>
      <c r="I7" s="5"/>
      <c r="J7" s="5"/>
      <c r="K7" s="5"/>
      <c r="L7" s="5"/>
      <c r="M7" s="12">
        <f t="shared" ref="M7:M19" si="0">SUM(C7:L7)</f>
        <v>30</v>
      </c>
      <c r="N7" s="5">
        <v>16</v>
      </c>
      <c r="O7" s="11">
        <f t="shared" ref="O7:O19" si="1">SUM(M7:N7)</f>
        <v>46</v>
      </c>
      <c r="P7" s="5">
        <v>1</v>
      </c>
      <c r="Q7" s="19" t="str">
        <f t="shared" ref="Q7:Q19" si="2">B7</f>
        <v>เด็กชายกฤษดา  บัวศรี</v>
      </c>
      <c r="R7" s="5">
        <v>30</v>
      </c>
      <c r="S7" s="5"/>
      <c r="T7" s="5"/>
      <c r="U7" s="5"/>
      <c r="V7" s="5"/>
      <c r="W7" s="5"/>
      <c r="X7" s="5"/>
      <c r="Y7" s="5"/>
      <c r="Z7" s="5"/>
      <c r="AA7" s="5"/>
      <c r="AB7" s="12">
        <f t="shared" ref="AB7:AB19" si="3">SUM(R7:AA7)</f>
        <v>30</v>
      </c>
      <c r="AC7" s="5">
        <v>15</v>
      </c>
      <c r="AD7" s="11">
        <f t="shared" ref="AD7:AD19" si="4">SUM(AB7:AC7)</f>
        <v>45</v>
      </c>
      <c r="AE7" s="5">
        <v>1</v>
      </c>
      <c r="AF7" s="19" t="str">
        <f>'เวลาเรียน4-16'!B6</f>
        <v>เด็กชายกฤษดา  บัวศรี</v>
      </c>
      <c r="AG7" s="22">
        <f t="shared" ref="AG7:AG19" si="5">O7</f>
        <v>46</v>
      </c>
      <c r="AH7" s="22">
        <f t="shared" ref="AH7:AH19" si="6">AD7</f>
        <v>45</v>
      </c>
      <c r="AI7" s="22">
        <f>SUM(AG7:AH7)</f>
        <v>91</v>
      </c>
      <c r="AJ7" s="22">
        <f>IF(AI7&gt;79,4,IF(AI7&gt;74,3.5,IF(AI7&gt;69,3,IF(AI7&gt;64,2.5,IF(AI7&gt;59,2,IF(AI7&gt;54,1.5,IF(AI7&gt;49,1,IF(AI7&lt;50,0))))))))</f>
        <v>4</v>
      </c>
      <c r="AK7" s="13"/>
      <c r="AL7" s="13"/>
      <c r="AM7" s="278" t="s">
        <v>231</v>
      </c>
      <c r="AN7" s="279"/>
      <c r="AO7" s="279"/>
      <c r="AP7" s="279"/>
      <c r="AQ7" s="279"/>
      <c r="AR7" s="279"/>
      <c r="AS7" s="279"/>
      <c r="AT7" s="279"/>
      <c r="AU7" s="280"/>
    </row>
    <row r="8" spans="1:47" ht="24" x14ac:dyDescent="0.4">
      <c r="A8" s="5">
        <v>2</v>
      </c>
      <c r="B8" s="19" t="str">
        <f>'เวลาเรียน4-16'!B7</f>
        <v>เด็กชายจิรายุ  ดอบุตร</v>
      </c>
      <c r="C8" s="5">
        <v>30</v>
      </c>
      <c r="D8" s="5"/>
      <c r="E8" s="5"/>
      <c r="F8" s="5"/>
      <c r="G8" s="5"/>
      <c r="H8" s="5"/>
      <c r="I8" s="5"/>
      <c r="J8" s="5"/>
      <c r="K8" s="5"/>
      <c r="L8" s="5"/>
      <c r="M8" s="12">
        <f t="shared" si="0"/>
        <v>30</v>
      </c>
      <c r="N8" s="5">
        <v>10</v>
      </c>
      <c r="O8" s="11">
        <f t="shared" si="1"/>
        <v>40</v>
      </c>
      <c r="P8" s="5">
        <v>2</v>
      </c>
      <c r="Q8" s="19" t="str">
        <f t="shared" si="2"/>
        <v>เด็กชายจิรายุ  ดอบุตร</v>
      </c>
      <c r="R8" s="5">
        <v>30</v>
      </c>
      <c r="S8" s="5"/>
      <c r="T8" s="5"/>
      <c r="U8" s="5"/>
      <c r="V8" s="5"/>
      <c r="W8" s="5"/>
      <c r="X8" s="5"/>
      <c r="Y8" s="5"/>
      <c r="Z8" s="5"/>
      <c r="AA8" s="5"/>
      <c r="AB8" s="12">
        <f t="shared" si="3"/>
        <v>30</v>
      </c>
      <c r="AC8" s="5">
        <v>11</v>
      </c>
      <c r="AD8" s="11">
        <f t="shared" si="4"/>
        <v>41</v>
      </c>
      <c r="AE8" s="5">
        <v>2</v>
      </c>
      <c r="AF8" s="19" t="str">
        <f>'เวลาเรียน4-16'!B7</f>
        <v>เด็กชายจิรายุ  ดอบุตร</v>
      </c>
      <c r="AG8" s="22">
        <f t="shared" si="5"/>
        <v>40</v>
      </c>
      <c r="AH8" s="22">
        <f t="shared" si="6"/>
        <v>41</v>
      </c>
      <c r="AI8" s="22">
        <f t="shared" ref="AI8:AI19" si="7">SUM(AG8:AH8)</f>
        <v>81</v>
      </c>
      <c r="AJ8" s="22">
        <f t="shared" ref="AJ8:AJ19" si="8">IF(AI8&gt;79,4,IF(AI8&gt;74,3.5,IF(AI8&gt;69,3,IF(AI8&gt;64,2.5,IF(AI8&gt;59,2,IF(AI8&gt;54,1.5,IF(AI8&gt;49,1,IF(AI8&lt;50,0))))))))</f>
        <v>4</v>
      </c>
      <c r="AK8" s="13"/>
      <c r="AL8" s="13"/>
      <c r="AM8" s="281" t="s">
        <v>232</v>
      </c>
      <c r="AN8" s="282"/>
      <c r="AO8" s="282"/>
      <c r="AP8" s="282"/>
      <c r="AQ8" s="282"/>
      <c r="AR8" s="282"/>
      <c r="AS8" s="282"/>
      <c r="AT8" s="282"/>
      <c r="AU8" s="283"/>
    </row>
    <row r="9" spans="1:47" ht="24" x14ac:dyDescent="0.4">
      <c r="A9" s="5">
        <v>3</v>
      </c>
      <c r="B9" s="19" t="str">
        <f>'เวลาเรียน4-16'!B8</f>
        <v>เด็กชายจิรายุ  เนตรสว่าง</v>
      </c>
      <c r="C9" s="5">
        <v>30</v>
      </c>
      <c r="D9" s="5"/>
      <c r="E9" s="5"/>
      <c r="F9" s="5"/>
      <c r="G9" s="5"/>
      <c r="H9" s="5"/>
      <c r="I9" s="5"/>
      <c r="J9" s="5"/>
      <c r="K9" s="5"/>
      <c r="L9" s="5"/>
      <c r="M9" s="12">
        <f t="shared" si="0"/>
        <v>30</v>
      </c>
      <c r="N9" s="5">
        <v>12</v>
      </c>
      <c r="O9" s="11">
        <f t="shared" si="1"/>
        <v>42</v>
      </c>
      <c r="P9" s="5">
        <v>3</v>
      </c>
      <c r="Q9" s="19" t="str">
        <f t="shared" si="2"/>
        <v>เด็กชายจิรายุ  เนตรสว่าง</v>
      </c>
      <c r="R9" s="5">
        <v>30</v>
      </c>
      <c r="S9" s="5"/>
      <c r="T9" s="5"/>
      <c r="U9" s="5"/>
      <c r="V9" s="5"/>
      <c r="W9" s="5"/>
      <c r="X9" s="5"/>
      <c r="Y9" s="5"/>
      <c r="Z9" s="5"/>
      <c r="AA9" s="5"/>
      <c r="AB9" s="12">
        <f t="shared" si="3"/>
        <v>30</v>
      </c>
      <c r="AC9" s="5">
        <v>9</v>
      </c>
      <c r="AD9" s="11">
        <f t="shared" si="4"/>
        <v>39</v>
      </c>
      <c r="AE9" s="5">
        <v>3</v>
      </c>
      <c r="AF9" s="19" t="str">
        <f>'เวลาเรียน4-16'!B8</f>
        <v>เด็กชายจิรายุ  เนตรสว่าง</v>
      </c>
      <c r="AG9" s="22">
        <f t="shared" si="5"/>
        <v>42</v>
      </c>
      <c r="AH9" s="22">
        <f t="shared" si="6"/>
        <v>39</v>
      </c>
      <c r="AI9" s="22">
        <f t="shared" si="7"/>
        <v>81</v>
      </c>
      <c r="AJ9" s="22">
        <f t="shared" si="8"/>
        <v>4</v>
      </c>
      <c r="AK9" s="13"/>
      <c r="AL9" s="13"/>
      <c r="AM9" s="278" t="s">
        <v>233</v>
      </c>
      <c r="AN9" s="279"/>
      <c r="AO9" s="279"/>
      <c r="AP9" s="279"/>
      <c r="AQ9" s="279"/>
      <c r="AR9" s="279"/>
      <c r="AS9" s="279"/>
      <c r="AT9" s="279"/>
      <c r="AU9" s="280"/>
    </row>
    <row r="10" spans="1:47" ht="24" x14ac:dyDescent="0.4">
      <c r="A10" s="5">
        <v>4</v>
      </c>
      <c r="B10" s="19" t="str">
        <f>'เวลาเรียน4-16'!B9</f>
        <v>เด็กชายจีรภัทร  คันธมาตย์</v>
      </c>
      <c r="C10" s="5">
        <v>30</v>
      </c>
      <c r="D10" s="5"/>
      <c r="E10" s="5"/>
      <c r="F10" s="5"/>
      <c r="G10" s="5"/>
      <c r="H10" s="5"/>
      <c r="I10" s="5"/>
      <c r="J10" s="5"/>
      <c r="K10" s="5"/>
      <c r="L10" s="5"/>
      <c r="M10" s="12">
        <f t="shared" si="0"/>
        <v>30</v>
      </c>
      <c r="N10" s="5">
        <v>14</v>
      </c>
      <c r="O10" s="11">
        <f t="shared" si="1"/>
        <v>44</v>
      </c>
      <c r="P10" s="5">
        <v>4</v>
      </c>
      <c r="Q10" s="19" t="str">
        <f t="shared" si="2"/>
        <v>เด็กชายจีรภัทร  คันธมาตย์</v>
      </c>
      <c r="R10" s="5">
        <v>30</v>
      </c>
      <c r="S10" s="5"/>
      <c r="T10" s="5"/>
      <c r="U10" s="5"/>
      <c r="V10" s="5"/>
      <c r="W10" s="5"/>
      <c r="X10" s="5"/>
      <c r="Y10" s="5"/>
      <c r="Z10" s="5"/>
      <c r="AA10" s="5"/>
      <c r="AB10" s="12">
        <f t="shared" si="3"/>
        <v>30</v>
      </c>
      <c r="AC10" s="5">
        <v>12</v>
      </c>
      <c r="AD10" s="11">
        <f t="shared" si="4"/>
        <v>42</v>
      </c>
      <c r="AE10" s="5">
        <v>4</v>
      </c>
      <c r="AF10" s="19" t="str">
        <f>'เวลาเรียน4-16'!B9</f>
        <v>เด็กชายจีรภัทร  คันธมาตย์</v>
      </c>
      <c r="AG10" s="22">
        <f t="shared" si="5"/>
        <v>44</v>
      </c>
      <c r="AH10" s="22">
        <f t="shared" si="6"/>
        <v>42</v>
      </c>
      <c r="AI10" s="22">
        <f t="shared" si="7"/>
        <v>86</v>
      </c>
      <c r="AJ10" s="22">
        <f t="shared" si="8"/>
        <v>4</v>
      </c>
      <c r="AK10" s="13"/>
      <c r="AL10" s="13"/>
      <c r="AM10" s="278" t="s">
        <v>234</v>
      </c>
      <c r="AN10" s="279"/>
      <c r="AO10" s="279"/>
      <c r="AP10" s="279"/>
      <c r="AQ10" s="279"/>
      <c r="AR10" s="279"/>
      <c r="AS10" s="279"/>
      <c r="AT10" s="279"/>
      <c r="AU10" s="280"/>
    </row>
    <row r="11" spans="1:47" ht="24" x14ac:dyDescent="0.4">
      <c r="A11" s="5">
        <v>5</v>
      </c>
      <c r="B11" s="19" t="str">
        <f>'เวลาเรียน4-16'!B10</f>
        <v>เด็กชายปรวัฒน์  โพธิ์ศรี</v>
      </c>
      <c r="C11" s="5">
        <v>30</v>
      </c>
      <c r="D11" s="5"/>
      <c r="E11" s="5"/>
      <c r="F11" s="5"/>
      <c r="G11" s="5"/>
      <c r="H11" s="5"/>
      <c r="I11" s="5"/>
      <c r="J11" s="5"/>
      <c r="K11" s="5"/>
      <c r="L11" s="5"/>
      <c r="M11" s="12">
        <f t="shared" si="0"/>
        <v>30</v>
      </c>
      <c r="N11" s="5">
        <v>16</v>
      </c>
      <c r="O11" s="11">
        <f t="shared" si="1"/>
        <v>46</v>
      </c>
      <c r="P11" s="5">
        <v>5</v>
      </c>
      <c r="Q11" s="19" t="str">
        <f t="shared" si="2"/>
        <v>เด็กชายปรวัฒน์  โพธิ์ศรี</v>
      </c>
      <c r="R11" s="5">
        <v>30</v>
      </c>
      <c r="S11" s="5"/>
      <c r="T11" s="5"/>
      <c r="U11" s="5"/>
      <c r="V11" s="5"/>
      <c r="W11" s="5"/>
      <c r="X11" s="5"/>
      <c r="Y11" s="5"/>
      <c r="Z11" s="5"/>
      <c r="AA11" s="5"/>
      <c r="AB11" s="12">
        <f t="shared" si="3"/>
        <v>30</v>
      </c>
      <c r="AC11" s="5">
        <v>16</v>
      </c>
      <c r="AD11" s="11">
        <f t="shared" si="4"/>
        <v>46</v>
      </c>
      <c r="AE11" s="5">
        <v>5</v>
      </c>
      <c r="AF11" s="19" t="str">
        <f>'เวลาเรียน4-16'!B10</f>
        <v>เด็กชายปรวัฒน์  โพธิ์ศรี</v>
      </c>
      <c r="AG11" s="22">
        <f t="shared" si="5"/>
        <v>46</v>
      </c>
      <c r="AH11" s="22">
        <f t="shared" si="6"/>
        <v>46</v>
      </c>
      <c r="AI11" s="22">
        <f t="shared" si="7"/>
        <v>92</v>
      </c>
      <c r="AJ11" s="22">
        <f t="shared" si="8"/>
        <v>4</v>
      </c>
      <c r="AK11" s="13"/>
      <c r="AL11" s="13"/>
      <c r="AM11" s="281" t="s">
        <v>235</v>
      </c>
      <c r="AN11" s="282"/>
      <c r="AO11" s="282"/>
      <c r="AP11" s="282"/>
      <c r="AQ11" s="282"/>
      <c r="AR11" s="282"/>
      <c r="AS11" s="282"/>
      <c r="AT11" s="282"/>
      <c r="AU11" s="283"/>
    </row>
    <row r="12" spans="1:47" ht="24" x14ac:dyDescent="0.4">
      <c r="A12" s="5">
        <v>6</v>
      </c>
      <c r="B12" s="19" t="str">
        <f>'เวลาเรียน4-16'!B11</f>
        <v>เด็กชายพีรภาพ  วงคำใหญ่</v>
      </c>
      <c r="C12" s="5">
        <v>30</v>
      </c>
      <c r="D12" s="5"/>
      <c r="E12" s="5"/>
      <c r="F12" s="5"/>
      <c r="G12" s="5"/>
      <c r="H12" s="5"/>
      <c r="I12" s="5"/>
      <c r="J12" s="5"/>
      <c r="K12" s="5"/>
      <c r="L12" s="5"/>
      <c r="M12" s="12">
        <f t="shared" si="0"/>
        <v>30</v>
      </c>
      <c r="N12" s="5">
        <v>15</v>
      </c>
      <c r="O12" s="11">
        <f t="shared" si="1"/>
        <v>45</v>
      </c>
      <c r="P12" s="5">
        <v>6</v>
      </c>
      <c r="Q12" s="19" t="str">
        <f t="shared" si="2"/>
        <v>เด็กชายพีรภาพ  วงคำใหญ่</v>
      </c>
      <c r="R12" s="5">
        <v>30</v>
      </c>
      <c r="S12" s="5"/>
      <c r="T12" s="5"/>
      <c r="U12" s="5"/>
      <c r="V12" s="5"/>
      <c r="W12" s="5"/>
      <c r="X12" s="5"/>
      <c r="Y12" s="5"/>
      <c r="Z12" s="5"/>
      <c r="AA12" s="5"/>
      <c r="AB12" s="12">
        <f t="shared" si="3"/>
        <v>30</v>
      </c>
      <c r="AC12" s="5">
        <v>16</v>
      </c>
      <c r="AD12" s="11">
        <f t="shared" si="4"/>
        <v>46</v>
      </c>
      <c r="AE12" s="5">
        <v>6</v>
      </c>
      <c r="AF12" s="19" t="str">
        <f>'เวลาเรียน4-16'!B11</f>
        <v>เด็กชายพีรภาพ  วงคำใหญ่</v>
      </c>
      <c r="AG12" s="22">
        <f t="shared" si="5"/>
        <v>45</v>
      </c>
      <c r="AH12" s="22">
        <f t="shared" si="6"/>
        <v>46</v>
      </c>
      <c r="AI12" s="22">
        <f t="shared" si="7"/>
        <v>91</v>
      </c>
      <c r="AJ12" s="22">
        <f t="shared" si="8"/>
        <v>4</v>
      </c>
      <c r="AK12" s="13"/>
      <c r="AL12" s="13"/>
      <c r="AM12" s="278" t="s">
        <v>236</v>
      </c>
      <c r="AN12" s="279"/>
      <c r="AO12" s="279"/>
      <c r="AP12" s="279"/>
      <c r="AQ12" s="279"/>
      <c r="AR12" s="279"/>
      <c r="AS12" s="279"/>
      <c r="AT12" s="279"/>
      <c r="AU12" s="280"/>
    </row>
    <row r="13" spans="1:47" ht="24" x14ac:dyDescent="0.4">
      <c r="A13" s="5">
        <v>7</v>
      </c>
      <c r="B13" s="19" t="str">
        <f>'เวลาเรียน4-16'!B12</f>
        <v>เด็กหญิงกมลรัตน์  แสดคง</v>
      </c>
      <c r="C13" s="5">
        <v>30</v>
      </c>
      <c r="D13" s="5"/>
      <c r="E13" s="5"/>
      <c r="F13" s="5"/>
      <c r="G13" s="5"/>
      <c r="H13" s="5"/>
      <c r="I13" s="5"/>
      <c r="J13" s="5"/>
      <c r="K13" s="5"/>
      <c r="L13" s="5"/>
      <c r="M13" s="12">
        <f t="shared" si="0"/>
        <v>30</v>
      </c>
      <c r="N13" s="5">
        <v>13</v>
      </c>
      <c r="O13" s="11">
        <f t="shared" si="1"/>
        <v>43</v>
      </c>
      <c r="P13" s="5">
        <v>7</v>
      </c>
      <c r="Q13" s="19" t="str">
        <f t="shared" si="2"/>
        <v>เด็กหญิงกมลรัตน์  แสดคง</v>
      </c>
      <c r="R13" s="5">
        <v>30</v>
      </c>
      <c r="S13" s="5"/>
      <c r="T13" s="5"/>
      <c r="U13" s="5"/>
      <c r="V13" s="5"/>
      <c r="W13" s="5"/>
      <c r="X13" s="5"/>
      <c r="Y13" s="5"/>
      <c r="Z13" s="5"/>
      <c r="AA13" s="5"/>
      <c r="AB13" s="12">
        <f t="shared" si="3"/>
        <v>30</v>
      </c>
      <c r="AC13" s="5">
        <v>15</v>
      </c>
      <c r="AD13" s="11">
        <f t="shared" si="4"/>
        <v>45</v>
      </c>
      <c r="AE13" s="5">
        <v>7</v>
      </c>
      <c r="AF13" s="19" t="str">
        <f>'เวลาเรียน4-16'!B12</f>
        <v>เด็กหญิงกมลรัตน์  แสดคง</v>
      </c>
      <c r="AG13" s="22">
        <f t="shared" si="5"/>
        <v>43</v>
      </c>
      <c r="AH13" s="22">
        <f t="shared" si="6"/>
        <v>45</v>
      </c>
      <c r="AI13" s="22">
        <f t="shared" si="7"/>
        <v>88</v>
      </c>
      <c r="AJ13" s="22">
        <f t="shared" si="8"/>
        <v>4</v>
      </c>
      <c r="AK13" s="13"/>
      <c r="AL13" s="13"/>
      <c r="AM13" s="278" t="s">
        <v>237</v>
      </c>
      <c r="AN13" s="279"/>
      <c r="AO13" s="279"/>
      <c r="AP13" s="279"/>
      <c r="AQ13" s="279"/>
      <c r="AR13" s="279"/>
      <c r="AS13" s="279"/>
      <c r="AT13" s="279"/>
      <c r="AU13" s="280"/>
    </row>
    <row r="14" spans="1:47" ht="24" x14ac:dyDescent="0.4">
      <c r="A14" s="5">
        <v>8</v>
      </c>
      <c r="B14" s="19" t="str">
        <f>'เวลาเรียน4-16'!B13</f>
        <v>เด็กหญิงกัลยรัตน์  ทึงสุข</v>
      </c>
      <c r="C14" s="5">
        <v>30</v>
      </c>
      <c r="D14" s="5"/>
      <c r="E14" s="5"/>
      <c r="F14" s="5"/>
      <c r="G14" s="5"/>
      <c r="H14" s="5"/>
      <c r="I14" s="5"/>
      <c r="J14" s="5"/>
      <c r="K14" s="5"/>
      <c r="L14" s="5"/>
      <c r="M14" s="12">
        <f t="shared" si="0"/>
        <v>30</v>
      </c>
      <c r="N14" s="5">
        <v>12</v>
      </c>
      <c r="O14" s="11">
        <f t="shared" si="1"/>
        <v>42</v>
      </c>
      <c r="P14" s="5">
        <v>8</v>
      </c>
      <c r="Q14" s="19" t="str">
        <f t="shared" si="2"/>
        <v>เด็กหญิงกัลยรัตน์  ทึงสุข</v>
      </c>
      <c r="R14" s="5">
        <v>30</v>
      </c>
      <c r="S14" s="5"/>
      <c r="T14" s="5"/>
      <c r="U14" s="5"/>
      <c r="V14" s="5"/>
      <c r="W14" s="5"/>
      <c r="X14" s="5"/>
      <c r="Y14" s="5"/>
      <c r="Z14" s="5"/>
      <c r="AA14" s="5"/>
      <c r="AB14" s="12">
        <f t="shared" si="3"/>
        <v>30</v>
      </c>
      <c r="AC14" s="5">
        <v>13</v>
      </c>
      <c r="AD14" s="11">
        <f t="shared" si="4"/>
        <v>43</v>
      </c>
      <c r="AE14" s="5">
        <v>8</v>
      </c>
      <c r="AF14" s="19" t="str">
        <f>'เวลาเรียน4-16'!B13</f>
        <v>เด็กหญิงกัลยรัตน์  ทึงสุข</v>
      </c>
      <c r="AG14" s="22">
        <f t="shared" si="5"/>
        <v>42</v>
      </c>
      <c r="AH14" s="22">
        <f t="shared" si="6"/>
        <v>43</v>
      </c>
      <c r="AI14" s="22">
        <f t="shared" si="7"/>
        <v>85</v>
      </c>
      <c r="AJ14" s="22">
        <f t="shared" si="8"/>
        <v>4</v>
      </c>
      <c r="AK14" s="13"/>
      <c r="AL14" s="13"/>
      <c r="AM14" s="281" t="s">
        <v>238</v>
      </c>
      <c r="AN14" s="282"/>
      <c r="AO14" s="282"/>
      <c r="AP14" s="282"/>
      <c r="AQ14" s="282"/>
      <c r="AR14" s="282"/>
      <c r="AS14" s="282"/>
      <c r="AT14" s="282"/>
      <c r="AU14" s="283"/>
    </row>
    <row r="15" spans="1:47" ht="24" x14ac:dyDescent="0.4">
      <c r="A15" s="5">
        <v>9</v>
      </c>
      <c r="B15" s="19" t="str">
        <f>'เวลาเรียน4-16'!B14</f>
        <v>เด็กหญิงนิตยา  พละโท</v>
      </c>
      <c r="C15" s="5">
        <v>30</v>
      </c>
      <c r="D15" s="5"/>
      <c r="E15" s="5"/>
      <c r="F15" s="5"/>
      <c r="G15" s="5"/>
      <c r="H15" s="5"/>
      <c r="I15" s="5"/>
      <c r="J15" s="5"/>
      <c r="K15" s="5"/>
      <c r="L15" s="5"/>
      <c r="M15" s="12">
        <f t="shared" si="0"/>
        <v>30</v>
      </c>
      <c r="N15" s="5">
        <v>15</v>
      </c>
      <c r="O15" s="11">
        <f t="shared" si="1"/>
        <v>45</v>
      </c>
      <c r="P15" s="5">
        <v>9</v>
      </c>
      <c r="Q15" s="19" t="str">
        <f t="shared" si="2"/>
        <v>เด็กหญิงนิตยา  พละโท</v>
      </c>
      <c r="R15" s="5">
        <v>30</v>
      </c>
      <c r="S15" s="5"/>
      <c r="T15" s="5"/>
      <c r="U15" s="5"/>
      <c r="V15" s="5"/>
      <c r="W15" s="5"/>
      <c r="X15" s="5"/>
      <c r="Y15" s="5"/>
      <c r="Z15" s="5"/>
      <c r="AA15" s="5"/>
      <c r="AB15" s="12">
        <f t="shared" si="3"/>
        <v>30</v>
      </c>
      <c r="AC15" s="5">
        <v>16</v>
      </c>
      <c r="AD15" s="11">
        <f t="shared" si="4"/>
        <v>46</v>
      </c>
      <c r="AE15" s="5">
        <v>9</v>
      </c>
      <c r="AF15" s="19" t="str">
        <f>'เวลาเรียน4-16'!B14</f>
        <v>เด็กหญิงนิตยา  พละโท</v>
      </c>
      <c r="AG15" s="22">
        <f t="shared" si="5"/>
        <v>45</v>
      </c>
      <c r="AH15" s="22">
        <f t="shared" si="6"/>
        <v>46</v>
      </c>
      <c r="AI15" s="22">
        <f t="shared" si="7"/>
        <v>91</v>
      </c>
      <c r="AJ15" s="22">
        <f t="shared" si="8"/>
        <v>4</v>
      </c>
      <c r="AK15" s="13"/>
      <c r="AL15" s="13"/>
      <c r="AM15" s="278" t="s">
        <v>239</v>
      </c>
      <c r="AN15" s="279"/>
      <c r="AO15" s="279"/>
      <c r="AP15" s="279"/>
      <c r="AQ15" s="279"/>
      <c r="AR15" s="279"/>
      <c r="AS15" s="279"/>
      <c r="AT15" s="279"/>
      <c r="AU15" s="280"/>
    </row>
    <row r="16" spans="1:47" ht="24" x14ac:dyDescent="0.4">
      <c r="A16" s="5">
        <v>10</v>
      </c>
      <c r="B16" s="19" t="str">
        <f>'เวลาเรียน4-16'!B15</f>
        <v>เด็กหญิงบัณฑิตา  เบ้าพงษ์</v>
      </c>
      <c r="C16" s="5">
        <v>30</v>
      </c>
      <c r="D16" s="5"/>
      <c r="E16" s="5"/>
      <c r="F16" s="5"/>
      <c r="G16" s="5"/>
      <c r="H16" s="5"/>
      <c r="I16" s="5"/>
      <c r="J16" s="5"/>
      <c r="K16" s="5"/>
      <c r="L16" s="5"/>
      <c r="M16" s="12">
        <f t="shared" si="0"/>
        <v>30</v>
      </c>
      <c r="N16" s="5">
        <v>11</v>
      </c>
      <c r="O16" s="11">
        <f t="shared" si="1"/>
        <v>41</v>
      </c>
      <c r="P16" s="5">
        <v>10</v>
      </c>
      <c r="Q16" s="19" t="str">
        <f t="shared" si="2"/>
        <v>เด็กหญิงบัณฑิตา  เบ้าพงษ์</v>
      </c>
      <c r="R16" s="5">
        <v>30</v>
      </c>
      <c r="S16" s="5"/>
      <c r="T16" s="5"/>
      <c r="U16" s="5"/>
      <c r="V16" s="5"/>
      <c r="W16" s="5"/>
      <c r="X16" s="5"/>
      <c r="Y16" s="5"/>
      <c r="Z16" s="5"/>
      <c r="AA16" s="5"/>
      <c r="AB16" s="12">
        <f t="shared" si="3"/>
        <v>30</v>
      </c>
      <c r="AC16" s="5">
        <v>13</v>
      </c>
      <c r="AD16" s="11">
        <f t="shared" si="4"/>
        <v>43</v>
      </c>
      <c r="AE16" s="5">
        <v>10</v>
      </c>
      <c r="AF16" s="19" t="str">
        <f>'เวลาเรียน4-16'!B15</f>
        <v>เด็กหญิงบัณฑิตา  เบ้าพงษ์</v>
      </c>
      <c r="AG16" s="22">
        <f t="shared" si="5"/>
        <v>41</v>
      </c>
      <c r="AH16" s="22">
        <f t="shared" si="6"/>
        <v>43</v>
      </c>
      <c r="AI16" s="22">
        <f t="shared" si="7"/>
        <v>84</v>
      </c>
      <c r="AJ16" s="22">
        <f t="shared" si="8"/>
        <v>4</v>
      </c>
      <c r="AK16" s="13"/>
      <c r="AL16" s="13"/>
      <c r="AM16" s="278" t="s">
        <v>240</v>
      </c>
      <c r="AN16" s="279"/>
      <c r="AO16" s="279"/>
      <c r="AP16" s="279"/>
      <c r="AQ16" s="279"/>
      <c r="AR16" s="279"/>
      <c r="AS16" s="279"/>
      <c r="AT16" s="279"/>
      <c r="AU16" s="280"/>
    </row>
    <row r="17" spans="1:47" ht="24" x14ac:dyDescent="0.4">
      <c r="A17" s="5">
        <v>11</v>
      </c>
      <c r="B17" s="19" t="str">
        <f>'เวลาเรียน4-16'!B16</f>
        <v>เด็กหญิงพัชรกัญญ์  บาลนาคม</v>
      </c>
      <c r="C17" s="5">
        <v>30</v>
      </c>
      <c r="D17" s="5"/>
      <c r="E17" s="5"/>
      <c r="F17" s="5"/>
      <c r="G17" s="5"/>
      <c r="H17" s="5"/>
      <c r="I17" s="5"/>
      <c r="J17" s="5"/>
      <c r="K17" s="5"/>
      <c r="L17" s="5"/>
      <c r="M17" s="12">
        <f t="shared" si="0"/>
        <v>30</v>
      </c>
      <c r="N17" s="5">
        <v>16</v>
      </c>
      <c r="O17" s="11">
        <f t="shared" si="1"/>
        <v>46</v>
      </c>
      <c r="P17" s="5">
        <v>11</v>
      </c>
      <c r="Q17" s="19" t="str">
        <f t="shared" si="2"/>
        <v>เด็กหญิงพัชรกัญญ์  บาลนาคม</v>
      </c>
      <c r="R17" s="5">
        <v>30</v>
      </c>
      <c r="S17" s="5"/>
      <c r="T17" s="5"/>
      <c r="U17" s="5"/>
      <c r="V17" s="5"/>
      <c r="W17" s="5"/>
      <c r="X17" s="5"/>
      <c r="Y17" s="5"/>
      <c r="Z17" s="5"/>
      <c r="AA17" s="5"/>
      <c r="AB17" s="12">
        <f t="shared" si="3"/>
        <v>30</v>
      </c>
      <c r="AC17" s="5">
        <v>13</v>
      </c>
      <c r="AD17" s="11">
        <f t="shared" si="4"/>
        <v>43</v>
      </c>
      <c r="AE17" s="5">
        <v>11</v>
      </c>
      <c r="AF17" s="19" t="str">
        <f>'เวลาเรียน4-16'!B16</f>
        <v>เด็กหญิงพัชรกัญญ์  บาลนาคม</v>
      </c>
      <c r="AG17" s="22">
        <f t="shared" si="5"/>
        <v>46</v>
      </c>
      <c r="AH17" s="22">
        <f t="shared" si="6"/>
        <v>43</v>
      </c>
      <c r="AI17" s="22">
        <f t="shared" si="7"/>
        <v>89</v>
      </c>
      <c r="AJ17" s="22">
        <f t="shared" si="8"/>
        <v>4</v>
      </c>
      <c r="AK17" s="13"/>
      <c r="AL17" s="13"/>
      <c r="AM17" s="278" t="s">
        <v>241</v>
      </c>
      <c r="AN17" s="279"/>
      <c r="AO17" s="279"/>
      <c r="AP17" s="279"/>
      <c r="AQ17" s="279"/>
      <c r="AR17" s="279"/>
      <c r="AS17" s="279"/>
      <c r="AT17" s="279"/>
      <c r="AU17" s="280"/>
    </row>
    <row r="18" spans="1:47" ht="24" x14ac:dyDescent="0.4">
      <c r="A18" s="5">
        <v>12</v>
      </c>
      <c r="B18" s="19" t="str">
        <f>'เวลาเรียน4-16'!B17</f>
        <v>เด็กหญิงสุวิชาดา  ชูจิตร</v>
      </c>
      <c r="C18" s="5">
        <v>30</v>
      </c>
      <c r="D18" s="5"/>
      <c r="E18" s="5"/>
      <c r="F18" s="5"/>
      <c r="G18" s="5"/>
      <c r="H18" s="5"/>
      <c r="I18" s="5"/>
      <c r="J18" s="5"/>
      <c r="K18" s="5"/>
      <c r="L18" s="5"/>
      <c r="M18" s="12">
        <f t="shared" si="0"/>
        <v>30</v>
      </c>
      <c r="N18" s="5">
        <v>10</v>
      </c>
      <c r="O18" s="11">
        <f t="shared" si="1"/>
        <v>40</v>
      </c>
      <c r="P18" s="5">
        <v>12</v>
      </c>
      <c r="Q18" s="19" t="str">
        <f t="shared" si="2"/>
        <v>เด็กหญิงสุวิชาดา  ชูจิตร</v>
      </c>
      <c r="R18" s="5">
        <v>30</v>
      </c>
      <c r="S18" s="5"/>
      <c r="T18" s="5"/>
      <c r="U18" s="5"/>
      <c r="V18" s="5"/>
      <c r="W18" s="5"/>
      <c r="X18" s="5"/>
      <c r="Y18" s="5"/>
      <c r="Z18" s="5"/>
      <c r="AA18" s="5"/>
      <c r="AB18" s="12">
        <f t="shared" si="3"/>
        <v>30</v>
      </c>
      <c r="AC18" s="5">
        <v>10</v>
      </c>
      <c r="AD18" s="11">
        <f t="shared" si="4"/>
        <v>40</v>
      </c>
      <c r="AE18" s="5">
        <v>12</v>
      </c>
      <c r="AF18" s="19" t="str">
        <f>'เวลาเรียน4-16'!B17</f>
        <v>เด็กหญิงสุวิชาดา  ชูจิตร</v>
      </c>
      <c r="AG18" s="22">
        <f t="shared" si="5"/>
        <v>40</v>
      </c>
      <c r="AH18" s="22">
        <f t="shared" si="6"/>
        <v>40</v>
      </c>
      <c r="AI18" s="22">
        <f t="shared" si="7"/>
        <v>80</v>
      </c>
      <c r="AJ18" s="22">
        <f t="shared" si="8"/>
        <v>4</v>
      </c>
      <c r="AK18" s="13"/>
      <c r="AL18" s="13"/>
      <c r="AM18" s="266"/>
      <c r="AN18" s="267"/>
      <c r="AO18" s="267"/>
      <c r="AP18" s="267"/>
      <c r="AQ18" s="267"/>
      <c r="AR18" s="267"/>
      <c r="AS18" s="267"/>
      <c r="AT18" s="267"/>
      <c r="AU18" s="268"/>
    </row>
    <row r="19" spans="1:47" ht="24" x14ac:dyDescent="0.4">
      <c r="A19" s="5">
        <v>13</v>
      </c>
      <c r="B19" s="19" t="str">
        <f>'เวลาเรียน4-16'!B18</f>
        <v>เด็กหญิงปุญญิศา  อุปทุม</v>
      </c>
      <c r="C19" s="5">
        <v>30</v>
      </c>
      <c r="D19" s="5"/>
      <c r="E19" s="5"/>
      <c r="F19" s="5"/>
      <c r="G19" s="5"/>
      <c r="H19" s="5"/>
      <c r="I19" s="5"/>
      <c r="J19" s="5"/>
      <c r="K19" s="5"/>
      <c r="L19" s="5"/>
      <c r="M19" s="12">
        <f t="shared" si="0"/>
        <v>30</v>
      </c>
      <c r="N19" s="5">
        <v>13</v>
      </c>
      <c r="O19" s="11">
        <f t="shared" si="1"/>
        <v>43</v>
      </c>
      <c r="P19" s="5">
        <v>13</v>
      </c>
      <c r="Q19" s="19" t="str">
        <f t="shared" si="2"/>
        <v>เด็กหญิงปุญญิศา  อุปทุม</v>
      </c>
      <c r="R19" s="5">
        <v>30</v>
      </c>
      <c r="S19" s="5"/>
      <c r="T19" s="5"/>
      <c r="U19" s="5"/>
      <c r="V19" s="5"/>
      <c r="W19" s="5"/>
      <c r="X19" s="5"/>
      <c r="Y19" s="5"/>
      <c r="Z19" s="5"/>
      <c r="AA19" s="5"/>
      <c r="AB19" s="12">
        <f t="shared" si="3"/>
        <v>30</v>
      </c>
      <c r="AC19" s="5">
        <v>15</v>
      </c>
      <c r="AD19" s="11">
        <f t="shared" si="4"/>
        <v>45</v>
      </c>
      <c r="AE19" s="5">
        <v>13</v>
      </c>
      <c r="AF19" s="19" t="str">
        <f>'เวลาเรียน4-16'!B18</f>
        <v>เด็กหญิงปุญญิศา  อุปทุม</v>
      </c>
      <c r="AG19" s="22">
        <f t="shared" si="5"/>
        <v>43</v>
      </c>
      <c r="AH19" s="22">
        <f t="shared" si="6"/>
        <v>45</v>
      </c>
      <c r="AI19" s="22">
        <f t="shared" si="7"/>
        <v>88</v>
      </c>
      <c r="AJ19" s="22">
        <f t="shared" si="8"/>
        <v>4</v>
      </c>
      <c r="AK19" s="13"/>
      <c r="AL19" s="13"/>
      <c r="AM19" s="266"/>
      <c r="AN19" s="267"/>
      <c r="AO19" s="267"/>
      <c r="AP19" s="267"/>
      <c r="AQ19" s="267"/>
      <c r="AR19" s="267"/>
      <c r="AS19" s="267"/>
      <c r="AT19" s="267"/>
      <c r="AU19" s="268"/>
    </row>
    <row r="20" spans="1:47" ht="24" x14ac:dyDescent="0.4">
      <c r="A20" s="5"/>
      <c r="B20" s="19"/>
      <c r="C20" s="5"/>
      <c r="D20" s="5"/>
      <c r="E20" s="5"/>
      <c r="F20" s="5"/>
      <c r="G20" s="5"/>
      <c r="H20" s="5"/>
      <c r="I20" s="5"/>
      <c r="J20" s="5"/>
      <c r="K20" s="5"/>
      <c r="L20" s="5"/>
      <c r="M20" s="12"/>
      <c r="N20" s="5"/>
      <c r="O20" s="11"/>
      <c r="P20" s="5"/>
      <c r="Q20" s="19"/>
      <c r="R20" s="5"/>
      <c r="S20" s="5"/>
      <c r="T20" s="5"/>
      <c r="U20" s="5"/>
      <c r="V20" s="5"/>
      <c r="W20" s="5"/>
      <c r="X20" s="5"/>
      <c r="Y20" s="5"/>
      <c r="Z20" s="5"/>
      <c r="AA20" s="5"/>
      <c r="AB20" s="12"/>
      <c r="AC20" s="5"/>
      <c r="AD20" s="11"/>
      <c r="AE20" s="5"/>
      <c r="AF20" s="19"/>
      <c r="AG20" s="22"/>
      <c r="AH20" s="22"/>
      <c r="AI20" s="22"/>
      <c r="AJ20" s="22"/>
      <c r="AK20" s="13"/>
      <c r="AL20" s="13"/>
      <c r="AM20" s="266"/>
      <c r="AN20" s="267"/>
      <c r="AO20" s="267"/>
      <c r="AP20" s="267"/>
      <c r="AQ20" s="267"/>
      <c r="AR20" s="267"/>
      <c r="AS20" s="267"/>
      <c r="AT20" s="267"/>
      <c r="AU20" s="268"/>
    </row>
    <row r="21" spans="1:47" ht="24" x14ac:dyDescent="0.4">
      <c r="A21" s="5"/>
      <c r="B21" s="19"/>
      <c r="C21" s="5"/>
      <c r="D21" s="5"/>
      <c r="E21" s="5"/>
      <c r="F21" s="5"/>
      <c r="G21" s="5"/>
      <c r="H21" s="5"/>
      <c r="I21" s="5"/>
      <c r="J21" s="5"/>
      <c r="K21" s="5"/>
      <c r="L21" s="5"/>
      <c r="M21" s="12"/>
      <c r="N21" s="5"/>
      <c r="O21" s="11"/>
      <c r="P21" s="5"/>
      <c r="Q21" s="19"/>
      <c r="R21" s="5"/>
      <c r="S21" s="5"/>
      <c r="T21" s="5"/>
      <c r="U21" s="5"/>
      <c r="V21" s="5"/>
      <c r="W21" s="5"/>
      <c r="X21" s="5"/>
      <c r="Y21" s="5"/>
      <c r="Z21" s="5"/>
      <c r="AA21" s="5"/>
      <c r="AB21" s="12"/>
      <c r="AC21" s="5"/>
      <c r="AD21" s="11"/>
      <c r="AE21" s="5"/>
      <c r="AF21" s="19"/>
      <c r="AG21" s="22"/>
      <c r="AH21" s="22"/>
      <c r="AI21" s="22"/>
      <c r="AJ21" s="22"/>
      <c r="AK21" s="13"/>
      <c r="AL21" s="13"/>
      <c r="AM21" s="266"/>
      <c r="AN21" s="267"/>
      <c r="AO21" s="267"/>
      <c r="AP21" s="267"/>
      <c r="AQ21" s="267"/>
      <c r="AR21" s="267"/>
      <c r="AS21" s="267"/>
      <c r="AT21" s="267"/>
      <c r="AU21" s="268"/>
    </row>
    <row r="22" spans="1:47" ht="24" x14ac:dyDescent="0.4">
      <c r="A22" s="5"/>
      <c r="B22" s="19"/>
      <c r="C22" s="5"/>
      <c r="D22" s="5"/>
      <c r="E22" s="5"/>
      <c r="F22" s="5"/>
      <c r="G22" s="5"/>
      <c r="H22" s="5"/>
      <c r="I22" s="5"/>
      <c r="J22" s="5"/>
      <c r="K22" s="5"/>
      <c r="L22" s="5"/>
      <c r="M22" s="12"/>
      <c r="N22" s="5"/>
      <c r="O22" s="11"/>
      <c r="P22" s="5"/>
      <c r="Q22" s="19"/>
      <c r="R22" s="5"/>
      <c r="S22" s="5"/>
      <c r="T22" s="5"/>
      <c r="U22" s="5"/>
      <c r="V22" s="5"/>
      <c r="W22" s="5"/>
      <c r="X22" s="5"/>
      <c r="Y22" s="5"/>
      <c r="Z22" s="5"/>
      <c r="AA22" s="5"/>
      <c r="AB22" s="12"/>
      <c r="AC22" s="5"/>
      <c r="AD22" s="11"/>
      <c r="AE22" s="5"/>
      <c r="AF22" s="19"/>
      <c r="AG22" s="22"/>
      <c r="AH22" s="22"/>
      <c r="AI22" s="22"/>
      <c r="AJ22" s="22"/>
      <c r="AK22" s="13"/>
      <c r="AL22" s="13"/>
      <c r="AM22" s="266"/>
      <c r="AN22" s="267"/>
      <c r="AO22" s="267"/>
      <c r="AP22" s="267"/>
      <c r="AQ22" s="267"/>
      <c r="AR22" s="267"/>
      <c r="AS22" s="267"/>
      <c r="AT22" s="267"/>
      <c r="AU22" s="268"/>
    </row>
    <row r="23" spans="1:47" ht="24" x14ac:dyDescent="0.4">
      <c r="A23" s="5"/>
      <c r="B23" s="19"/>
      <c r="C23" s="5"/>
      <c r="D23" s="5"/>
      <c r="E23" s="5"/>
      <c r="F23" s="5"/>
      <c r="G23" s="5"/>
      <c r="H23" s="5"/>
      <c r="I23" s="5"/>
      <c r="J23" s="5"/>
      <c r="K23" s="5"/>
      <c r="L23" s="5"/>
      <c r="M23" s="12"/>
      <c r="N23" s="5"/>
      <c r="O23" s="11"/>
      <c r="P23" s="5"/>
      <c r="Q23" s="19"/>
      <c r="R23" s="5"/>
      <c r="S23" s="5"/>
      <c r="T23" s="5"/>
      <c r="U23" s="5"/>
      <c r="V23" s="5"/>
      <c r="W23" s="5"/>
      <c r="X23" s="5"/>
      <c r="Y23" s="5"/>
      <c r="Z23" s="5"/>
      <c r="AA23" s="5"/>
      <c r="AB23" s="12"/>
      <c r="AC23" s="5"/>
      <c r="AD23" s="11"/>
      <c r="AE23" s="5"/>
      <c r="AF23" s="19"/>
      <c r="AG23" s="22"/>
      <c r="AH23" s="22"/>
      <c r="AI23" s="22"/>
      <c r="AJ23" s="22"/>
      <c r="AK23" s="13"/>
      <c r="AL23" s="13"/>
      <c r="AM23" s="266"/>
      <c r="AN23" s="267"/>
      <c r="AO23" s="267"/>
      <c r="AP23" s="267"/>
      <c r="AQ23" s="267"/>
      <c r="AR23" s="267"/>
      <c r="AS23" s="267"/>
      <c r="AT23" s="267"/>
      <c r="AU23" s="268"/>
    </row>
    <row r="24" spans="1:47" ht="24" x14ac:dyDescent="0.4">
      <c r="A24" s="5"/>
      <c r="B24" s="19"/>
      <c r="C24" s="5"/>
      <c r="D24" s="5"/>
      <c r="E24" s="5"/>
      <c r="F24" s="5"/>
      <c r="G24" s="5"/>
      <c r="H24" s="5"/>
      <c r="I24" s="5"/>
      <c r="J24" s="5"/>
      <c r="K24" s="5"/>
      <c r="L24" s="5"/>
      <c r="M24" s="12"/>
      <c r="N24" s="5"/>
      <c r="O24" s="11"/>
      <c r="P24" s="5"/>
      <c r="Q24" s="19"/>
      <c r="R24" s="5"/>
      <c r="S24" s="5"/>
      <c r="T24" s="5"/>
      <c r="U24" s="5"/>
      <c r="V24" s="5"/>
      <c r="W24" s="5"/>
      <c r="X24" s="5"/>
      <c r="Y24" s="5"/>
      <c r="Z24" s="5"/>
      <c r="AA24" s="5"/>
      <c r="AB24" s="12"/>
      <c r="AC24" s="5"/>
      <c r="AD24" s="11"/>
      <c r="AE24" s="5"/>
      <c r="AF24" s="19"/>
      <c r="AG24" s="22"/>
      <c r="AH24" s="22"/>
      <c r="AI24" s="22"/>
      <c r="AJ24" s="22"/>
      <c r="AK24" s="13"/>
      <c r="AL24" s="13"/>
      <c r="AM24" s="266"/>
      <c r="AN24" s="267"/>
      <c r="AO24" s="267"/>
      <c r="AP24" s="267"/>
      <c r="AQ24" s="267"/>
      <c r="AR24" s="267"/>
      <c r="AS24" s="267"/>
      <c r="AT24" s="267"/>
      <c r="AU24" s="268"/>
    </row>
    <row r="25" spans="1:47" ht="24" x14ac:dyDescent="0.4">
      <c r="A25" s="5"/>
      <c r="B25" s="19"/>
      <c r="C25" s="5"/>
      <c r="D25" s="5"/>
      <c r="E25" s="5"/>
      <c r="F25" s="5"/>
      <c r="G25" s="5"/>
      <c r="H25" s="5"/>
      <c r="I25" s="5"/>
      <c r="J25" s="5"/>
      <c r="K25" s="5"/>
      <c r="L25" s="5"/>
      <c r="M25" s="12"/>
      <c r="N25" s="5"/>
      <c r="O25" s="11"/>
      <c r="P25" s="5"/>
      <c r="Q25" s="19"/>
      <c r="R25" s="5"/>
      <c r="S25" s="5"/>
      <c r="T25" s="5"/>
      <c r="U25" s="5"/>
      <c r="V25" s="5"/>
      <c r="W25" s="5"/>
      <c r="X25" s="5"/>
      <c r="Y25" s="5"/>
      <c r="Z25" s="5"/>
      <c r="AA25" s="5"/>
      <c r="AB25" s="12"/>
      <c r="AC25" s="5"/>
      <c r="AD25" s="11"/>
      <c r="AE25" s="5"/>
      <c r="AF25" s="19"/>
      <c r="AG25" s="22"/>
      <c r="AH25" s="22"/>
      <c r="AI25" s="22"/>
      <c r="AJ25" s="22"/>
      <c r="AK25" s="13"/>
      <c r="AL25" s="13"/>
      <c r="AM25" s="266"/>
      <c r="AN25" s="267"/>
      <c r="AO25" s="267"/>
      <c r="AP25" s="267"/>
      <c r="AQ25" s="267"/>
      <c r="AR25" s="267"/>
      <c r="AS25" s="267"/>
      <c r="AT25" s="267"/>
      <c r="AU25" s="268"/>
    </row>
    <row r="26" spans="1:47" ht="24" x14ac:dyDescent="0.4">
      <c r="A26" s="5"/>
      <c r="B26" s="19"/>
      <c r="C26" s="5"/>
      <c r="D26" s="5"/>
      <c r="E26" s="5"/>
      <c r="F26" s="5"/>
      <c r="G26" s="5"/>
      <c r="H26" s="5"/>
      <c r="I26" s="5"/>
      <c r="J26" s="5"/>
      <c r="K26" s="5"/>
      <c r="L26" s="5"/>
      <c r="M26" s="12"/>
      <c r="N26" s="5"/>
      <c r="O26" s="11"/>
      <c r="P26" s="5"/>
      <c r="Q26" s="19"/>
      <c r="R26" s="5"/>
      <c r="S26" s="5"/>
      <c r="T26" s="5"/>
      <c r="U26" s="5"/>
      <c r="V26" s="5"/>
      <c r="W26" s="5"/>
      <c r="X26" s="5"/>
      <c r="Y26" s="5"/>
      <c r="Z26" s="5"/>
      <c r="AA26" s="5"/>
      <c r="AB26" s="12"/>
      <c r="AC26" s="5"/>
      <c r="AD26" s="11"/>
      <c r="AE26" s="5"/>
      <c r="AF26" s="19"/>
      <c r="AG26" s="22"/>
      <c r="AH26" s="22"/>
      <c r="AI26" s="22"/>
      <c r="AJ26" s="22"/>
      <c r="AK26" s="13"/>
      <c r="AL26" s="13"/>
      <c r="AM26" s="266"/>
      <c r="AN26" s="267"/>
      <c r="AO26" s="267"/>
      <c r="AP26" s="267"/>
      <c r="AQ26" s="267"/>
      <c r="AR26" s="267"/>
      <c r="AS26" s="267"/>
      <c r="AT26" s="267"/>
      <c r="AU26" s="268"/>
    </row>
    <row r="27" spans="1:47" ht="24" x14ac:dyDescent="0.4">
      <c r="A27" s="5"/>
      <c r="B27" s="19"/>
      <c r="C27" s="5"/>
      <c r="D27" s="5"/>
      <c r="E27" s="5"/>
      <c r="F27" s="5"/>
      <c r="G27" s="5"/>
      <c r="H27" s="5"/>
      <c r="I27" s="5"/>
      <c r="J27" s="5"/>
      <c r="K27" s="5"/>
      <c r="L27" s="5"/>
      <c r="M27" s="12"/>
      <c r="N27" s="5"/>
      <c r="O27" s="11"/>
      <c r="P27" s="5"/>
      <c r="Q27" s="19"/>
      <c r="R27" s="5"/>
      <c r="S27" s="5"/>
      <c r="T27" s="5"/>
      <c r="U27" s="5"/>
      <c r="V27" s="5"/>
      <c r="W27" s="5"/>
      <c r="X27" s="5"/>
      <c r="Y27" s="5"/>
      <c r="Z27" s="5"/>
      <c r="AA27" s="5"/>
      <c r="AB27" s="12"/>
      <c r="AC27" s="5"/>
      <c r="AD27" s="11"/>
      <c r="AE27" s="5"/>
      <c r="AF27" s="19"/>
      <c r="AG27" s="22"/>
      <c r="AH27" s="22"/>
      <c r="AI27" s="22"/>
      <c r="AJ27" s="22"/>
      <c r="AK27" s="13"/>
      <c r="AL27" s="13"/>
      <c r="AM27" s="266"/>
      <c r="AN27" s="267"/>
      <c r="AO27" s="267"/>
      <c r="AP27" s="267"/>
      <c r="AQ27" s="267"/>
      <c r="AR27" s="267"/>
      <c r="AS27" s="267"/>
      <c r="AT27" s="267"/>
      <c r="AU27" s="268"/>
    </row>
    <row r="28" spans="1:47" ht="24" x14ac:dyDescent="0.4">
      <c r="A28" s="5"/>
      <c r="B28" s="19"/>
      <c r="C28" s="5"/>
      <c r="D28" s="5"/>
      <c r="E28" s="5"/>
      <c r="F28" s="5"/>
      <c r="G28" s="5"/>
      <c r="H28" s="5"/>
      <c r="I28" s="5"/>
      <c r="J28" s="5"/>
      <c r="K28" s="5"/>
      <c r="L28" s="5"/>
      <c r="M28" s="12"/>
      <c r="N28" s="5"/>
      <c r="O28" s="11"/>
      <c r="P28" s="5"/>
      <c r="Q28" s="19"/>
      <c r="R28" s="5"/>
      <c r="S28" s="5"/>
      <c r="T28" s="5"/>
      <c r="U28" s="5"/>
      <c r="V28" s="5"/>
      <c r="W28" s="5"/>
      <c r="X28" s="5"/>
      <c r="Y28" s="5"/>
      <c r="Z28" s="5"/>
      <c r="AA28" s="5"/>
      <c r="AB28" s="12"/>
      <c r="AC28" s="5"/>
      <c r="AD28" s="11"/>
      <c r="AE28" s="5"/>
      <c r="AF28" s="19"/>
      <c r="AG28" s="22"/>
      <c r="AH28" s="22"/>
      <c r="AI28" s="22"/>
      <c r="AJ28" s="22"/>
      <c r="AK28" s="13"/>
      <c r="AL28" s="13"/>
      <c r="AM28" s="266"/>
      <c r="AN28" s="267"/>
      <c r="AO28" s="267"/>
      <c r="AP28" s="267"/>
      <c r="AQ28" s="267"/>
      <c r="AR28" s="267"/>
      <c r="AS28" s="267"/>
      <c r="AT28" s="267"/>
      <c r="AU28" s="268"/>
    </row>
    <row r="29" spans="1:47" ht="24" x14ac:dyDescent="0.4">
      <c r="A29" s="5"/>
      <c r="B29" s="19"/>
      <c r="C29" s="5"/>
      <c r="D29" s="5"/>
      <c r="E29" s="5"/>
      <c r="F29" s="5"/>
      <c r="G29" s="5"/>
      <c r="H29" s="5"/>
      <c r="I29" s="5"/>
      <c r="J29" s="5"/>
      <c r="K29" s="5"/>
      <c r="L29" s="5"/>
      <c r="M29" s="12"/>
      <c r="N29" s="5"/>
      <c r="O29" s="11"/>
      <c r="P29" s="5"/>
      <c r="Q29" s="19"/>
      <c r="R29" s="5"/>
      <c r="S29" s="5"/>
      <c r="T29" s="5"/>
      <c r="U29" s="5"/>
      <c r="V29" s="5"/>
      <c r="W29" s="5"/>
      <c r="X29" s="5"/>
      <c r="Y29" s="5"/>
      <c r="Z29" s="5"/>
      <c r="AA29" s="5"/>
      <c r="AB29" s="12"/>
      <c r="AC29" s="5"/>
      <c r="AD29" s="11"/>
      <c r="AE29" s="5"/>
      <c r="AF29" s="19"/>
      <c r="AG29" s="22"/>
      <c r="AH29" s="22"/>
      <c r="AI29" s="22"/>
      <c r="AJ29" s="22"/>
      <c r="AK29" s="13"/>
      <c r="AL29" s="13"/>
      <c r="AM29" s="266"/>
      <c r="AN29" s="267"/>
      <c r="AO29" s="267"/>
      <c r="AP29" s="267"/>
      <c r="AQ29" s="267"/>
      <c r="AR29" s="267"/>
      <c r="AS29" s="267"/>
      <c r="AT29" s="267"/>
      <c r="AU29" s="268"/>
    </row>
    <row r="30" spans="1:47" ht="24" x14ac:dyDescent="0.4">
      <c r="A30" s="5"/>
      <c r="B30" s="19"/>
      <c r="C30" s="5"/>
      <c r="D30" s="5"/>
      <c r="E30" s="5"/>
      <c r="F30" s="5"/>
      <c r="G30" s="5"/>
      <c r="H30" s="5"/>
      <c r="I30" s="5"/>
      <c r="J30" s="5"/>
      <c r="K30" s="5"/>
      <c r="L30" s="5"/>
      <c r="M30" s="12"/>
      <c r="N30" s="5"/>
      <c r="O30" s="11"/>
      <c r="P30" s="5"/>
      <c r="Q30" s="19"/>
      <c r="R30" s="5"/>
      <c r="S30" s="5"/>
      <c r="T30" s="5"/>
      <c r="U30" s="5"/>
      <c r="V30" s="5"/>
      <c r="W30" s="5"/>
      <c r="X30" s="5"/>
      <c r="Y30" s="5"/>
      <c r="Z30" s="5"/>
      <c r="AA30" s="5"/>
      <c r="AB30" s="12"/>
      <c r="AC30" s="5"/>
      <c r="AD30" s="11"/>
      <c r="AE30" s="5"/>
      <c r="AF30" s="19"/>
      <c r="AG30" s="22"/>
      <c r="AH30" s="22"/>
      <c r="AI30" s="22"/>
      <c r="AJ30" s="22"/>
      <c r="AK30" s="13"/>
      <c r="AL30" s="13"/>
      <c r="AM30" s="266"/>
      <c r="AN30" s="267"/>
      <c r="AO30" s="267"/>
      <c r="AP30" s="267"/>
      <c r="AQ30" s="267"/>
      <c r="AR30" s="267"/>
      <c r="AS30" s="267"/>
      <c r="AT30" s="267"/>
      <c r="AU30" s="268"/>
    </row>
    <row r="31" spans="1:47" ht="24" x14ac:dyDescent="0.4">
      <c r="A31" s="5"/>
      <c r="B31" s="19"/>
      <c r="C31" s="5"/>
      <c r="D31" s="5"/>
      <c r="E31" s="5"/>
      <c r="F31" s="5"/>
      <c r="G31" s="5"/>
      <c r="H31" s="5"/>
      <c r="I31" s="5"/>
      <c r="J31" s="5"/>
      <c r="K31" s="5"/>
      <c r="L31" s="5"/>
      <c r="M31" s="12"/>
      <c r="N31" s="5"/>
      <c r="O31" s="11"/>
      <c r="P31" s="5"/>
      <c r="Q31" s="19"/>
      <c r="R31" s="5"/>
      <c r="S31" s="5"/>
      <c r="T31" s="5"/>
      <c r="U31" s="5"/>
      <c r="V31" s="5"/>
      <c r="W31" s="5"/>
      <c r="X31" s="5"/>
      <c r="Y31" s="5"/>
      <c r="Z31" s="5"/>
      <c r="AA31" s="5"/>
      <c r="AB31" s="12"/>
      <c r="AC31" s="5"/>
      <c r="AD31" s="11"/>
      <c r="AE31" s="5"/>
      <c r="AF31" s="19"/>
      <c r="AG31" s="22"/>
      <c r="AH31" s="22"/>
      <c r="AI31" s="22"/>
      <c r="AJ31" s="22"/>
      <c r="AK31" s="13"/>
      <c r="AL31" s="13"/>
      <c r="AM31" s="266"/>
      <c r="AN31" s="267"/>
      <c r="AO31" s="267"/>
      <c r="AP31" s="267"/>
      <c r="AQ31" s="267"/>
      <c r="AR31" s="267"/>
      <c r="AS31" s="267"/>
      <c r="AT31" s="267"/>
      <c r="AU31" s="268"/>
    </row>
    <row r="32" spans="1:47" ht="24" x14ac:dyDescent="0.4">
      <c r="A32" s="5"/>
      <c r="B32" s="19"/>
      <c r="C32" s="5"/>
      <c r="D32" s="5"/>
      <c r="E32" s="5"/>
      <c r="F32" s="5"/>
      <c r="G32" s="5"/>
      <c r="H32" s="5"/>
      <c r="I32" s="5"/>
      <c r="J32" s="5"/>
      <c r="K32" s="5"/>
      <c r="L32" s="5"/>
      <c r="M32" s="12"/>
      <c r="N32" s="5"/>
      <c r="O32" s="11"/>
      <c r="P32" s="5"/>
      <c r="Q32" s="19"/>
      <c r="R32" s="5"/>
      <c r="S32" s="5"/>
      <c r="T32" s="5"/>
      <c r="U32" s="5"/>
      <c r="V32" s="5"/>
      <c r="W32" s="5"/>
      <c r="X32" s="5"/>
      <c r="Y32" s="5"/>
      <c r="Z32" s="5"/>
      <c r="AA32" s="5"/>
      <c r="AB32" s="12"/>
      <c r="AC32" s="5"/>
      <c r="AD32" s="11"/>
      <c r="AE32" s="5"/>
      <c r="AF32" s="19"/>
      <c r="AG32" s="22"/>
      <c r="AH32" s="22"/>
      <c r="AI32" s="22"/>
      <c r="AJ32" s="22"/>
      <c r="AK32" s="13"/>
      <c r="AL32" s="13"/>
      <c r="AM32" s="266"/>
      <c r="AN32" s="267"/>
      <c r="AO32" s="267"/>
      <c r="AP32" s="267"/>
      <c r="AQ32" s="267"/>
      <c r="AR32" s="267"/>
      <c r="AS32" s="267"/>
      <c r="AT32" s="267"/>
      <c r="AU32" s="268"/>
    </row>
    <row r="33" spans="1:47" ht="24" x14ac:dyDescent="0.4">
      <c r="A33" s="5"/>
      <c r="B33" s="19"/>
      <c r="C33" s="5"/>
      <c r="D33" s="5"/>
      <c r="E33" s="5"/>
      <c r="F33" s="5"/>
      <c r="G33" s="5"/>
      <c r="H33" s="5"/>
      <c r="I33" s="5"/>
      <c r="J33" s="5"/>
      <c r="K33" s="5"/>
      <c r="L33" s="5"/>
      <c r="M33" s="12"/>
      <c r="N33" s="5"/>
      <c r="O33" s="11"/>
      <c r="P33" s="5"/>
      <c r="Q33" s="19"/>
      <c r="R33" s="5"/>
      <c r="S33" s="5"/>
      <c r="T33" s="5"/>
      <c r="U33" s="5"/>
      <c r="V33" s="5"/>
      <c r="W33" s="5"/>
      <c r="X33" s="5"/>
      <c r="Y33" s="5"/>
      <c r="Z33" s="5"/>
      <c r="AA33" s="5"/>
      <c r="AB33" s="12"/>
      <c r="AC33" s="5"/>
      <c r="AD33" s="11"/>
      <c r="AE33" s="5"/>
      <c r="AF33" s="19"/>
      <c r="AG33" s="22"/>
      <c r="AH33" s="22"/>
      <c r="AI33" s="22"/>
      <c r="AJ33" s="22"/>
      <c r="AK33" s="13"/>
      <c r="AL33" s="13"/>
      <c r="AM33" s="266"/>
      <c r="AN33" s="267"/>
      <c r="AO33" s="267"/>
      <c r="AP33" s="267"/>
      <c r="AQ33" s="267"/>
      <c r="AR33" s="267"/>
      <c r="AS33" s="267"/>
      <c r="AT33" s="267"/>
      <c r="AU33" s="268"/>
    </row>
    <row r="34" spans="1:47" ht="24" x14ac:dyDescent="0.4">
      <c r="A34" s="5"/>
      <c r="B34" s="19"/>
      <c r="C34" s="5"/>
      <c r="D34" s="5"/>
      <c r="E34" s="5"/>
      <c r="F34" s="5"/>
      <c r="G34" s="5"/>
      <c r="H34" s="5"/>
      <c r="I34" s="5"/>
      <c r="J34" s="5"/>
      <c r="K34" s="5"/>
      <c r="L34" s="5"/>
      <c r="M34" s="12"/>
      <c r="N34" s="5"/>
      <c r="O34" s="11"/>
      <c r="P34" s="5"/>
      <c r="Q34" s="19"/>
      <c r="R34" s="5"/>
      <c r="S34" s="5"/>
      <c r="T34" s="5"/>
      <c r="U34" s="5"/>
      <c r="V34" s="5"/>
      <c r="W34" s="5"/>
      <c r="X34" s="5"/>
      <c r="Y34" s="5"/>
      <c r="Z34" s="5"/>
      <c r="AA34" s="5"/>
      <c r="AB34" s="12"/>
      <c r="AC34" s="5"/>
      <c r="AD34" s="11"/>
      <c r="AE34" s="5"/>
      <c r="AF34" s="19"/>
      <c r="AG34" s="22"/>
      <c r="AH34" s="22"/>
      <c r="AI34" s="22"/>
      <c r="AJ34" s="22"/>
      <c r="AK34" s="13"/>
      <c r="AL34" s="13"/>
      <c r="AM34" s="266"/>
      <c r="AN34" s="267"/>
      <c r="AO34" s="267"/>
      <c r="AP34" s="267"/>
      <c r="AQ34" s="267"/>
      <c r="AR34" s="267"/>
      <c r="AS34" s="267"/>
      <c r="AT34" s="267"/>
      <c r="AU34" s="268"/>
    </row>
    <row r="35" spans="1:47" ht="24" x14ac:dyDescent="0.4">
      <c r="A35" s="5"/>
      <c r="B35" s="19"/>
      <c r="C35" s="5"/>
      <c r="D35" s="5"/>
      <c r="E35" s="5"/>
      <c r="F35" s="5"/>
      <c r="G35" s="5"/>
      <c r="H35" s="5"/>
      <c r="I35" s="5"/>
      <c r="J35" s="5"/>
      <c r="K35" s="5"/>
      <c r="L35" s="5"/>
      <c r="M35" s="12"/>
      <c r="N35" s="5"/>
      <c r="O35" s="11"/>
      <c r="P35" s="5"/>
      <c r="Q35" s="19"/>
      <c r="R35" s="5"/>
      <c r="S35" s="5"/>
      <c r="T35" s="5"/>
      <c r="U35" s="5"/>
      <c r="V35" s="5"/>
      <c r="W35" s="5"/>
      <c r="X35" s="5"/>
      <c r="Y35" s="5"/>
      <c r="Z35" s="5"/>
      <c r="AA35" s="5"/>
      <c r="AB35" s="12"/>
      <c r="AC35" s="5"/>
      <c r="AD35" s="11"/>
      <c r="AE35" s="5"/>
      <c r="AF35" s="19"/>
      <c r="AG35" s="22"/>
      <c r="AH35" s="22"/>
      <c r="AI35" s="22"/>
      <c r="AJ35" s="22"/>
      <c r="AK35" s="13"/>
      <c r="AL35" s="13"/>
      <c r="AM35" s="266"/>
      <c r="AN35" s="267"/>
      <c r="AO35" s="267"/>
      <c r="AP35" s="267"/>
      <c r="AQ35" s="267"/>
      <c r="AR35" s="267"/>
      <c r="AS35" s="267"/>
      <c r="AT35" s="267"/>
      <c r="AU35" s="268"/>
    </row>
    <row r="36" spans="1:47" ht="20" thickBot="1" x14ac:dyDescent="0.4">
      <c r="AM36" s="269"/>
      <c r="AN36" s="270"/>
      <c r="AO36" s="270"/>
      <c r="AP36" s="270"/>
      <c r="AQ36" s="270"/>
      <c r="AR36" s="270"/>
      <c r="AS36" s="270"/>
      <c r="AT36" s="270"/>
      <c r="AU36" s="271"/>
    </row>
    <row r="48" spans="1:47" ht="14.25" customHeight="1" x14ac:dyDescent="0.35"/>
    <row r="49" ht="14.25" customHeight="1" x14ac:dyDescent="0.35"/>
    <row r="50" ht="14.25" customHeight="1" x14ac:dyDescent="0.35"/>
  </sheetData>
  <mergeCells count="57">
    <mergeCell ref="A2:O2"/>
    <mergeCell ref="P2:AD2"/>
    <mergeCell ref="AE2:AL2"/>
    <mergeCell ref="AM2:AU2"/>
    <mergeCell ref="A3:O3"/>
    <mergeCell ref="P3:AD3"/>
    <mergeCell ref="AE3:AL3"/>
    <mergeCell ref="AM3:AU3"/>
    <mergeCell ref="AH4:AH5"/>
    <mergeCell ref="A4:A6"/>
    <mergeCell ref="C4:M4"/>
    <mergeCell ref="N4:N5"/>
    <mergeCell ref="O4:O5"/>
    <mergeCell ref="P4:P6"/>
    <mergeCell ref="R4:AB4"/>
    <mergeCell ref="AC4:AC5"/>
    <mergeCell ref="AD4:AD5"/>
    <mergeCell ref="AE4:AE6"/>
    <mergeCell ref="AF4:AF5"/>
    <mergeCell ref="AG4:AG5"/>
    <mergeCell ref="AI4:AI5"/>
    <mergeCell ref="AJ4:AJ6"/>
    <mergeCell ref="AK4:AK6"/>
    <mergeCell ref="AL4:AL6"/>
    <mergeCell ref="AM4:AU4"/>
    <mergeCell ref="AM5:AU5"/>
    <mergeCell ref="AM6:AU6"/>
    <mergeCell ref="AM18:AU18"/>
    <mergeCell ref="AM7:AU7"/>
    <mergeCell ref="AM8:AU8"/>
    <mergeCell ref="AM9:AU9"/>
    <mergeCell ref="AM10:AU10"/>
    <mergeCell ref="AM11:AU11"/>
    <mergeCell ref="AM12:AU12"/>
    <mergeCell ref="AM13:AU13"/>
    <mergeCell ref="AM14:AU14"/>
    <mergeCell ref="AM15:AU15"/>
    <mergeCell ref="AM16:AU16"/>
    <mergeCell ref="AM17:AU17"/>
    <mergeCell ref="AM29:AU29"/>
    <mergeCell ref="AM19:AU19"/>
    <mergeCell ref="AM20:AU20"/>
    <mergeCell ref="AM21:AU21"/>
    <mergeCell ref="AM22:AU22"/>
    <mergeCell ref="AM23:AU23"/>
    <mergeCell ref="AM24:AU24"/>
    <mergeCell ref="AM25:AU25"/>
    <mergeCell ref="AM26:AU26"/>
    <mergeCell ref="AM27:AU27"/>
    <mergeCell ref="AM28:AU28"/>
    <mergeCell ref="AM36:AU36"/>
    <mergeCell ref="AM30:AU30"/>
    <mergeCell ref="AM31:AU31"/>
    <mergeCell ref="AM32:AU32"/>
    <mergeCell ref="AM33:AU33"/>
    <mergeCell ref="AM34:AU34"/>
    <mergeCell ref="AM35:AU35"/>
  </mergeCells>
  <pageMargins left="0.85416666666666663" right="0.17708333333333334" top="0.46875" bottom="0.75" header="0.3" footer="0.3"/>
  <pageSetup paperSize="9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33"/>
  <sheetViews>
    <sheetView view="pageLayout" topLeftCell="H3" zoomScale="110" zoomScaleNormal="100" zoomScalePageLayoutView="110" workbookViewId="0">
      <selection activeCell="B18" sqref="A18:XFD18"/>
    </sheetView>
  </sheetViews>
  <sheetFormatPr baseColWidth="10" defaultColWidth="8.83203125" defaultRowHeight="24" x14ac:dyDescent="0.4"/>
  <cols>
    <col min="1" max="1" width="3.1640625" customWidth="1"/>
    <col min="2" max="2" width="19.6640625" customWidth="1"/>
    <col min="3" max="10" width="3.1640625" customWidth="1"/>
    <col min="11" max="11" width="4.1640625" customWidth="1"/>
    <col min="12" max="12" width="5.33203125" customWidth="1"/>
    <col min="13" max="18" width="3.83203125" customWidth="1"/>
    <col min="19" max="19" width="5.83203125" customWidth="1"/>
    <col min="20" max="20" width="4.1640625" style="1" customWidth="1"/>
    <col min="21" max="21" width="23.6640625" style="1" customWidth="1"/>
    <col min="22" max="26" width="5.1640625" style="2" customWidth="1"/>
    <col min="27" max="27" width="9" style="2"/>
  </cols>
  <sheetData>
    <row r="1" spans="1:27" s="1" customFormat="1" ht="25" thickBot="1" x14ac:dyDescent="0.45">
      <c r="S1" s="1">
        <v>57</v>
      </c>
      <c r="V1" s="2"/>
      <c r="W1" s="2"/>
      <c r="X1" s="2"/>
      <c r="Y1" s="2"/>
      <c r="Z1" s="2"/>
      <c r="AA1" s="2"/>
    </row>
    <row r="2" spans="1:27" ht="25" thickBot="1" x14ac:dyDescent="0.45">
      <c r="A2" s="285" t="s">
        <v>60</v>
      </c>
      <c r="B2" s="286"/>
      <c r="C2" s="287" t="s">
        <v>57</v>
      </c>
      <c r="D2" s="288"/>
      <c r="E2" s="288"/>
      <c r="F2" s="288"/>
      <c r="G2" s="288"/>
      <c r="H2" s="288"/>
      <c r="I2" s="288"/>
      <c r="J2" s="288"/>
      <c r="K2" s="288"/>
      <c r="L2" s="289"/>
      <c r="M2" s="287" t="s">
        <v>61</v>
      </c>
      <c r="N2" s="288"/>
      <c r="O2" s="288"/>
      <c r="P2" s="288"/>
      <c r="Q2" s="288"/>
      <c r="R2" s="288"/>
      <c r="S2" s="288"/>
      <c r="T2" s="165" t="s">
        <v>1</v>
      </c>
      <c r="U2" s="284" t="s">
        <v>62</v>
      </c>
      <c r="V2" s="216" t="s">
        <v>253</v>
      </c>
      <c r="W2" s="216"/>
      <c r="X2" s="216"/>
      <c r="Y2" s="216"/>
      <c r="Z2" s="216"/>
      <c r="AA2" s="216"/>
    </row>
    <row r="3" spans="1:27" ht="113" thickBot="1" x14ac:dyDescent="0.25">
      <c r="A3" s="290" t="s">
        <v>1</v>
      </c>
      <c r="B3" s="33" t="s">
        <v>62</v>
      </c>
      <c r="C3" s="54" t="s">
        <v>63</v>
      </c>
      <c r="D3" s="55" t="s">
        <v>64</v>
      </c>
      <c r="E3" s="55" t="s">
        <v>65</v>
      </c>
      <c r="F3" s="55" t="s">
        <v>66</v>
      </c>
      <c r="G3" s="55" t="s">
        <v>67</v>
      </c>
      <c r="H3" s="55" t="s">
        <v>68</v>
      </c>
      <c r="I3" s="55" t="s">
        <v>69</v>
      </c>
      <c r="J3" s="56" t="s">
        <v>70</v>
      </c>
      <c r="K3" s="57" t="s">
        <v>71</v>
      </c>
      <c r="L3" s="290" t="s">
        <v>22</v>
      </c>
      <c r="M3" s="54" t="s">
        <v>72</v>
      </c>
      <c r="N3" s="55" t="s">
        <v>73</v>
      </c>
      <c r="O3" s="55" t="s">
        <v>74</v>
      </c>
      <c r="P3" s="55" t="s">
        <v>75</v>
      </c>
      <c r="Q3" s="56" t="s">
        <v>76</v>
      </c>
      <c r="R3" s="57" t="s">
        <v>71</v>
      </c>
      <c r="S3" s="292" t="s">
        <v>22</v>
      </c>
      <c r="T3" s="165"/>
      <c r="U3" s="284"/>
      <c r="V3" s="123" t="s">
        <v>248</v>
      </c>
      <c r="W3" s="123" t="s">
        <v>249</v>
      </c>
      <c r="X3" s="123" t="s">
        <v>250</v>
      </c>
      <c r="Y3" s="123" t="s">
        <v>251</v>
      </c>
      <c r="Z3" s="123" t="s">
        <v>252</v>
      </c>
      <c r="AA3" s="123" t="s">
        <v>17</v>
      </c>
    </row>
    <row r="4" spans="1:27" ht="25" thickBot="1" x14ac:dyDescent="0.45">
      <c r="A4" s="291"/>
      <c r="B4" s="34" t="s">
        <v>77</v>
      </c>
      <c r="C4" s="35">
        <v>3</v>
      </c>
      <c r="D4" s="36">
        <v>3</v>
      </c>
      <c r="E4" s="36">
        <v>3</v>
      </c>
      <c r="F4" s="36">
        <v>3</v>
      </c>
      <c r="G4" s="36">
        <v>3</v>
      </c>
      <c r="H4" s="36">
        <v>3</v>
      </c>
      <c r="I4" s="36">
        <v>3</v>
      </c>
      <c r="J4" s="37">
        <v>3</v>
      </c>
      <c r="K4" s="38">
        <v>3</v>
      </c>
      <c r="L4" s="291"/>
      <c r="M4" s="35">
        <v>3</v>
      </c>
      <c r="N4" s="36">
        <v>3</v>
      </c>
      <c r="O4" s="36">
        <v>3</v>
      </c>
      <c r="P4" s="36">
        <v>3</v>
      </c>
      <c r="Q4" s="37">
        <v>3</v>
      </c>
      <c r="R4" s="38">
        <v>3</v>
      </c>
      <c r="S4" s="293"/>
      <c r="T4" s="165"/>
      <c r="U4" s="23" t="str">
        <f>B4</f>
        <v>ชื่อ-สกุล</v>
      </c>
      <c r="V4" s="3">
        <v>10</v>
      </c>
      <c r="W4" s="3">
        <v>10</v>
      </c>
      <c r="X4" s="3">
        <v>10</v>
      </c>
      <c r="Y4" s="3">
        <v>10</v>
      </c>
      <c r="Z4" s="3">
        <v>10</v>
      </c>
      <c r="AA4" s="3">
        <f>SUM(V4:Z4)</f>
        <v>50</v>
      </c>
    </row>
    <row r="5" spans="1:27" x14ac:dyDescent="0.4">
      <c r="A5" s="39">
        <v>1</v>
      </c>
      <c r="B5" s="40" t="str">
        <f>'เวลาเรียน4-16'!B6</f>
        <v>เด็กชายกฤษดา  บัวศรี</v>
      </c>
      <c r="C5" s="41">
        <v>3</v>
      </c>
      <c r="D5" s="42">
        <v>3</v>
      </c>
      <c r="E5" s="42">
        <v>2</v>
      </c>
      <c r="F5" s="42">
        <v>2</v>
      </c>
      <c r="G5" s="42">
        <v>3</v>
      </c>
      <c r="H5" s="42">
        <f t="shared" ref="H5:J5" si="0">G5</f>
        <v>3</v>
      </c>
      <c r="I5" s="42">
        <f t="shared" si="0"/>
        <v>3</v>
      </c>
      <c r="J5" s="42">
        <f t="shared" si="0"/>
        <v>3</v>
      </c>
      <c r="K5" s="58">
        <f>MODE(C5:J5)</f>
        <v>3</v>
      </c>
      <c r="L5" s="43"/>
      <c r="M5" s="44">
        <v>2</v>
      </c>
      <c r="N5" s="42">
        <v>2</v>
      </c>
      <c r="O5" s="42">
        <v>2</v>
      </c>
      <c r="P5" s="42">
        <v>2</v>
      </c>
      <c r="Q5" s="45">
        <v>2</v>
      </c>
      <c r="R5" s="60">
        <f>MODE(M5:Q5)</f>
        <v>2</v>
      </c>
      <c r="S5" s="121"/>
      <c r="T5" s="23">
        <f>A5</f>
        <v>1</v>
      </c>
      <c r="U5" s="23" t="str">
        <f>B5</f>
        <v>เด็กชายกฤษดา  บัวศรี</v>
      </c>
      <c r="V5" s="3">
        <v>8</v>
      </c>
      <c r="W5" s="3">
        <v>8</v>
      </c>
      <c r="X5" s="3">
        <v>8</v>
      </c>
      <c r="Y5" s="3">
        <v>9</v>
      </c>
      <c r="Z5" s="3">
        <v>9</v>
      </c>
      <c r="AA5" s="3">
        <f t="shared" ref="AA5:AA17" si="1">SUM(V5:Z5)</f>
        <v>42</v>
      </c>
    </row>
    <row r="6" spans="1:27" x14ac:dyDescent="0.4">
      <c r="A6" s="46">
        <v>2</v>
      </c>
      <c r="B6" s="47" t="str">
        <f>'เวลาเรียน4-16'!B7</f>
        <v>เด็กชายจิรายุ  ดอบุตร</v>
      </c>
      <c r="C6" s="48">
        <v>3</v>
      </c>
      <c r="D6" s="49">
        <v>3</v>
      </c>
      <c r="E6" s="49">
        <f t="shared" ref="E6:J6" si="2">D6</f>
        <v>3</v>
      </c>
      <c r="F6" s="49">
        <v>2</v>
      </c>
      <c r="G6" s="49">
        <v>3</v>
      </c>
      <c r="H6" s="49">
        <f t="shared" si="2"/>
        <v>3</v>
      </c>
      <c r="I6" s="49">
        <f t="shared" si="2"/>
        <v>3</v>
      </c>
      <c r="J6" s="50">
        <f t="shared" si="2"/>
        <v>3</v>
      </c>
      <c r="K6" s="59">
        <f>MODE(C6:J6)</f>
        <v>3</v>
      </c>
      <c r="L6" s="51"/>
      <c r="M6" s="52">
        <v>2</v>
      </c>
      <c r="N6" s="49">
        <v>2</v>
      </c>
      <c r="O6" s="49">
        <v>2</v>
      </c>
      <c r="P6" s="49">
        <v>2</v>
      </c>
      <c r="Q6" s="53">
        <v>2</v>
      </c>
      <c r="R6" s="60">
        <f t="shared" ref="R6:R17" si="3">MODE(M6:Q6)</f>
        <v>2</v>
      </c>
      <c r="S6" s="122"/>
      <c r="T6" s="23">
        <f t="shared" ref="T6:T16" si="4">A6</f>
        <v>2</v>
      </c>
      <c r="U6" s="23" t="str">
        <f t="shared" ref="U6:U17" si="5">B6</f>
        <v>เด็กชายจิรายุ  ดอบุตร</v>
      </c>
      <c r="V6" s="3">
        <v>9</v>
      </c>
      <c r="W6" s="3">
        <v>8</v>
      </c>
      <c r="X6" s="3">
        <v>9</v>
      </c>
      <c r="Y6" s="3">
        <v>10</v>
      </c>
      <c r="Z6" s="3">
        <v>10</v>
      </c>
      <c r="AA6" s="3">
        <f t="shared" si="1"/>
        <v>46</v>
      </c>
    </row>
    <row r="7" spans="1:27" x14ac:dyDescent="0.4">
      <c r="A7" s="46">
        <v>3</v>
      </c>
      <c r="B7" s="47" t="str">
        <f>'เวลาเรียน4-16'!B8</f>
        <v>เด็กชายจิรายุ  เนตรสว่าง</v>
      </c>
      <c r="C7" s="48">
        <v>3</v>
      </c>
      <c r="D7" s="49">
        <v>3</v>
      </c>
      <c r="E7" s="49">
        <f t="shared" ref="E7:J7" si="6">D7</f>
        <v>3</v>
      </c>
      <c r="F7" s="49">
        <f t="shared" si="6"/>
        <v>3</v>
      </c>
      <c r="G7" s="49">
        <f t="shared" si="6"/>
        <v>3</v>
      </c>
      <c r="H7" s="49">
        <f t="shared" si="6"/>
        <v>3</v>
      </c>
      <c r="I7" s="49">
        <f t="shared" si="6"/>
        <v>3</v>
      </c>
      <c r="J7" s="50">
        <f t="shared" si="6"/>
        <v>3</v>
      </c>
      <c r="K7" s="59">
        <f t="shared" ref="K7:K17" si="7">MODE(C7:J7)</f>
        <v>3</v>
      </c>
      <c r="L7" s="51"/>
      <c r="M7" s="52">
        <v>3</v>
      </c>
      <c r="N7" s="49">
        <v>3</v>
      </c>
      <c r="O7" s="49">
        <v>3</v>
      </c>
      <c r="P7" s="49">
        <v>3</v>
      </c>
      <c r="Q7" s="53">
        <v>3</v>
      </c>
      <c r="R7" s="60">
        <f t="shared" si="3"/>
        <v>3</v>
      </c>
      <c r="S7" s="122"/>
      <c r="T7" s="23">
        <f t="shared" si="4"/>
        <v>3</v>
      </c>
      <c r="U7" s="23" t="str">
        <f t="shared" si="5"/>
        <v>เด็กชายจิรายุ  เนตรสว่าง</v>
      </c>
      <c r="V7" s="3">
        <v>8</v>
      </c>
      <c r="W7" s="3">
        <v>8</v>
      </c>
      <c r="X7" s="3">
        <v>8</v>
      </c>
      <c r="Y7" s="3">
        <v>10</v>
      </c>
      <c r="Z7" s="3">
        <v>10</v>
      </c>
      <c r="AA7" s="3">
        <f t="shared" si="1"/>
        <v>44</v>
      </c>
    </row>
    <row r="8" spans="1:27" x14ac:dyDescent="0.4">
      <c r="A8" s="46">
        <v>4</v>
      </c>
      <c r="B8" s="47" t="str">
        <f>'เวลาเรียน4-16'!B9</f>
        <v>เด็กชายจีรภัทร  คันธมาตย์</v>
      </c>
      <c r="C8" s="48">
        <v>3</v>
      </c>
      <c r="D8" s="49">
        <f t="shared" ref="D8:J8" si="8">C8</f>
        <v>3</v>
      </c>
      <c r="E8" s="49">
        <f t="shared" si="8"/>
        <v>3</v>
      </c>
      <c r="F8" s="49">
        <f t="shared" si="8"/>
        <v>3</v>
      </c>
      <c r="G8" s="49">
        <f t="shared" si="8"/>
        <v>3</v>
      </c>
      <c r="H8" s="49">
        <f t="shared" si="8"/>
        <v>3</v>
      </c>
      <c r="I8" s="49">
        <f t="shared" si="8"/>
        <v>3</v>
      </c>
      <c r="J8" s="50">
        <f t="shared" si="8"/>
        <v>3</v>
      </c>
      <c r="K8" s="59">
        <f t="shared" si="7"/>
        <v>3</v>
      </c>
      <c r="L8" s="51"/>
      <c r="M8" s="52">
        <v>3</v>
      </c>
      <c r="N8" s="49">
        <v>3</v>
      </c>
      <c r="O8" s="49">
        <v>2</v>
      </c>
      <c r="P8" s="49">
        <v>3</v>
      </c>
      <c r="Q8" s="53">
        <v>3</v>
      </c>
      <c r="R8" s="60">
        <f t="shared" si="3"/>
        <v>3</v>
      </c>
      <c r="S8" s="122"/>
      <c r="T8" s="23">
        <f t="shared" si="4"/>
        <v>4</v>
      </c>
      <c r="U8" s="23" t="str">
        <f t="shared" si="5"/>
        <v>เด็กชายจีรภัทร  คันธมาตย์</v>
      </c>
      <c r="V8" s="3">
        <v>10</v>
      </c>
      <c r="W8" s="3">
        <v>10</v>
      </c>
      <c r="X8" s="3">
        <v>10</v>
      </c>
      <c r="Y8" s="3">
        <v>10</v>
      </c>
      <c r="Z8" s="3">
        <v>10</v>
      </c>
      <c r="AA8" s="3">
        <f t="shared" si="1"/>
        <v>50</v>
      </c>
    </row>
    <row r="9" spans="1:27" x14ac:dyDescent="0.4">
      <c r="A9" s="46">
        <v>5</v>
      </c>
      <c r="B9" s="47" t="str">
        <f>'เวลาเรียน4-16'!B10</f>
        <v>เด็กชายปรวัฒน์  โพธิ์ศรี</v>
      </c>
      <c r="C9" s="48">
        <v>3</v>
      </c>
      <c r="D9" s="49">
        <f t="shared" ref="D9:J9" si="9">C9</f>
        <v>3</v>
      </c>
      <c r="E9" s="49">
        <f t="shared" si="9"/>
        <v>3</v>
      </c>
      <c r="F9" s="49">
        <f t="shared" si="9"/>
        <v>3</v>
      </c>
      <c r="G9" s="49">
        <f t="shared" si="9"/>
        <v>3</v>
      </c>
      <c r="H9" s="49">
        <f t="shared" si="9"/>
        <v>3</v>
      </c>
      <c r="I9" s="49">
        <f t="shared" si="9"/>
        <v>3</v>
      </c>
      <c r="J9" s="50">
        <f t="shared" si="9"/>
        <v>3</v>
      </c>
      <c r="K9" s="59">
        <f t="shared" si="7"/>
        <v>3</v>
      </c>
      <c r="L9" s="51"/>
      <c r="M9" s="52">
        <v>3</v>
      </c>
      <c r="N9" s="49">
        <v>3</v>
      </c>
      <c r="O9" s="49">
        <v>3</v>
      </c>
      <c r="P9" s="49">
        <v>3</v>
      </c>
      <c r="Q9" s="53">
        <v>3</v>
      </c>
      <c r="R9" s="60">
        <f t="shared" si="3"/>
        <v>3</v>
      </c>
      <c r="S9" s="122"/>
      <c r="T9" s="23">
        <f t="shared" si="4"/>
        <v>5</v>
      </c>
      <c r="U9" s="23" t="str">
        <f t="shared" si="5"/>
        <v>เด็กชายปรวัฒน์  โพธิ์ศรี</v>
      </c>
      <c r="V9" s="3">
        <v>10</v>
      </c>
      <c r="W9" s="3">
        <v>8</v>
      </c>
      <c r="X9" s="3">
        <v>10</v>
      </c>
      <c r="Y9" s="3">
        <v>10</v>
      </c>
      <c r="Z9" s="3">
        <v>10</v>
      </c>
      <c r="AA9" s="3">
        <f t="shared" si="1"/>
        <v>48</v>
      </c>
    </row>
    <row r="10" spans="1:27" x14ac:dyDescent="0.4">
      <c r="A10" s="46">
        <v>6</v>
      </c>
      <c r="B10" s="47" t="str">
        <f>'เวลาเรียน4-16'!B11</f>
        <v>เด็กชายพีรภาพ  วงคำใหญ่</v>
      </c>
      <c r="C10" s="48">
        <v>3</v>
      </c>
      <c r="D10" s="49">
        <v>3</v>
      </c>
      <c r="E10" s="49">
        <v>3</v>
      </c>
      <c r="F10" s="49">
        <v>3</v>
      </c>
      <c r="G10" s="49">
        <v>3</v>
      </c>
      <c r="H10" s="49">
        <v>3</v>
      </c>
      <c r="I10" s="49">
        <v>3</v>
      </c>
      <c r="J10" s="50">
        <v>3</v>
      </c>
      <c r="K10" s="59">
        <f t="shared" si="7"/>
        <v>3</v>
      </c>
      <c r="L10" s="51"/>
      <c r="M10" s="52">
        <v>3</v>
      </c>
      <c r="N10" s="49">
        <v>3</v>
      </c>
      <c r="O10" s="49">
        <v>3</v>
      </c>
      <c r="P10" s="49">
        <v>3</v>
      </c>
      <c r="Q10" s="53">
        <v>3</v>
      </c>
      <c r="R10" s="60">
        <f t="shared" si="3"/>
        <v>3</v>
      </c>
      <c r="S10" s="122"/>
      <c r="T10" s="23">
        <f t="shared" si="4"/>
        <v>6</v>
      </c>
      <c r="U10" s="23" t="str">
        <f t="shared" si="5"/>
        <v>เด็กชายพีรภาพ  วงคำใหญ่</v>
      </c>
      <c r="V10" s="3">
        <v>10</v>
      </c>
      <c r="W10" s="3">
        <v>10</v>
      </c>
      <c r="X10" s="3">
        <v>10</v>
      </c>
      <c r="Y10" s="3">
        <v>10</v>
      </c>
      <c r="Z10" s="3">
        <v>10</v>
      </c>
      <c r="AA10" s="3">
        <f t="shared" si="1"/>
        <v>50</v>
      </c>
    </row>
    <row r="11" spans="1:27" x14ac:dyDescent="0.4">
      <c r="A11" s="46">
        <v>7</v>
      </c>
      <c r="B11" s="47" t="str">
        <f>'เวลาเรียน4-16'!B12</f>
        <v>เด็กหญิงกมลรัตน์  แสดคง</v>
      </c>
      <c r="C11" s="48">
        <v>3</v>
      </c>
      <c r="D11" s="49">
        <v>3</v>
      </c>
      <c r="E11" s="49">
        <v>3</v>
      </c>
      <c r="F11" s="49">
        <v>3</v>
      </c>
      <c r="G11" s="49">
        <v>3</v>
      </c>
      <c r="H11" s="49">
        <v>3</v>
      </c>
      <c r="I11" s="49">
        <v>3</v>
      </c>
      <c r="J11" s="50">
        <v>3</v>
      </c>
      <c r="K11" s="59">
        <f t="shared" si="7"/>
        <v>3</v>
      </c>
      <c r="L11" s="51"/>
      <c r="M11" s="52">
        <v>3</v>
      </c>
      <c r="N11" s="49">
        <v>3</v>
      </c>
      <c r="O11" s="49">
        <v>3</v>
      </c>
      <c r="P11" s="49">
        <v>3</v>
      </c>
      <c r="Q11" s="53">
        <v>3</v>
      </c>
      <c r="R11" s="60">
        <f t="shared" si="3"/>
        <v>3</v>
      </c>
      <c r="S11" s="122"/>
      <c r="T11" s="23">
        <f t="shared" si="4"/>
        <v>7</v>
      </c>
      <c r="U11" s="23" t="str">
        <f t="shared" si="5"/>
        <v>เด็กหญิงกมลรัตน์  แสดคง</v>
      </c>
      <c r="V11" s="3">
        <v>10</v>
      </c>
      <c r="W11" s="3">
        <v>10</v>
      </c>
      <c r="X11" s="3">
        <v>10</v>
      </c>
      <c r="Y11" s="3">
        <v>10</v>
      </c>
      <c r="Z11" s="3">
        <v>10</v>
      </c>
      <c r="AA11" s="3">
        <f t="shared" si="1"/>
        <v>50</v>
      </c>
    </row>
    <row r="12" spans="1:27" x14ac:dyDescent="0.4">
      <c r="A12" s="46">
        <v>8</v>
      </c>
      <c r="B12" s="47" t="str">
        <f>'เวลาเรียน4-16'!B13</f>
        <v>เด็กหญิงกัลยรัตน์  ทึงสุข</v>
      </c>
      <c r="C12" s="48">
        <v>3</v>
      </c>
      <c r="D12" s="49">
        <v>3</v>
      </c>
      <c r="E12" s="49">
        <v>3</v>
      </c>
      <c r="F12" s="49">
        <v>3</v>
      </c>
      <c r="G12" s="49">
        <v>3</v>
      </c>
      <c r="H12" s="49">
        <v>3</v>
      </c>
      <c r="I12" s="49">
        <v>3</v>
      </c>
      <c r="J12" s="50">
        <v>3</v>
      </c>
      <c r="K12" s="59">
        <f t="shared" si="7"/>
        <v>3</v>
      </c>
      <c r="L12" s="51"/>
      <c r="M12" s="52">
        <v>3</v>
      </c>
      <c r="N12" s="49">
        <v>3</v>
      </c>
      <c r="O12" s="49">
        <v>3</v>
      </c>
      <c r="P12" s="49">
        <v>3</v>
      </c>
      <c r="Q12" s="53">
        <v>3</v>
      </c>
      <c r="R12" s="60">
        <f t="shared" si="3"/>
        <v>3</v>
      </c>
      <c r="S12" s="122"/>
      <c r="T12" s="23">
        <f t="shared" si="4"/>
        <v>8</v>
      </c>
      <c r="U12" s="23" t="str">
        <f t="shared" si="5"/>
        <v>เด็กหญิงกัลยรัตน์  ทึงสุข</v>
      </c>
      <c r="V12" s="3">
        <v>10</v>
      </c>
      <c r="W12" s="3">
        <v>10</v>
      </c>
      <c r="X12" s="3">
        <v>10</v>
      </c>
      <c r="Y12" s="3">
        <v>10</v>
      </c>
      <c r="Z12" s="3">
        <v>10</v>
      </c>
      <c r="AA12" s="3">
        <f t="shared" si="1"/>
        <v>50</v>
      </c>
    </row>
    <row r="13" spans="1:27" x14ac:dyDescent="0.4">
      <c r="A13" s="46">
        <v>9</v>
      </c>
      <c r="B13" s="47" t="str">
        <f>'เวลาเรียน4-16'!B14</f>
        <v>เด็กหญิงนิตยา  พละโท</v>
      </c>
      <c r="C13" s="48">
        <v>3</v>
      </c>
      <c r="D13" s="49">
        <v>3</v>
      </c>
      <c r="E13" s="49">
        <v>3</v>
      </c>
      <c r="F13" s="49">
        <v>3</v>
      </c>
      <c r="G13" s="49">
        <v>3</v>
      </c>
      <c r="H13" s="49">
        <v>3</v>
      </c>
      <c r="I13" s="49">
        <v>3</v>
      </c>
      <c r="J13" s="50">
        <v>3</v>
      </c>
      <c r="K13" s="59">
        <f t="shared" si="7"/>
        <v>3</v>
      </c>
      <c r="L13" s="51"/>
      <c r="M13" s="52">
        <v>3</v>
      </c>
      <c r="N13" s="49">
        <v>3</v>
      </c>
      <c r="O13" s="49">
        <v>3</v>
      </c>
      <c r="P13" s="49">
        <v>3</v>
      </c>
      <c r="Q13" s="53">
        <v>3</v>
      </c>
      <c r="R13" s="60">
        <f t="shared" si="3"/>
        <v>3</v>
      </c>
      <c r="S13" s="122"/>
      <c r="T13" s="23">
        <f t="shared" si="4"/>
        <v>9</v>
      </c>
      <c r="U13" s="23" t="str">
        <f t="shared" si="5"/>
        <v>เด็กหญิงนิตยา  พละโท</v>
      </c>
      <c r="V13" s="3">
        <v>10</v>
      </c>
      <c r="W13" s="3">
        <v>10</v>
      </c>
      <c r="X13" s="3">
        <v>10</v>
      </c>
      <c r="Y13" s="3">
        <v>10</v>
      </c>
      <c r="Z13" s="3">
        <v>10</v>
      </c>
      <c r="AA13" s="3">
        <f t="shared" si="1"/>
        <v>50</v>
      </c>
    </row>
    <row r="14" spans="1:27" x14ac:dyDescent="0.4">
      <c r="A14" s="46">
        <v>10</v>
      </c>
      <c r="B14" s="47" t="str">
        <f>'เวลาเรียน4-16'!B15</f>
        <v>เด็กหญิงบัณฑิตา  เบ้าพงษ์</v>
      </c>
      <c r="C14" s="48">
        <v>3</v>
      </c>
      <c r="D14" s="49">
        <v>3</v>
      </c>
      <c r="E14" s="49">
        <v>3</v>
      </c>
      <c r="F14" s="49">
        <v>3</v>
      </c>
      <c r="G14" s="49">
        <v>3</v>
      </c>
      <c r="H14" s="49">
        <v>3</v>
      </c>
      <c r="I14" s="49">
        <v>3</v>
      </c>
      <c r="J14" s="50">
        <v>3</v>
      </c>
      <c r="K14" s="59">
        <f t="shared" si="7"/>
        <v>3</v>
      </c>
      <c r="L14" s="51"/>
      <c r="M14" s="52">
        <v>3</v>
      </c>
      <c r="N14" s="49">
        <v>3</v>
      </c>
      <c r="O14" s="49">
        <v>3</v>
      </c>
      <c r="P14" s="49">
        <v>3</v>
      </c>
      <c r="Q14" s="53">
        <v>3</v>
      </c>
      <c r="R14" s="60">
        <f t="shared" si="3"/>
        <v>3</v>
      </c>
      <c r="S14" s="122"/>
      <c r="T14" s="23">
        <f t="shared" si="4"/>
        <v>10</v>
      </c>
      <c r="U14" s="23" t="str">
        <f t="shared" si="5"/>
        <v>เด็กหญิงบัณฑิตา  เบ้าพงษ์</v>
      </c>
      <c r="V14" s="3">
        <v>10</v>
      </c>
      <c r="W14" s="3">
        <v>10</v>
      </c>
      <c r="X14" s="3">
        <v>10</v>
      </c>
      <c r="Y14" s="3">
        <v>10</v>
      </c>
      <c r="Z14" s="3">
        <v>10</v>
      </c>
      <c r="AA14" s="3">
        <f t="shared" si="1"/>
        <v>50</v>
      </c>
    </row>
    <row r="15" spans="1:27" x14ac:dyDescent="0.4">
      <c r="A15" s="46">
        <v>11</v>
      </c>
      <c r="B15" s="47" t="str">
        <f>'เวลาเรียน4-16'!B16</f>
        <v>เด็กหญิงพัชรกัญญ์  บาลนาคม</v>
      </c>
      <c r="C15" s="48">
        <v>3</v>
      </c>
      <c r="D15" s="49">
        <v>3</v>
      </c>
      <c r="E15" s="49">
        <v>3</v>
      </c>
      <c r="F15" s="49">
        <v>3</v>
      </c>
      <c r="G15" s="49">
        <v>3</v>
      </c>
      <c r="H15" s="49">
        <v>3</v>
      </c>
      <c r="I15" s="49">
        <v>3</v>
      </c>
      <c r="J15" s="50">
        <v>3</v>
      </c>
      <c r="K15" s="59">
        <f t="shared" si="7"/>
        <v>3</v>
      </c>
      <c r="L15" s="51"/>
      <c r="M15" s="52">
        <v>3</v>
      </c>
      <c r="N15" s="49">
        <v>3</v>
      </c>
      <c r="O15" s="49">
        <v>3</v>
      </c>
      <c r="P15" s="49">
        <v>3</v>
      </c>
      <c r="Q15" s="53">
        <v>3</v>
      </c>
      <c r="R15" s="60">
        <f t="shared" si="3"/>
        <v>3</v>
      </c>
      <c r="S15" s="122"/>
      <c r="T15" s="23">
        <f t="shared" si="4"/>
        <v>11</v>
      </c>
      <c r="U15" s="23" t="str">
        <f t="shared" si="5"/>
        <v>เด็กหญิงพัชรกัญญ์  บาลนาคม</v>
      </c>
      <c r="V15" s="3">
        <v>10</v>
      </c>
      <c r="W15" s="3">
        <v>10</v>
      </c>
      <c r="X15" s="3">
        <v>10</v>
      </c>
      <c r="Y15" s="3">
        <v>10</v>
      </c>
      <c r="Z15" s="3">
        <v>10</v>
      </c>
      <c r="AA15" s="3">
        <f t="shared" si="1"/>
        <v>50</v>
      </c>
    </row>
    <row r="16" spans="1:27" x14ac:dyDescent="0.4">
      <c r="A16" s="46">
        <v>12</v>
      </c>
      <c r="B16" s="47" t="str">
        <f>'เวลาเรียน4-16'!B17</f>
        <v>เด็กหญิงสุวิชาดา  ชูจิตร</v>
      </c>
      <c r="C16" s="48">
        <v>3</v>
      </c>
      <c r="D16" s="49">
        <v>3</v>
      </c>
      <c r="E16" s="49">
        <v>3</v>
      </c>
      <c r="F16" s="49">
        <v>3</v>
      </c>
      <c r="G16" s="49">
        <v>3</v>
      </c>
      <c r="H16" s="49">
        <v>3</v>
      </c>
      <c r="I16" s="49">
        <v>3</v>
      </c>
      <c r="J16" s="50">
        <v>3</v>
      </c>
      <c r="K16" s="59">
        <f t="shared" si="7"/>
        <v>3</v>
      </c>
      <c r="L16" s="51"/>
      <c r="M16" s="52">
        <v>3</v>
      </c>
      <c r="N16" s="49">
        <v>3</v>
      </c>
      <c r="O16" s="49">
        <v>3</v>
      </c>
      <c r="P16" s="49">
        <v>3</v>
      </c>
      <c r="Q16" s="53">
        <v>3</v>
      </c>
      <c r="R16" s="60">
        <f t="shared" si="3"/>
        <v>3</v>
      </c>
      <c r="S16" s="122"/>
      <c r="T16" s="23">
        <f t="shared" si="4"/>
        <v>12</v>
      </c>
      <c r="U16" s="23" t="str">
        <f t="shared" si="5"/>
        <v>เด็กหญิงสุวิชาดา  ชูจิตร</v>
      </c>
      <c r="V16" s="3">
        <v>10</v>
      </c>
      <c r="W16" s="3">
        <v>10</v>
      </c>
      <c r="X16" s="3">
        <v>10</v>
      </c>
      <c r="Y16" s="3">
        <v>10</v>
      </c>
      <c r="Z16" s="3">
        <v>10</v>
      </c>
      <c r="AA16" s="3">
        <f t="shared" si="1"/>
        <v>50</v>
      </c>
    </row>
    <row r="17" spans="1:27" x14ac:dyDescent="0.4">
      <c r="A17" s="46">
        <v>13</v>
      </c>
      <c r="B17" s="47" t="str">
        <f>'เวลาเรียน4-16'!B18</f>
        <v>เด็กหญิงปุญญิศา  อุปทุม</v>
      </c>
      <c r="C17" s="48">
        <v>3</v>
      </c>
      <c r="D17" s="49">
        <v>3</v>
      </c>
      <c r="E17" s="49">
        <v>3</v>
      </c>
      <c r="F17" s="49">
        <v>3</v>
      </c>
      <c r="G17" s="49">
        <v>3</v>
      </c>
      <c r="H17" s="49">
        <v>3</v>
      </c>
      <c r="I17" s="49">
        <v>3</v>
      </c>
      <c r="J17" s="50">
        <v>3</v>
      </c>
      <c r="K17" s="59">
        <f t="shared" si="7"/>
        <v>3</v>
      </c>
      <c r="L17" s="51"/>
      <c r="M17" s="52">
        <v>3</v>
      </c>
      <c r="N17" s="49">
        <v>3</v>
      </c>
      <c r="O17" s="49">
        <v>3</v>
      </c>
      <c r="P17" s="49">
        <v>3</v>
      </c>
      <c r="Q17" s="53">
        <v>3</v>
      </c>
      <c r="R17" s="60">
        <f t="shared" si="3"/>
        <v>3</v>
      </c>
      <c r="S17" s="122"/>
      <c r="T17" s="23">
        <v>13</v>
      </c>
      <c r="U17" s="23" t="str">
        <f t="shared" si="5"/>
        <v>เด็กหญิงปุญญิศา  อุปทุม</v>
      </c>
      <c r="V17" s="3">
        <v>10</v>
      </c>
      <c r="W17" s="3">
        <v>10</v>
      </c>
      <c r="X17" s="3">
        <v>10</v>
      </c>
      <c r="Y17" s="3">
        <v>10</v>
      </c>
      <c r="Z17" s="3">
        <v>10</v>
      </c>
      <c r="AA17" s="3">
        <f t="shared" si="1"/>
        <v>50</v>
      </c>
    </row>
    <row r="18" spans="1:27" x14ac:dyDescent="0.4">
      <c r="A18" s="46"/>
      <c r="B18" s="47"/>
      <c r="C18" s="48"/>
      <c r="D18" s="49"/>
      <c r="E18" s="49"/>
      <c r="F18" s="49"/>
      <c r="G18" s="49"/>
      <c r="H18" s="49"/>
      <c r="I18" s="49"/>
      <c r="J18" s="50"/>
      <c r="K18" s="59"/>
      <c r="L18" s="51"/>
      <c r="M18" s="52"/>
      <c r="N18" s="49"/>
      <c r="O18" s="49"/>
      <c r="P18" s="49"/>
      <c r="Q18" s="53"/>
      <c r="R18" s="60"/>
      <c r="S18" s="122"/>
      <c r="T18" s="23"/>
      <c r="U18" s="23"/>
      <c r="V18" s="3"/>
      <c r="W18" s="3"/>
      <c r="X18" s="3"/>
      <c r="Y18" s="3"/>
      <c r="Z18" s="3"/>
      <c r="AA18" s="3"/>
    </row>
    <row r="19" spans="1:27" x14ac:dyDescent="0.4">
      <c r="A19" s="46"/>
      <c r="B19" s="47"/>
      <c r="C19" s="48"/>
      <c r="D19" s="49"/>
      <c r="E19" s="49"/>
      <c r="F19" s="49"/>
      <c r="G19" s="49"/>
      <c r="H19" s="49"/>
      <c r="I19" s="49"/>
      <c r="J19" s="50"/>
      <c r="K19" s="59"/>
      <c r="L19" s="51"/>
      <c r="M19" s="52"/>
      <c r="N19" s="49"/>
      <c r="O19" s="49"/>
      <c r="P19" s="49"/>
      <c r="Q19" s="53"/>
      <c r="R19" s="60"/>
      <c r="S19" s="122"/>
      <c r="T19" s="23"/>
      <c r="U19" s="23"/>
      <c r="V19" s="3"/>
      <c r="W19" s="3"/>
      <c r="X19" s="3"/>
      <c r="Y19" s="3"/>
      <c r="Z19" s="3"/>
      <c r="AA19" s="3"/>
    </row>
    <row r="20" spans="1:27" x14ac:dyDescent="0.4">
      <c r="A20" s="46"/>
      <c r="B20" s="47"/>
      <c r="C20" s="48"/>
      <c r="D20" s="49"/>
      <c r="E20" s="49"/>
      <c r="F20" s="49"/>
      <c r="G20" s="49"/>
      <c r="H20" s="49"/>
      <c r="I20" s="49"/>
      <c r="J20" s="50"/>
      <c r="K20" s="59"/>
      <c r="L20" s="51"/>
      <c r="M20" s="52"/>
      <c r="N20" s="49"/>
      <c r="O20" s="49"/>
      <c r="P20" s="49"/>
      <c r="Q20" s="53"/>
      <c r="R20" s="60"/>
      <c r="S20" s="122"/>
      <c r="T20" s="23"/>
      <c r="U20" s="23"/>
      <c r="V20" s="3"/>
      <c r="W20" s="3"/>
      <c r="X20" s="3"/>
      <c r="Y20" s="3"/>
      <c r="Z20" s="3"/>
      <c r="AA20" s="3"/>
    </row>
    <row r="21" spans="1:27" x14ac:dyDescent="0.4">
      <c r="A21" s="46"/>
      <c r="B21" s="47"/>
      <c r="C21" s="48"/>
      <c r="D21" s="49"/>
      <c r="E21" s="49"/>
      <c r="F21" s="49"/>
      <c r="G21" s="49"/>
      <c r="H21" s="49"/>
      <c r="I21" s="49"/>
      <c r="J21" s="50"/>
      <c r="K21" s="59"/>
      <c r="L21" s="51"/>
      <c r="M21" s="52"/>
      <c r="N21" s="49"/>
      <c r="O21" s="49"/>
      <c r="P21" s="49"/>
      <c r="Q21" s="53"/>
      <c r="R21" s="60"/>
      <c r="S21" s="122"/>
      <c r="T21" s="23"/>
      <c r="U21" s="23"/>
      <c r="V21" s="3"/>
      <c r="W21" s="3"/>
      <c r="X21" s="3"/>
      <c r="Y21" s="3"/>
      <c r="Z21" s="3"/>
      <c r="AA21" s="3"/>
    </row>
    <row r="22" spans="1:27" x14ac:dyDescent="0.4">
      <c r="A22" s="46"/>
      <c r="B22" s="47"/>
      <c r="C22" s="48"/>
      <c r="D22" s="49"/>
      <c r="E22" s="49"/>
      <c r="F22" s="49"/>
      <c r="G22" s="49"/>
      <c r="H22" s="49"/>
      <c r="I22" s="49"/>
      <c r="J22" s="50"/>
      <c r="K22" s="59"/>
      <c r="L22" s="51"/>
      <c r="M22" s="52"/>
      <c r="N22" s="49"/>
      <c r="O22" s="49"/>
      <c r="P22" s="49"/>
      <c r="Q22" s="53"/>
      <c r="R22" s="60"/>
      <c r="S22" s="122"/>
      <c r="T22" s="23"/>
      <c r="U22" s="23"/>
      <c r="V22" s="3"/>
      <c r="W22" s="3"/>
      <c r="X22" s="3"/>
      <c r="Y22" s="3"/>
      <c r="Z22" s="3"/>
      <c r="AA22" s="3"/>
    </row>
    <row r="23" spans="1:27" x14ac:dyDescent="0.4">
      <c r="A23" s="46"/>
      <c r="B23" s="47"/>
      <c r="C23" s="48"/>
      <c r="D23" s="49"/>
      <c r="E23" s="49"/>
      <c r="F23" s="49"/>
      <c r="G23" s="49"/>
      <c r="H23" s="49"/>
      <c r="I23" s="49"/>
      <c r="J23" s="50"/>
      <c r="K23" s="59"/>
      <c r="L23" s="51"/>
      <c r="M23" s="52"/>
      <c r="N23" s="49"/>
      <c r="O23" s="49"/>
      <c r="P23" s="49"/>
      <c r="Q23" s="53"/>
      <c r="R23" s="60"/>
      <c r="S23" s="122"/>
      <c r="T23" s="23"/>
      <c r="U23" s="23"/>
      <c r="V23" s="3"/>
      <c r="W23" s="3"/>
      <c r="X23" s="3"/>
      <c r="Y23" s="3"/>
      <c r="Z23" s="3"/>
      <c r="AA23" s="3"/>
    </row>
    <row r="24" spans="1:27" x14ac:dyDescent="0.4">
      <c r="A24" s="46"/>
      <c r="B24" s="47"/>
      <c r="C24" s="48"/>
      <c r="D24" s="49"/>
      <c r="E24" s="49"/>
      <c r="F24" s="49"/>
      <c r="G24" s="49"/>
      <c r="H24" s="49"/>
      <c r="I24" s="49"/>
      <c r="J24" s="50"/>
      <c r="K24" s="59"/>
      <c r="L24" s="51"/>
      <c r="M24" s="52"/>
      <c r="N24" s="49"/>
      <c r="O24" s="49"/>
      <c r="P24" s="49"/>
      <c r="Q24" s="53"/>
      <c r="R24" s="60"/>
      <c r="S24" s="122"/>
      <c r="T24" s="23"/>
      <c r="U24" s="23"/>
      <c r="V24" s="3"/>
      <c r="W24" s="3"/>
      <c r="X24" s="3"/>
      <c r="Y24" s="3"/>
      <c r="Z24" s="3"/>
      <c r="AA24" s="3"/>
    </row>
    <row r="25" spans="1:27" x14ac:dyDescent="0.4">
      <c r="A25" s="46"/>
      <c r="B25" s="47"/>
      <c r="C25" s="48"/>
      <c r="D25" s="49"/>
      <c r="E25" s="49"/>
      <c r="F25" s="49"/>
      <c r="G25" s="49"/>
      <c r="H25" s="49"/>
      <c r="I25" s="49"/>
      <c r="J25" s="50"/>
      <c r="K25" s="59"/>
      <c r="L25" s="51"/>
      <c r="M25" s="52"/>
      <c r="N25" s="49"/>
      <c r="O25" s="49"/>
      <c r="P25" s="49"/>
      <c r="Q25" s="53"/>
      <c r="R25" s="60"/>
      <c r="S25" s="122"/>
      <c r="T25" s="23"/>
      <c r="U25" s="23"/>
      <c r="V25" s="3"/>
      <c r="W25" s="3"/>
      <c r="X25" s="3"/>
      <c r="Y25" s="3"/>
      <c r="Z25" s="3"/>
      <c r="AA25" s="3"/>
    </row>
    <row r="26" spans="1:27" x14ac:dyDescent="0.4">
      <c r="A26" s="39"/>
      <c r="B26" s="47"/>
      <c r="C26" s="48"/>
      <c r="D26" s="49"/>
      <c r="E26" s="49"/>
      <c r="F26" s="49"/>
      <c r="G26" s="49"/>
      <c r="H26" s="49"/>
      <c r="I26" s="49"/>
      <c r="J26" s="50"/>
      <c r="K26" s="59"/>
      <c r="L26" s="51"/>
      <c r="M26" s="52"/>
      <c r="N26" s="49"/>
      <c r="O26" s="49"/>
      <c r="P26" s="49"/>
      <c r="Q26" s="53"/>
      <c r="R26" s="60"/>
      <c r="S26" s="122"/>
      <c r="T26" s="23"/>
      <c r="U26" s="23"/>
      <c r="V26" s="3"/>
      <c r="W26" s="3"/>
      <c r="X26" s="3"/>
      <c r="Y26" s="3"/>
      <c r="Z26" s="3"/>
      <c r="AA26" s="3"/>
    </row>
    <row r="27" spans="1:27" x14ac:dyDescent="0.4">
      <c r="A27" s="46"/>
      <c r="B27" s="47"/>
      <c r="C27" s="48"/>
      <c r="D27" s="49"/>
      <c r="E27" s="49"/>
      <c r="F27" s="49"/>
      <c r="G27" s="49"/>
      <c r="H27" s="49"/>
      <c r="I27" s="49"/>
      <c r="J27" s="50"/>
      <c r="K27" s="59"/>
      <c r="L27" s="51"/>
      <c r="M27" s="52"/>
      <c r="N27" s="49"/>
      <c r="O27" s="49"/>
      <c r="P27" s="49"/>
      <c r="Q27" s="53"/>
      <c r="R27" s="60"/>
      <c r="S27" s="122"/>
      <c r="T27" s="23"/>
      <c r="U27" s="23"/>
      <c r="V27" s="3"/>
      <c r="W27" s="3"/>
      <c r="X27" s="3"/>
      <c r="Y27" s="3"/>
      <c r="Z27" s="3"/>
      <c r="AA27" s="3"/>
    </row>
    <row r="28" spans="1:27" x14ac:dyDescent="0.4">
      <c r="A28" s="46"/>
      <c r="B28" s="47"/>
      <c r="C28" s="48"/>
      <c r="D28" s="49"/>
      <c r="E28" s="49"/>
      <c r="F28" s="49"/>
      <c r="G28" s="49"/>
      <c r="H28" s="49"/>
      <c r="I28" s="49"/>
      <c r="J28" s="50"/>
      <c r="K28" s="59"/>
      <c r="L28" s="51"/>
      <c r="M28" s="52"/>
      <c r="N28" s="49"/>
      <c r="O28" s="49"/>
      <c r="P28" s="49"/>
      <c r="Q28" s="53"/>
      <c r="R28" s="60"/>
      <c r="S28" s="122"/>
      <c r="T28" s="23"/>
      <c r="U28" s="23"/>
      <c r="V28" s="3"/>
      <c r="W28" s="3"/>
      <c r="X28" s="3"/>
      <c r="Y28" s="3"/>
      <c r="Z28" s="3"/>
      <c r="AA28" s="3"/>
    </row>
    <row r="29" spans="1:27" x14ac:dyDescent="0.4">
      <c r="A29" s="46"/>
      <c r="B29" s="47"/>
      <c r="C29" s="48"/>
      <c r="D29" s="49"/>
      <c r="E29" s="49"/>
      <c r="F29" s="49"/>
      <c r="G29" s="49"/>
      <c r="H29" s="49"/>
      <c r="I29" s="49"/>
      <c r="J29" s="50"/>
      <c r="K29" s="59"/>
      <c r="L29" s="51"/>
      <c r="M29" s="52"/>
      <c r="N29" s="49"/>
      <c r="O29" s="49"/>
      <c r="P29" s="49"/>
      <c r="Q29" s="53"/>
      <c r="R29" s="60"/>
      <c r="S29" s="122"/>
      <c r="T29" s="23"/>
      <c r="U29" s="23"/>
      <c r="V29" s="3"/>
      <c r="W29" s="3"/>
      <c r="X29" s="3"/>
      <c r="Y29" s="3"/>
      <c r="Z29" s="3"/>
      <c r="AA29" s="3"/>
    </row>
    <row r="30" spans="1:27" x14ac:dyDescent="0.4">
      <c r="A30" s="46"/>
      <c r="B30" s="47"/>
      <c r="C30" s="48"/>
      <c r="D30" s="49"/>
      <c r="E30" s="49"/>
      <c r="F30" s="49"/>
      <c r="G30" s="49"/>
      <c r="H30" s="49"/>
      <c r="I30" s="49"/>
      <c r="J30" s="50"/>
      <c r="K30" s="59"/>
      <c r="L30" s="51"/>
      <c r="M30" s="52"/>
      <c r="N30" s="49"/>
      <c r="O30" s="49"/>
      <c r="P30" s="49"/>
      <c r="Q30" s="53"/>
      <c r="R30" s="60"/>
      <c r="S30" s="122"/>
      <c r="T30" s="23"/>
      <c r="U30" s="23"/>
      <c r="V30" s="3"/>
      <c r="W30" s="3"/>
      <c r="X30" s="3"/>
      <c r="Y30" s="3"/>
      <c r="Z30" s="3"/>
      <c r="AA30" s="3"/>
    </row>
    <row r="31" spans="1:27" x14ac:dyDescent="0.4">
      <c r="A31" s="39"/>
      <c r="B31" s="47"/>
      <c r="C31" s="48"/>
      <c r="D31" s="49"/>
      <c r="E31" s="49"/>
      <c r="F31" s="49"/>
      <c r="G31" s="49"/>
      <c r="H31" s="49"/>
      <c r="I31" s="49"/>
      <c r="J31" s="50"/>
      <c r="K31" s="59"/>
      <c r="L31" s="51"/>
      <c r="M31" s="52"/>
      <c r="N31" s="49"/>
      <c r="O31" s="49"/>
      <c r="P31" s="49"/>
      <c r="Q31" s="53"/>
      <c r="R31" s="60"/>
      <c r="S31" s="122"/>
      <c r="T31" s="23"/>
      <c r="U31" s="23"/>
      <c r="V31" s="3"/>
      <c r="W31" s="3"/>
      <c r="X31" s="3"/>
      <c r="Y31" s="3"/>
      <c r="Z31" s="3"/>
      <c r="AA31" s="3"/>
    </row>
    <row r="32" spans="1:27" x14ac:dyDescent="0.4">
      <c r="A32" s="46"/>
      <c r="B32" s="47"/>
      <c r="C32" s="48"/>
      <c r="D32" s="49"/>
      <c r="E32" s="49"/>
      <c r="F32" s="49"/>
      <c r="G32" s="49"/>
      <c r="H32" s="49"/>
      <c r="I32" s="49"/>
      <c r="J32" s="50"/>
      <c r="K32" s="59"/>
      <c r="L32" s="51"/>
      <c r="M32" s="52"/>
      <c r="N32" s="49"/>
      <c r="O32" s="49"/>
      <c r="P32" s="49"/>
      <c r="Q32" s="53"/>
      <c r="R32" s="60"/>
      <c r="S32" s="122"/>
      <c r="T32" s="23"/>
      <c r="U32" s="23"/>
      <c r="V32" s="3"/>
      <c r="W32" s="3"/>
      <c r="X32" s="3"/>
      <c r="Y32" s="3"/>
      <c r="Z32" s="3"/>
      <c r="AA32" s="3"/>
    </row>
    <row r="33" spans="1:27" x14ac:dyDescent="0.4">
      <c r="A33" s="46"/>
      <c r="B33" s="47"/>
      <c r="C33" s="48"/>
      <c r="D33" s="49"/>
      <c r="E33" s="49"/>
      <c r="F33" s="49"/>
      <c r="G33" s="49"/>
      <c r="H33" s="49"/>
      <c r="I33" s="49"/>
      <c r="J33" s="50"/>
      <c r="K33" s="59"/>
      <c r="L33" s="51"/>
      <c r="M33" s="52"/>
      <c r="N33" s="49"/>
      <c r="O33" s="49"/>
      <c r="P33" s="49"/>
      <c r="Q33" s="53"/>
      <c r="R33" s="60"/>
      <c r="S33" s="122"/>
      <c r="T33" s="23"/>
      <c r="U33" s="23"/>
      <c r="V33" s="3"/>
      <c r="W33" s="3"/>
      <c r="X33" s="3"/>
      <c r="Y33" s="3"/>
      <c r="Z33" s="3"/>
      <c r="AA33" s="3"/>
    </row>
  </sheetData>
  <mergeCells count="9">
    <mergeCell ref="V2:AA2"/>
    <mergeCell ref="U2:U3"/>
    <mergeCell ref="T2:T4"/>
    <mergeCell ref="A2:B2"/>
    <mergeCell ref="C2:L2"/>
    <mergeCell ref="M2:S2"/>
    <mergeCell ref="A3:A4"/>
    <mergeCell ref="L3:L4"/>
    <mergeCell ref="S3:S4"/>
  </mergeCells>
  <pageMargins left="0.7" right="0.22916666666666666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3"/>
  <sheetViews>
    <sheetView view="pageLayout" topLeftCell="A2" zoomScaleNormal="100" workbookViewId="0">
      <selection activeCell="J22" sqref="J22"/>
    </sheetView>
  </sheetViews>
  <sheetFormatPr baseColWidth="10" defaultColWidth="9" defaultRowHeight="24" x14ac:dyDescent="0.4"/>
  <cols>
    <col min="1" max="1" width="3.1640625" style="1" customWidth="1"/>
    <col min="2" max="2" width="19.6640625" style="1" customWidth="1"/>
    <col min="3" max="14" width="5.1640625" style="2" customWidth="1"/>
    <col min="15" max="15" width="5.5" style="1" customWidth="1"/>
    <col min="16" max="16" width="19.83203125" style="1" customWidth="1"/>
    <col min="17" max="18" width="17.1640625" style="2" customWidth="1"/>
    <col min="19" max="16384" width="9" style="1"/>
  </cols>
  <sheetData>
    <row r="1" spans="1:18" x14ac:dyDescent="0.4">
      <c r="N1" s="2">
        <v>58</v>
      </c>
    </row>
    <row r="2" spans="1:18" x14ac:dyDescent="0.4">
      <c r="A2" s="164" t="s">
        <v>60</v>
      </c>
      <c r="B2" s="164"/>
      <c r="C2" s="166" t="s">
        <v>82</v>
      </c>
      <c r="D2" s="167"/>
      <c r="E2" s="167"/>
      <c r="F2" s="167"/>
      <c r="G2" s="167"/>
      <c r="H2" s="168"/>
      <c r="I2" s="166" t="s">
        <v>83</v>
      </c>
      <c r="J2" s="167"/>
      <c r="K2" s="167"/>
      <c r="L2" s="167"/>
      <c r="M2" s="167"/>
      <c r="N2" s="168"/>
      <c r="O2" s="163" t="s">
        <v>45</v>
      </c>
      <c r="P2" s="163" t="s">
        <v>77</v>
      </c>
      <c r="Q2" s="162" t="s">
        <v>254</v>
      </c>
      <c r="R2" s="162" t="s">
        <v>255</v>
      </c>
    </row>
    <row r="3" spans="1:18" ht="25" x14ac:dyDescent="0.4">
      <c r="A3" s="165" t="s">
        <v>1</v>
      </c>
      <c r="B3" s="61" t="s">
        <v>81</v>
      </c>
      <c r="C3" s="166" t="s">
        <v>78</v>
      </c>
      <c r="D3" s="168"/>
      <c r="E3" s="166" t="s">
        <v>79</v>
      </c>
      <c r="F3" s="168"/>
      <c r="G3" s="166" t="s">
        <v>80</v>
      </c>
      <c r="H3" s="168"/>
      <c r="I3" s="166" t="s">
        <v>78</v>
      </c>
      <c r="J3" s="168"/>
      <c r="K3" s="166" t="s">
        <v>79</v>
      </c>
      <c r="L3" s="168"/>
      <c r="M3" s="166" t="s">
        <v>80</v>
      </c>
      <c r="N3" s="168"/>
      <c r="O3" s="163"/>
      <c r="P3" s="163"/>
      <c r="Q3" s="162"/>
      <c r="R3" s="162"/>
    </row>
    <row r="4" spans="1:18" ht="25" x14ac:dyDescent="0.4">
      <c r="A4" s="165"/>
      <c r="B4" s="61" t="s">
        <v>77</v>
      </c>
      <c r="C4" s="3" t="s">
        <v>84</v>
      </c>
      <c r="D4" s="3" t="s">
        <v>85</v>
      </c>
      <c r="E4" s="3" t="s">
        <v>84</v>
      </c>
      <c r="F4" s="3" t="s">
        <v>85</v>
      </c>
      <c r="G4" s="3" t="s">
        <v>84</v>
      </c>
      <c r="H4" s="3" t="s">
        <v>85</v>
      </c>
      <c r="I4" s="3" t="s">
        <v>84</v>
      </c>
      <c r="J4" s="3" t="s">
        <v>85</v>
      </c>
      <c r="K4" s="3" t="s">
        <v>84</v>
      </c>
      <c r="L4" s="3" t="s">
        <v>85</v>
      </c>
      <c r="M4" s="3" t="s">
        <v>84</v>
      </c>
      <c r="N4" s="3" t="s">
        <v>85</v>
      </c>
      <c r="O4" s="163"/>
      <c r="P4" s="163"/>
      <c r="Q4" s="162"/>
      <c r="R4" s="162"/>
    </row>
    <row r="5" spans="1:18" x14ac:dyDescent="0.4">
      <c r="A5" s="62">
        <v>1</v>
      </c>
      <c r="B5" s="63" t="str">
        <f>'เวลาเรียน4-16'!B6</f>
        <v>เด็กชายกฤษดา  บัวศรี</v>
      </c>
      <c r="C5" s="3" t="s">
        <v>84</v>
      </c>
      <c r="D5" s="3"/>
      <c r="E5" s="3" t="s">
        <v>84</v>
      </c>
      <c r="F5" s="3"/>
      <c r="G5" s="3" t="s">
        <v>84</v>
      </c>
      <c r="H5" s="3"/>
      <c r="I5" s="3" t="s">
        <v>84</v>
      </c>
      <c r="J5" s="3"/>
      <c r="K5" s="3" t="s">
        <v>84</v>
      </c>
      <c r="L5" s="3"/>
      <c r="M5" s="3" t="s">
        <v>84</v>
      </c>
      <c r="N5" s="3"/>
      <c r="O5" s="23">
        <f>A5</f>
        <v>1</v>
      </c>
      <c r="P5" s="23" t="str">
        <f>B5</f>
        <v>เด็กชายกฤษดา  บัวศรี</v>
      </c>
      <c r="Q5" s="3" t="s">
        <v>322</v>
      </c>
      <c r="R5" s="3" t="s">
        <v>321</v>
      </c>
    </row>
    <row r="6" spans="1:18" x14ac:dyDescent="0.4">
      <c r="A6" s="62">
        <v>2</v>
      </c>
      <c r="B6" s="63" t="str">
        <f>'เวลาเรียน4-16'!B7</f>
        <v>เด็กชายจิรายุ  ดอบุตร</v>
      </c>
      <c r="C6" s="3" t="s">
        <v>84</v>
      </c>
      <c r="D6" s="3"/>
      <c r="E6" s="3" t="s">
        <v>84</v>
      </c>
      <c r="F6" s="3"/>
      <c r="G6" s="3" t="s">
        <v>84</v>
      </c>
      <c r="H6" s="3"/>
      <c r="I6" s="3" t="s">
        <v>84</v>
      </c>
      <c r="J6" s="3"/>
      <c r="K6" s="3" t="s">
        <v>84</v>
      </c>
      <c r="L6" s="3"/>
      <c r="M6" s="3" t="s">
        <v>84</v>
      </c>
      <c r="N6" s="3"/>
      <c r="O6" s="23">
        <f t="shared" ref="O6:O17" si="0">A6</f>
        <v>2</v>
      </c>
      <c r="P6" s="23" t="str">
        <f t="shared" ref="P6:P17" si="1">B6</f>
        <v>เด็กชายจิรายุ  ดอบุตร</v>
      </c>
      <c r="Q6" s="3" t="s">
        <v>322</v>
      </c>
      <c r="R6" s="3" t="s">
        <v>321</v>
      </c>
    </row>
    <row r="7" spans="1:18" x14ac:dyDescent="0.4">
      <c r="A7" s="62">
        <v>3</v>
      </c>
      <c r="B7" s="63" t="str">
        <f>'เวลาเรียน4-16'!B8</f>
        <v>เด็กชายจิรายุ  เนตรสว่าง</v>
      </c>
      <c r="C7" s="3" t="s">
        <v>84</v>
      </c>
      <c r="D7" s="3"/>
      <c r="E7" s="3" t="s">
        <v>84</v>
      </c>
      <c r="F7" s="3"/>
      <c r="G7" s="3" t="s">
        <v>84</v>
      </c>
      <c r="H7" s="3"/>
      <c r="I7" s="3" t="s">
        <v>84</v>
      </c>
      <c r="J7" s="3"/>
      <c r="K7" s="3" t="s">
        <v>84</v>
      </c>
      <c r="L7" s="3"/>
      <c r="M7" s="3" t="s">
        <v>84</v>
      </c>
      <c r="N7" s="3"/>
      <c r="O7" s="23">
        <f t="shared" si="0"/>
        <v>3</v>
      </c>
      <c r="P7" s="23" t="str">
        <f t="shared" si="1"/>
        <v>เด็กชายจิรายุ  เนตรสว่าง</v>
      </c>
      <c r="Q7" s="3" t="s">
        <v>322</v>
      </c>
      <c r="R7" s="3" t="s">
        <v>321</v>
      </c>
    </row>
    <row r="8" spans="1:18" x14ac:dyDescent="0.4">
      <c r="A8" s="62">
        <v>4</v>
      </c>
      <c r="B8" s="63" t="str">
        <f>'เวลาเรียน4-16'!B9</f>
        <v>เด็กชายจีรภัทร  คันธมาตย์</v>
      </c>
      <c r="C8" s="3" t="s">
        <v>84</v>
      </c>
      <c r="D8" s="3"/>
      <c r="E8" s="3" t="s">
        <v>84</v>
      </c>
      <c r="F8" s="3"/>
      <c r="G8" s="3" t="s">
        <v>84</v>
      </c>
      <c r="H8" s="3"/>
      <c r="I8" s="3" t="s">
        <v>84</v>
      </c>
      <c r="J8" s="3"/>
      <c r="K8" s="3" t="s">
        <v>84</v>
      </c>
      <c r="L8" s="3"/>
      <c r="M8" s="3" t="s">
        <v>84</v>
      </c>
      <c r="N8" s="3"/>
      <c r="O8" s="23">
        <f t="shared" si="0"/>
        <v>4</v>
      </c>
      <c r="P8" s="23" t="str">
        <f t="shared" si="1"/>
        <v>เด็กชายจีรภัทร  คันธมาตย์</v>
      </c>
      <c r="Q8" s="3" t="s">
        <v>322</v>
      </c>
      <c r="R8" s="3" t="s">
        <v>321</v>
      </c>
    </row>
    <row r="9" spans="1:18" x14ac:dyDescent="0.4">
      <c r="A9" s="62">
        <v>5</v>
      </c>
      <c r="B9" s="63" t="str">
        <f>'เวลาเรียน4-16'!B10</f>
        <v>เด็กชายปรวัฒน์  โพธิ์ศรี</v>
      </c>
      <c r="C9" s="3" t="s">
        <v>84</v>
      </c>
      <c r="D9" s="3"/>
      <c r="E9" s="3" t="s">
        <v>84</v>
      </c>
      <c r="F9" s="3"/>
      <c r="G9" s="3" t="s">
        <v>84</v>
      </c>
      <c r="H9" s="3"/>
      <c r="I9" s="3" t="s">
        <v>84</v>
      </c>
      <c r="J9" s="3"/>
      <c r="K9" s="3" t="s">
        <v>84</v>
      </c>
      <c r="L9" s="3"/>
      <c r="M9" s="3" t="s">
        <v>84</v>
      </c>
      <c r="N9" s="3"/>
      <c r="O9" s="23">
        <f t="shared" si="0"/>
        <v>5</v>
      </c>
      <c r="P9" s="23" t="str">
        <f t="shared" si="1"/>
        <v>เด็กชายปรวัฒน์  โพธิ์ศรี</v>
      </c>
      <c r="Q9" s="3" t="s">
        <v>322</v>
      </c>
      <c r="R9" s="3" t="s">
        <v>321</v>
      </c>
    </row>
    <row r="10" spans="1:18" x14ac:dyDescent="0.4">
      <c r="A10" s="62">
        <v>6</v>
      </c>
      <c r="B10" s="63" t="str">
        <f>'เวลาเรียน4-16'!B11</f>
        <v>เด็กชายพีรภาพ  วงคำใหญ่</v>
      </c>
      <c r="C10" s="3" t="s">
        <v>84</v>
      </c>
      <c r="D10" s="3"/>
      <c r="E10" s="3" t="s">
        <v>84</v>
      </c>
      <c r="F10" s="3"/>
      <c r="G10" s="3" t="s">
        <v>84</v>
      </c>
      <c r="H10" s="3"/>
      <c r="I10" s="3" t="s">
        <v>84</v>
      </c>
      <c r="J10" s="3"/>
      <c r="K10" s="3" t="s">
        <v>84</v>
      </c>
      <c r="L10" s="3"/>
      <c r="M10" s="3" t="s">
        <v>84</v>
      </c>
      <c r="N10" s="3"/>
      <c r="O10" s="23">
        <f t="shared" si="0"/>
        <v>6</v>
      </c>
      <c r="P10" s="23" t="str">
        <f t="shared" si="1"/>
        <v>เด็กชายพีรภาพ  วงคำใหญ่</v>
      </c>
      <c r="Q10" s="3" t="s">
        <v>322</v>
      </c>
      <c r="R10" s="3" t="s">
        <v>321</v>
      </c>
    </row>
    <row r="11" spans="1:18" x14ac:dyDescent="0.4">
      <c r="A11" s="62">
        <v>7</v>
      </c>
      <c r="B11" s="63" t="str">
        <f>'เวลาเรียน4-16'!B12</f>
        <v>เด็กหญิงกมลรัตน์  แสดคง</v>
      </c>
      <c r="C11" s="3" t="s">
        <v>84</v>
      </c>
      <c r="D11" s="3"/>
      <c r="E11" s="3" t="s">
        <v>84</v>
      </c>
      <c r="F11" s="3"/>
      <c r="G11" s="3" t="s">
        <v>84</v>
      </c>
      <c r="H11" s="3"/>
      <c r="I11" s="3" t="s">
        <v>84</v>
      </c>
      <c r="J11" s="3"/>
      <c r="K11" s="3" t="s">
        <v>84</v>
      </c>
      <c r="L11" s="3"/>
      <c r="M11" s="3" t="s">
        <v>84</v>
      </c>
      <c r="N11" s="3"/>
      <c r="O11" s="23">
        <f t="shared" si="0"/>
        <v>7</v>
      </c>
      <c r="P11" s="23" t="str">
        <f t="shared" si="1"/>
        <v>เด็กหญิงกมลรัตน์  แสดคง</v>
      </c>
      <c r="Q11" s="3" t="s">
        <v>322</v>
      </c>
      <c r="R11" s="3" t="s">
        <v>321</v>
      </c>
    </row>
    <row r="12" spans="1:18" x14ac:dyDescent="0.4">
      <c r="A12" s="62">
        <v>8</v>
      </c>
      <c r="B12" s="63" t="str">
        <f>'เวลาเรียน4-16'!B13</f>
        <v>เด็กหญิงกัลยรัตน์  ทึงสุข</v>
      </c>
      <c r="C12" s="3" t="s">
        <v>84</v>
      </c>
      <c r="D12" s="3"/>
      <c r="E12" s="3" t="s">
        <v>84</v>
      </c>
      <c r="F12" s="3"/>
      <c r="G12" s="3" t="s">
        <v>84</v>
      </c>
      <c r="H12" s="3"/>
      <c r="I12" s="3" t="s">
        <v>84</v>
      </c>
      <c r="J12" s="3"/>
      <c r="K12" s="3" t="s">
        <v>84</v>
      </c>
      <c r="L12" s="3"/>
      <c r="M12" s="3" t="s">
        <v>84</v>
      </c>
      <c r="N12" s="3"/>
      <c r="O12" s="23">
        <f t="shared" si="0"/>
        <v>8</v>
      </c>
      <c r="P12" s="23" t="str">
        <f t="shared" si="1"/>
        <v>เด็กหญิงกัลยรัตน์  ทึงสุข</v>
      </c>
      <c r="Q12" s="3" t="s">
        <v>322</v>
      </c>
      <c r="R12" s="3" t="s">
        <v>321</v>
      </c>
    </row>
    <row r="13" spans="1:18" x14ac:dyDescent="0.4">
      <c r="A13" s="62">
        <v>9</v>
      </c>
      <c r="B13" s="63" t="str">
        <f>'เวลาเรียน4-16'!B14</f>
        <v>เด็กหญิงนิตยา  พละโท</v>
      </c>
      <c r="C13" s="3" t="s">
        <v>84</v>
      </c>
      <c r="D13" s="3"/>
      <c r="E13" s="3" t="s">
        <v>84</v>
      </c>
      <c r="F13" s="3"/>
      <c r="G13" s="3" t="s">
        <v>84</v>
      </c>
      <c r="H13" s="3"/>
      <c r="I13" s="3" t="s">
        <v>84</v>
      </c>
      <c r="J13" s="3"/>
      <c r="K13" s="3" t="s">
        <v>84</v>
      </c>
      <c r="L13" s="3"/>
      <c r="M13" s="3" t="s">
        <v>84</v>
      </c>
      <c r="N13" s="3"/>
      <c r="O13" s="23">
        <f t="shared" si="0"/>
        <v>9</v>
      </c>
      <c r="P13" s="23" t="str">
        <f t="shared" si="1"/>
        <v>เด็กหญิงนิตยา  พละโท</v>
      </c>
      <c r="Q13" s="3" t="s">
        <v>322</v>
      </c>
      <c r="R13" s="3" t="s">
        <v>321</v>
      </c>
    </row>
    <row r="14" spans="1:18" x14ac:dyDescent="0.4">
      <c r="A14" s="62">
        <v>10</v>
      </c>
      <c r="B14" s="63" t="str">
        <f>'เวลาเรียน4-16'!B15</f>
        <v>เด็กหญิงบัณฑิตา  เบ้าพงษ์</v>
      </c>
      <c r="C14" s="3" t="s">
        <v>84</v>
      </c>
      <c r="D14" s="3"/>
      <c r="E14" s="3" t="s">
        <v>84</v>
      </c>
      <c r="F14" s="3"/>
      <c r="G14" s="3" t="s">
        <v>84</v>
      </c>
      <c r="H14" s="3"/>
      <c r="I14" s="3" t="s">
        <v>84</v>
      </c>
      <c r="J14" s="3"/>
      <c r="K14" s="3" t="s">
        <v>84</v>
      </c>
      <c r="L14" s="3"/>
      <c r="M14" s="3" t="s">
        <v>84</v>
      </c>
      <c r="N14" s="3"/>
      <c r="O14" s="23">
        <f t="shared" si="0"/>
        <v>10</v>
      </c>
      <c r="P14" s="23" t="str">
        <f t="shared" si="1"/>
        <v>เด็กหญิงบัณฑิตา  เบ้าพงษ์</v>
      </c>
      <c r="Q14" s="3" t="s">
        <v>322</v>
      </c>
      <c r="R14" s="3" t="s">
        <v>321</v>
      </c>
    </row>
    <row r="15" spans="1:18" x14ac:dyDescent="0.4">
      <c r="A15" s="62">
        <v>11</v>
      </c>
      <c r="B15" s="63" t="str">
        <f>'เวลาเรียน4-16'!B16</f>
        <v>เด็กหญิงพัชรกัญญ์  บาลนาคม</v>
      </c>
      <c r="C15" s="3" t="s">
        <v>84</v>
      </c>
      <c r="D15" s="3"/>
      <c r="E15" s="3" t="s">
        <v>84</v>
      </c>
      <c r="F15" s="3"/>
      <c r="G15" s="3" t="s">
        <v>84</v>
      </c>
      <c r="H15" s="3"/>
      <c r="I15" s="3" t="s">
        <v>84</v>
      </c>
      <c r="J15" s="3"/>
      <c r="K15" s="3" t="s">
        <v>84</v>
      </c>
      <c r="L15" s="3"/>
      <c r="M15" s="3" t="s">
        <v>84</v>
      </c>
      <c r="N15" s="3"/>
      <c r="O15" s="23">
        <f t="shared" si="0"/>
        <v>11</v>
      </c>
      <c r="P15" s="23" t="str">
        <f t="shared" si="1"/>
        <v>เด็กหญิงพัชรกัญญ์  บาลนาคม</v>
      </c>
      <c r="Q15" s="3" t="s">
        <v>322</v>
      </c>
      <c r="R15" s="3" t="s">
        <v>321</v>
      </c>
    </row>
    <row r="16" spans="1:18" x14ac:dyDescent="0.4">
      <c r="A16" s="62">
        <v>12</v>
      </c>
      <c r="B16" s="63" t="str">
        <f>'เวลาเรียน4-16'!B17</f>
        <v>เด็กหญิงสุวิชาดา  ชูจิตร</v>
      </c>
      <c r="C16" s="3" t="s">
        <v>84</v>
      </c>
      <c r="D16" s="3"/>
      <c r="E16" s="3" t="s">
        <v>84</v>
      </c>
      <c r="F16" s="3"/>
      <c r="G16" s="3" t="s">
        <v>84</v>
      </c>
      <c r="H16" s="3"/>
      <c r="I16" s="3" t="s">
        <v>84</v>
      </c>
      <c r="J16" s="3"/>
      <c r="K16" s="3" t="s">
        <v>84</v>
      </c>
      <c r="L16" s="3"/>
      <c r="M16" s="3" t="s">
        <v>84</v>
      </c>
      <c r="N16" s="3"/>
      <c r="O16" s="23">
        <f t="shared" si="0"/>
        <v>12</v>
      </c>
      <c r="P16" s="23" t="str">
        <f t="shared" si="1"/>
        <v>เด็กหญิงสุวิชาดา  ชูจิตร</v>
      </c>
      <c r="Q16" s="3" t="s">
        <v>322</v>
      </c>
      <c r="R16" s="3" t="s">
        <v>321</v>
      </c>
    </row>
    <row r="17" spans="1:18" x14ac:dyDescent="0.4">
      <c r="A17" s="62">
        <v>13</v>
      </c>
      <c r="B17" s="63" t="str">
        <f>'เวลาเรียน4-16'!B18</f>
        <v>เด็กหญิงปุญญิศา  อุปทุม</v>
      </c>
      <c r="C17" s="3" t="s">
        <v>84</v>
      </c>
      <c r="D17" s="3"/>
      <c r="E17" s="3" t="s">
        <v>84</v>
      </c>
      <c r="F17" s="3"/>
      <c r="G17" s="3" t="s">
        <v>84</v>
      </c>
      <c r="H17" s="3"/>
      <c r="I17" s="3" t="s">
        <v>84</v>
      </c>
      <c r="J17" s="3"/>
      <c r="K17" s="3" t="s">
        <v>84</v>
      </c>
      <c r="L17" s="3"/>
      <c r="M17" s="3" t="s">
        <v>84</v>
      </c>
      <c r="N17" s="3"/>
      <c r="O17" s="23">
        <f t="shared" si="0"/>
        <v>13</v>
      </c>
      <c r="P17" s="23" t="str">
        <f t="shared" si="1"/>
        <v>เด็กหญิงปุญญิศา  อุปทุม</v>
      </c>
      <c r="Q17" s="3" t="s">
        <v>322</v>
      </c>
      <c r="R17" s="3" t="s">
        <v>321</v>
      </c>
    </row>
    <row r="18" spans="1:18" x14ac:dyDescent="0.4">
      <c r="A18" s="62"/>
      <c r="B18" s="6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23"/>
      <c r="P18" s="23"/>
      <c r="Q18" s="3"/>
      <c r="R18" s="3"/>
    </row>
    <row r="19" spans="1:18" x14ac:dyDescent="0.4">
      <c r="A19" s="62"/>
      <c r="B19" s="6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23"/>
      <c r="P19" s="23"/>
      <c r="Q19" s="3"/>
      <c r="R19" s="3"/>
    </row>
    <row r="20" spans="1:18" x14ac:dyDescent="0.4">
      <c r="A20" s="62"/>
      <c r="B20" s="6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23"/>
      <c r="P20" s="23"/>
      <c r="Q20" s="3"/>
      <c r="R20" s="3"/>
    </row>
    <row r="21" spans="1:18" x14ac:dyDescent="0.4">
      <c r="A21" s="62"/>
      <c r="B21" s="6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3"/>
      <c r="P21" s="23"/>
      <c r="Q21" s="3"/>
      <c r="R21" s="3"/>
    </row>
    <row r="22" spans="1:18" x14ac:dyDescent="0.4">
      <c r="A22" s="62"/>
      <c r="B22" s="6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3"/>
      <c r="P22" s="23"/>
      <c r="Q22" s="3"/>
      <c r="R22" s="3"/>
    </row>
    <row r="23" spans="1:18" x14ac:dyDescent="0.4">
      <c r="A23" s="62"/>
      <c r="B23" s="6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23"/>
      <c r="P23" s="23"/>
      <c r="Q23" s="3"/>
      <c r="R23" s="3"/>
    </row>
    <row r="24" spans="1:18" x14ac:dyDescent="0.4">
      <c r="A24" s="62"/>
      <c r="B24" s="6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3"/>
      <c r="P24" s="23"/>
      <c r="Q24" s="3"/>
      <c r="R24" s="3"/>
    </row>
    <row r="25" spans="1:18" x14ac:dyDescent="0.4">
      <c r="A25" s="62"/>
      <c r="B25" s="6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23"/>
      <c r="P25" s="23"/>
      <c r="Q25" s="3"/>
      <c r="R25" s="3"/>
    </row>
    <row r="26" spans="1:18" x14ac:dyDescent="0.4">
      <c r="A26" s="62"/>
      <c r="B26" s="6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3"/>
      <c r="P26" s="23"/>
      <c r="Q26" s="3"/>
      <c r="R26" s="3"/>
    </row>
    <row r="27" spans="1:18" x14ac:dyDescent="0.4">
      <c r="A27" s="62"/>
      <c r="B27" s="6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23"/>
      <c r="P27" s="23"/>
      <c r="Q27" s="3"/>
      <c r="R27" s="3"/>
    </row>
    <row r="28" spans="1:18" x14ac:dyDescent="0.4">
      <c r="A28" s="62"/>
      <c r="B28" s="6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3"/>
      <c r="P28" s="23"/>
      <c r="Q28" s="3"/>
      <c r="R28" s="3"/>
    </row>
    <row r="29" spans="1:18" x14ac:dyDescent="0.4">
      <c r="A29" s="62"/>
      <c r="B29" s="6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23"/>
      <c r="P29" s="23"/>
      <c r="Q29" s="3"/>
      <c r="R29" s="3"/>
    </row>
    <row r="30" spans="1:18" x14ac:dyDescent="0.4">
      <c r="A30" s="62"/>
      <c r="B30" s="6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23"/>
      <c r="P30" s="23"/>
      <c r="Q30" s="3"/>
      <c r="R30" s="3"/>
    </row>
    <row r="31" spans="1:18" x14ac:dyDescent="0.4">
      <c r="A31" s="62"/>
      <c r="B31" s="6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23"/>
      <c r="P31" s="23"/>
      <c r="Q31" s="3"/>
      <c r="R31" s="3"/>
    </row>
    <row r="32" spans="1:18" x14ac:dyDescent="0.4">
      <c r="A32" s="62"/>
      <c r="B32" s="6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23"/>
      <c r="P32" s="23"/>
      <c r="Q32" s="3"/>
      <c r="R32" s="3"/>
    </row>
    <row r="33" spans="1:18" x14ac:dyDescent="0.4">
      <c r="A33" s="62"/>
      <c r="B33" s="6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23"/>
      <c r="P33" s="23"/>
      <c r="Q33" s="3"/>
      <c r="R33" s="3"/>
    </row>
  </sheetData>
  <mergeCells count="14">
    <mergeCell ref="Q2:Q4"/>
    <mergeCell ref="P2:P4"/>
    <mergeCell ref="O2:O4"/>
    <mergeCell ref="R2:R4"/>
    <mergeCell ref="A2:B2"/>
    <mergeCell ref="A3:A4"/>
    <mergeCell ref="I2:N2"/>
    <mergeCell ref="C3:D3"/>
    <mergeCell ref="E3:F3"/>
    <mergeCell ref="I3:J3"/>
    <mergeCell ref="K3:L3"/>
    <mergeCell ref="G3:H3"/>
    <mergeCell ref="M3:N3"/>
    <mergeCell ref="C2:H2"/>
  </mergeCells>
  <pageMargins left="0.7" right="0.22916666666666666" top="0.75" bottom="0.75" header="0.3" footer="0.3"/>
  <pageSetup paperSize="9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9"/>
  <sheetViews>
    <sheetView showWhiteSpace="0" view="pageLayout" zoomScale="87" zoomScaleNormal="100" zoomScalePageLayoutView="87" workbookViewId="0">
      <selection activeCell="AI14" sqref="AI14"/>
    </sheetView>
  </sheetViews>
  <sheetFormatPr baseColWidth="10" defaultColWidth="9" defaultRowHeight="24" x14ac:dyDescent="0.4"/>
  <cols>
    <col min="1" max="1" width="3.5" style="1" customWidth="1"/>
    <col min="2" max="2" width="19.6640625" style="10" bestFit="1" customWidth="1"/>
    <col min="3" max="3" width="6.6640625" style="2" bestFit="1" customWidth="1"/>
    <col min="4" max="14" width="4.33203125" style="2" customWidth="1"/>
    <col min="15" max="15" width="4.6640625" style="2" customWidth="1"/>
    <col min="16" max="17" width="4.6640625" style="1" customWidth="1"/>
    <col min="18" max="18" width="5.1640625" style="1" customWidth="1"/>
    <col min="19" max="19" width="18" style="1" customWidth="1"/>
    <col min="20" max="31" width="4.1640625" style="1" customWidth="1"/>
    <col min="32" max="32" width="8.83203125" style="1" customWidth="1"/>
    <col min="33" max="34" width="4.83203125" style="1" customWidth="1"/>
    <col min="35" max="16384" width="9" style="1"/>
  </cols>
  <sheetData>
    <row r="1" spans="1:34" x14ac:dyDescent="0.4">
      <c r="Q1" s="1">
        <v>59</v>
      </c>
      <c r="AH1" s="1">
        <v>60</v>
      </c>
    </row>
    <row r="2" spans="1:34" x14ac:dyDescent="0.4">
      <c r="A2" s="297" t="s">
        <v>44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 t="s">
        <v>44</v>
      </c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297"/>
      <c r="AF2" s="297"/>
      <c r="AG2" s="297"/>
      <c r="AH2" s="297"/>
    </row>
    <row r="3" spans="1:34" x14ac:dyDescent="0.4">
      <c r="A3" s="298" t="s">
        <v>669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 t="str">
        <f>A3</f>
        <v>ระดับชั้นประถมศึกษาปีที่ 6  ปีการศึกษา  2567  โรงเรียนบ้านขัวก่าย</v>
      </c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</row>
    <row r="4" spans="1:34" ht="94.5" customHeight="1" x14ac:dyDescent="0.4">
      <c r="A4" s="299" t="s">
        <v>45</v>
      </c>
      <c r="B4" s="301" t="s">
        <v>46</v>
      </c>
      <c r="C4" s="29" t="s">
        <v>47</v>
      </c>
      <c r="D4" s="29" t="s">
        <v>48</v>
      </c>
      <c r="E4" s="29" t="s">
        <v>244</v>
      </c>
      <c r="F4" s="29" t="s">
        <v>49</v>
      </c>
      <c r="G4" s="29" t="s">
        <v>50</v>
      </c>
      <c r="H4" s="29" t="s">
        <v>51</v>
      </c>
      <c r="I4" s="29" t="s">
        <v>52</v>
      </c>
      <c r="J4" s="29" t="s">
        <v>53</v>
      </c>
      <c r="K4" s="29" t="s">
        <v>54</v>
      </c>
      <c r="L4" s="29" t="s">
        <v>671</v>
      </c>
      <c r="M4" s="29" t="s">
        <v>689</v>
      </c>
      <c r="N4" s="29" t="s">
        <v>687</v>
      </c>
      <c r="O4" s="302" t="s">
        <v>17</v>
      </c>
      <c r="P4" s="304" t="s">
        <v>57</v>
      </c>
      <c r="Q4" s="304" t="s">
        <v>58</v>
      </c>
      <c r="R4" s="299" t="s">
        <v>45</v>
      </c>
      <c r="S4" s="301" t="s">
        <v>46</v>
      </c>
      <c r="T4" s="29" t="s">
        <v>47</v>
      </c>
      <c r="U4" s="29" t="s">
        <v>48</v>
      </c>
      <c r="V4" s="29" t="s">
        <v>244</v>
      </c>
      <c r="W4" s="29" t="s">
        <v>49</v>
      </c>
      <c r="X4" s="29" t="s">
        <v>50</v>
      </c>
      <c r="Y4" s="29" t="s">
        <v>51</v>
      </c>
      <c r="Z4" s="29" t="s">
        <v>52</v>
      </c>
      <c r="AA4" s="29" t="s">
        <v>53</v>
      </c>
      <c r="AB4" s="29" t="s">
        <v>54</v>
      </c>
      <c r="AC4" s="29" t="s">
        <v>55</v>
      </c>
      <c r="AD4" s="150" t="s">
        <v>689</v>
      </c>
      <c r="AE4" s="150" t="s">
        <v>687</v>
      </c>
      <c r="AF4" s="302" t="s">
        <v>17</v>
      </c>
      <c r="AG4" s="304" t="s">
        <v>57</v>
      </c>
      <c r="AH4" s="304" t="s">
        <v>58</v>
      </c>
    </row>
    <row r="5" spans="1:34" ht="43.5" customHeight="1" x14ac:dyDescent="0.4">
      <c r="A5" s="300"/>
      <c r="B5" s="217"/>
      <c r="C5" s="30" t="str">
        <f>ปก!D13</f>
        <v>ท15101</v>
      </c>
      <c r="D5" s="30" t="str">
        <f>ปก!D14</f>
        <v>ค15101</v>
      </c>
      <c r="E5" s="30" t="str">
        <f>ปก!D15</f>
        <v>ว15101</v>
      </c>
      <c r="F5" s="30" t="str">
        <f>ปก!D16</f>
        <v>ส15101</v>
      </c>
      <c r="G5" s="30" t="str">
        <f>ปก!D17</f>
        <v>ส15102</v>
      </c>
      <c r="H5" s="30" t="str">
        <f>ปก!D18</f>
        <v>พ15101</v>
      </c>
      <c r="I5" s="30" t="str">
        <f>ปก!D19</f>
        <v>ศ15101</v>
      </c>
      <c r="J5" s="30" t="str">
        <f>ปก!D20</f>
        <v>ง15101</v>
      </c>
      <c r="K5" s="30" t="str">
        <f>ปก!D21</f>
        <v>อ15101</v>
      </c>
      <c r="L5" s="30" t="str">
        <f>ปก!D22</f>
        <v>ส15201</v>
      </c>
      <c r="M5" s="147" t="s">
        <v>688</v>
      </c>
      <c r="N5" s="147" t="s">
        <v>686</v>
      </c>
      <c r="O5" s="303"/>
      <c r="P5" s="304"/>
      <c r="Q5" s="304"/>
      <c r="R5" s="300"/>
      <c r="S5" s="217"/>
      <c r="T5" s="30" t="str">
        <f t="shared" ref="T5:AC5" si="0">C5</f>
        <v>ท15101</v>
      </c>
      <c r="U5" s="30" t="str">
        <f t="shared" si="0"/>
        <v>ค15101</v>
      </c>
      <c r="V5" s="30" t="str">
        <f t="shared" si="0"/>
        <v>ว15101</v>
      </c>
      <c r="W5" s="30" t="str">
        <f t="shared" si="0"/>
        <v>ส15101</v>
      </c>
      <c r="X5" s="30" t="str">
        <f t="shared" si="0"/>
        <v>ส15102</v>
      </c>
      <c r="Y5" s="30" t="str">
        <f t="shared" si="0"/>
        <v>พ15101</v>
      </c>
      <c r="Z5" s="30" t="str">
        <f t="shared" si="0"/>
        <v>ศ15101</v>
      </c>
      <c r="AA5" s="30" t="str">
        <f t="shared" si="0"/>
        <v>ง15101</v>
      </c>
      <c r="AB5" s="30" t="str">
        <f t="shared" si="0"/>
        <v>อ15101</v>
      </c>
      <c r="AC5" s="30" t="str">
        <f t="shared" si="0"/>
        <v>ส15201</v>
      </c>
      <c r="AD5" s="147" t="s">
        <v>688</v>
      </c>
      <c r="AE5" s="147" t="s">
        <v>686</v>
      </c>
      <c r="AF5" s="303"/>
      <c r="AG5" s="304"/>
      <c r="AH5" s="304"/>
    </row>
    <row r="6" spans="1:34" ht="15.75" customHeight="1" x14ac:dyDescent="0.4">
      <c r="A6" s="3">
        <v>1</v>
      </c>
      <c r="B6" s="124" t="str">
        <f>'เวลาเรียน4-16'!B6</f>
        <v>เด็กชายกฤษดา  บัวศรี</v>
      </c>
      <c r="C6" s="3">
        <f>'ไทย17-20'!AI7</f>
        <v>80</v>
      </c>
      <c r="D6" s="3">
        <f>'คณิต21-24'!AI7</f>
        <v>81</v>
      </c>
      <c r="E6" s="3">
        <f>'วิทย์25-28'!AI7</f>
        <v>71</v>
      </c>
      <c r="F6" s="3">
        <f>'สังคม29-32'!AI7</f>
        <v>77</v>
      </c>
      <c r="G6" s="3">
        <f>'ประวัติ33-36'!AI7</f>
        <v>87</v>
      </c>
      <c r="H6" s="3">
        <f>'สุขศึกษา37-40'!AI7</f>
        <v>83</v>
      </c>
      <c r="I6" s="3">
        <f>'ศิลปะ41-44'!AI7</f>
        <v>86</v>
      </c>
      <c r="J6" s="3">
        <f>'การงาน45-48'!AI7</f>
        <v>94</v>
      </c>
      <c r="K6" s="3">
        <f>'อังกฤษ49-52'!AI7</f>
        <v>76</v>
      </c>
      <c r="L6" s="3">
        <f>'ทุจริต53-56'!AI7</f>
        <v>71</v>
      </c>
      <c r="M6" s="3">
        <f>ดนตรี!AI7</f>
        <v>91</v>
      </c>
      <c r="N6" s="3">
        <f>คอมฯ!AI7</f>
        <v>85</v>
      </c>
      <c r="O6" s="27">
        <f>SUM(C6:C6:N6)</f>
        <v>982</v>
      </c>
      <c r="P6" s="3">
        <f>'คุณลักษณะ อ่านฯ57'!K5</f>
        <v>3</v>
      </c>
      <c r="Q6" s="3">
        <f>'คุณลักษณะ อ่านฯ57'!R5</f>
        <v>2</v>
      </c>
      <c r="R6" s="3">
        <v>1</v>
      </c>
      <c r="S6" s="124" t="str">
        <f>B6</f>
        <v>เด็กชายกฤษดา  บัวศรี</v>
      </c>
      <c r="T6" s="22">
        <f t="shared" ref="T6:AC6" si="1">IF(C6&gt;79,4,IF(C6&gt;74,3.5,IF(C6&gt;69,3,IF(C6&gt;64,2.5,IF(C6&gt;59,2,IF(C6&gt;54,1.5,IF(C6&gt;49,1,IF(C6&lt;50,0))))))))</f>
        <v>4</v>
      </c>
      <c r="U6" s="22">
        <f t="shared" si="1"/>
        <v>4</v>
      </c>
      <c r="V6" s="22">
        <f t="shared" si="1"/>
        <v>3</v>
      </c>
      <c r="W6" s="22">
        <f t="shared" si="1"/>
        <v>3.5</v>
      </c>
      <c r="X6" s="22">
        <f t="shared" si="1"/>
        <v>4</v>
      </c>
      <c r="Y6" s="22">
        <f t="shared" si="1"/>
        <v>4</v>
      </c>
      <c r="Z6" s="22">
        <f t="shared" si="1"/>
        <v>4</v>
      </c>
      <c r="AA6" s="22">
        <f t="shared" si="1"/>
        <v>4</v>
      </c>
      <c r="AB6" s="22">
        <f t="shared" si="1"/>
        <v>3.5</v>
      </c>
      <c r="AC6" s="22">
        <f t="shared" si="1"/>
        <v>3</v>
      </c>
      <c r="AD6" s="22" cm="1">
        <f t="array" ref="AD6:AD18">ดนตรี!AJ7:AJ19</f>
        <v>4</v>
      </c>
      <c r="AE6" s="22" cm="1">
        <f t="array" ref="AE6:AE18">คอมฯ!AJ7:AJ19</f>
        <v>4</v>
      </c>
      <c r="AF6" s="27">
        <f>SUM(T6:T6:AE6)</f>
        <v>45</v>
      </c>
      <c r="AG6" s="3">
        <f t="shared" ref="AG6:AG18" si="2">P6</f>
        <v>3</v>
      </c>
      <c r="AH6" s="3">
        <f t="shared" ref="AH6:AH18" si="3">Q6</f>
        <v>2</v>
      </c>
    </row>
    <row r="7" spans="1:34" ht="15.75" customHeight="1" x14ac:dyDescent="0.4">
      <c r="A7" s="3">
        <v>2</v>
      </c>
      <c r="B7" s="124" t="str">
        <f>'เวลาเรียน4-16'!B7</f>
        <v>เด็กชายจิรายุ  ดอบุตร</v>
      </c>
      <c r="C7" s="3">
        <f>'ไทย17-20'!AI8</f>
        <v>70</v>
      </c>
      <c r="D7" s="3">
        <f>'คณิต21-24'!AI8</f>
        <v>77</v>
      </c>
      <c r="E7" s="3">
        <f>'วิทย์25-28'!AI8</f>
        <v>71</v>
      </c>
      <c r="F7" s="3">
        <f>'สังคม29-32'!AI8</f>
        <v>78</v>
      </c>
      <c r="G7" s="3">
        <f>'ประวัติ33-36'!AI8</f>
        <v>85</v>
      </c>
      <c r="H7" s="3">
        <f>'สุขศึกษา37-40'!AI8</f>
        <v>81</v>
      </c>
      <c r="I7" s="3">
        <f>'ศิลปะ41-44'!AI8</f>
        <v>87</v>
      </c>
      <c r="J7" s="3">
        <f>'การงาน45-48'!AI8</f>
        <v>90</v>
      </c>
      <c r="K7" s="3">
        <f>'อังกฤษ49-52'!AI8</f>
        <v>84</v>
      </c>
      <c r="L7" s="3">
        <f>'ทุจริต53-56'!AI8</f>
        <v>78</v>
      </c>
      <c r="M7" s="3">
        <f>ดนตรี!AI8</f>
        <v>81</v>
      </c>
      <c r="N7" s="3">
        <f>คอมฯ!AI8</f>
        <v>83</v>
      </c>
      <c r="O7" s="27">
        <f>SUM(C7:C7:N7)</f>
        <v>965</v>
      </c>
      <c r="P7" s="3">
        <f>'คุณลักษณะ อ่านฯ57'!K6</f>
        <v>3</v>
      </c>
      <c r="Q7" s="3">
        <f>'คุณลักษณะ อ่านฯ57'!R6</f>
        <v>2</v>
      </c>
      <c r="R7" s="3">
        <v>2</v>
      </c>
      <c r="S7" s="124" t="str">
        <f t="shared" ref="S7:S18" si="4">B7</f>
        <v>เด็กชายจิรายุ  ดอบุตร</v>
      </c>
      <c r="T7" s="22">
        <f t="shared" ref="T7:T18" si="5">IF(C7&gt;79,4,IF(C7&gt;74,3.5,IF(C7&gt;69,3,IF(C7&gt;64,2.5,IF(C7&gt;59,2,IF(C7&gt;54,1.5,IF(C7&gt;49,1,IF(C7&lt;50,0))))))))</f>
        <v>3</v>
      </c>
      <c r="U7" s="22">
        <f t="shared" ref="U7:U18" si="6">IF(D7&gt;79,4,IF(D7&gt;74,3.5,IF(D7&gt;69,3,IF(D7&gt;64,2.5,IF(D7&gt;59,2,IF(D7&gt;54,1.5,IF(D7&gt;49,1,IF(D7&lt;50,0))))))))</f>
        <v>3.5</v>
      </c>
      <c r="V7" s="22">
        <f t="shared" ref="V7:V18" si="7">IF(E7&gt;79,4,IF(E7&gt;74,3.5,IF(E7&gt;69,3,IF(E7&gt;64,2.5,IF(E7&gt;59,2,IF(E7&gt;54,1.5,IF(E7&gt;49,1,IF(E7&lt;50,0))))))))</f>
        <v>3</v>
      </c>
      <c r="W7" s="22">
        <f t="shared" ref="W7:W18" si="8">IF(F7&gt;79,4,IF(F7&gt;74,3.5,IF(F7&gt;69,3,IF(F7&gt;64,2.5,IF(F7&gt;59,2,IF(F7&gt;54,1.5,IF(F7&gt;49,1,IF(F7&lt;50,0))))))))</f>
        <v>3.5</v>
      </c>
      <c r="X7" s="22">
        <f t="shared" ref="X7:X18" si="9">IF(G7&gt;79,4,IF(G7&gt;74,3.5,IF(G7&gt;69,3,IF(G7&gt;64,2.5,IF(G7&gt;59,2,IF(G7&gt;54,1.5,IF(G7&gt;49,1,IF(G7&lt;50,0))))))))</f>
        <v>4</v>
      </c>
      <c r="Y7" s="22">
        <f t="shared" ref="Y7:Y18" si="10">IF(H7&gt;79,4,IF(H7&gt;74,3.5,IF(H7&gt;69,3,IF(H7&gt;64,2.5,IF(H7&gt;59,2,IF(H7&gt;54,1.5,IF(H7&gt;49,1,IF(H7&lt;50,0))))))))</f>
        <v>4</v>
      </c>
      <c r="Z7" s="22">
        <f t="shared" ref="Z7:Z18" si="11">IF(I7&gt;79,4,IF(I7&gt;74,3.5,IF(I7&gt;69,3,IF(I7&gt;64,2.5,IF(I7&gt;59,2,IF(I7&gt;54,1.5,IF(I7&gt;49,1,IF(I7&lt;50,0))))))))</f>
        <v>4</v>
      </c>
      <c r="AA7" s="22">
        <f t="shared" ref="AA7:AA18" si="12">IF(J7&gt;79,4,IF(J7&gt;74,3.5,IF(J7&gt;69,3,IF(J7&gt;64,2.5,IF(J7&gt;59,2,IF(J7&gt;54,1.5,IF(J7&gt;49,1,IF(J7&lt;50,0))))))))</f>
        <v>4</v>
      </c>
      <c r="AB7" s="22">
        <f t="shared" ref="AB7:AB18" si="13">IF(K7&gt;79,4,IF(K7&gt;74,3.5,IF(K7&gt;69,3,IF(K7&gt;64,2.5,IF(K7&gt;59,2,IF(K7&gt;54,1.5,IF(K7&gt;49,1,IF(K7&lt;50,0))))))))</f>
        <v>4</v>
      </c>
      <c r="AC7" s="22">
        <f t="shared" ref="AC7:AC18" si="14">IF(L7&gt;79,4,IF(L7&gt;74,3.5,IF(L7&gt;69,3,IF(L7&gt;64,2.5,IF(L7&gt;59,2,IF(L7&gt;54,1.5,IF(L7&gt;49,1,IF(L7&lt;50,0))))))))</f>
        <v>3.5</v>
      </c>
      <c r="AD7" s="22">
        <v>4</v>
      </c>
      <c r="AE7" s="22">
        <v>4</v>
      </c>
      <c r="AF7" s="27">
        <f>SUM(T7:T7:AE7)</f>
        <v>44.5</v>
      </c>
      <c r="AG7" s="3">
        <f t="shared" si="2"/>
        <v>3</v>
      </c>
      <c r="AH7" s="3">
        <f t="shared" si="3"/>
        <v>2</v>
      </c>
    </row>
    <row r="8" spans="1:34" ht="15.75" customHeight="1" x14ac:dyDescent="0.4">
      <c r="A8" s="3">
        <v>3</v>
      </c>
      <c r="B8" s="124" t="str">
        <f>'เวลาเรียน4-16'!B8</f>
        <v>เด็กชายจิรายุ  เนตรสว่าง</v>
      </c>
      <c r="C8" s="3">
        <f>'ไทย17-20'!AI9</f>
        <v>76</v>
      </c>
      <c r="D8" s="3">
        <f>'คณิต21-24'!AI9</f>
        <v>75</v>
      </c>
      <c r="E8" s="3">
        <f>'วิทย์25-28'!AI9</f>
        <v>72</v>
      </c>
      <c r="F8" s="3">
        <f>'สังคม29-32'!AI9</f>
        <v>91</v>
      </c>
      <c r="G8" s="3">
        <f>'ประวัติ33-36'!AI9</f>
        <v>81</v>
      </c>
      <c r="H8" s="3">
        <f>'สุขศึกษา37-40'!AI9</f>
        <v>80</v>
      </c>
      <c r="I8" s="3">
        <f>'ศิลปะ41-44'!AI9</f>
        <v>84</v>
      </c>
      <c r="J8" s="3">
        <f>'การงาน45-48'!AI9</f>
        <v>90</v>
      </c>
      <c r="K8" s="3">
        <f>'อังกฤษ49-52'!AI9</f>
        <v>68</v>
      </c>
      <c r="L8" s="3">
        <f>'ทุจริต53-56'!AI9</f>
        <v>87</v>
      </c>
      <c r="M8" s="3">
        <f>ดนตรี!AI9</f>
        <v>81</v>
      </c>
      <c r="N8" s="3">
        <f>คอมฯ!AI9</f>
        <v>88</v>
      </c>
      <c r="O8" s="27">
        <f>SUM(C8:C8:N8)</f>
        <v>973</v>
      </c>
      <c r="P8" s="3">
        <f>'คุณลักษณะ อ่านฯ57'!K7</f>
        <v>3</v>
      </c>
      <c r="Q8" s="3">
        <f>'คุณลักษณะ อ่านฯ57'!R7</f>
        <v>3</v>
      </c>
      <c r="R8" s="3">
        <v>3</v>
      </c>
      <c r="S8" s="124" t="str">
        <f t="shared" si="4"/>
        <v>เด็กชายจิรายุ  เนตรสว่าง</v>
      </c>
      <c r="T8" s="22">
        <f t="shared" si="5"/>
        <v>3.5</v>
      </c>
      <c r="U8" s="22">
        <f t="shared" si="6"/>
        <v>3.5</v>
      </c>
      <c r="V8" s="22">
        <f t="shared" si="7"/>
        <v>3</v>
      </c>
      <c r="W8" s="22">
        <f t="shared" si="8"/>
        <v>4</v>
      </c>
      <c r="X8" s="22">
        <f t="shared" si="9"/>
        <v>4</v>
      </c>
      <c r="Y8" s="22">
        <f t="shared" si="10"/>
        <v>4</v>
      </c>
      <c r="Z8" s="22">
        <f t="shared" si="11"/>
        <v>4</v>
      </c>
      <c r="AA8" s="22">
        <f t="shared" si="12"/>
        <v>4</v>
      </c>
      <c r="AB8" s="22">
        <f t="shared" si="13"/>
        <v>2.5</v>
      </c>
      <c r="AC8" s="22">
        <f t="shared" si="14"/>
        <v>4</v>
      </c>
      <c r="AD8" s="22">
        <v>4</v>
      </c>
      <c r="AE8" s="22">
        <v>4</v>
      </c>
      <c r="AF8" s="27">
        <f>SUM(T8:T8:AE8)</f>
        <v>44.5</v>
      </c>
      <c r="AG8" s="3">
        <f t="shared" si="2"/>
        <v>3</v>
      </c>
      <c r="AH8" s="3">
        <f t="shared" si="3"/>
        <v>3</v>
      </c>
    </row>
    <row r="9" spans="1:34" ht="15.75" customHeight="1" x14ac:dyDescent="0.4">
      <c r="A9" s="3">
        <v>4</v>
      </c>
      <c r="B9" s="124" t="str">
        <f>'เวลาเรียน4-16'!B9</f>
        <v>เด็กชายจีรภัทร  คันธมาตย์</v>
      </c>
      <c r="C9" s="3">
        <f>'ไทย17-20'!AI10</f>
        <v>75</v>
      </c>
      <c r="D9" s="3">
        <f>'คณิต21-24'!AI10</f>
        <v>72</v>
      </c>
      <c r="E9" s="3">
        <f>'วิทย์25-28'!AI10</f>
        <v>70</v>
      </c>
      <c r="F9" s="3">
        <f>'สังคม29-32'!AI10</f>
        <v>85</v>
      </c>
      <c r="G9" s="3">
        <f>'ประวัติ33-36'!AI10</f>
        <v>76</v>
      </c>
      <c r="H9" s="3">
        <f>'สุขศึกษา37-40'!AI10</f>
        <v>78</v>
      </c>
      <c r="I9" s="3">
        <f>'ศิลปะ41-44'!AI10</f>
        <v>86</v>
      </c>
      <c r="J9" s="3">
        <f>'การงาน45-48'!AI10</f>
        <v>81</v>
      </c>
      <c r="K9" s="3">
        <f>'อังกฤษ49-52'!AI10</f>
        <v>65</v>
      </c>
      <c r="L9" s="3">
        <f>'ทุจริต53-56'!AI10</f>
        <v>87</v>
      </c>
      <c r="M9" s="3">
        <f>ดนตรี!AI10</f>
        <v>86</v>
      </c>
      <c r="N9" s="3">
        <f>คอมฯ!AI10</f>
        <v>80</v>
      </c>
      <c r="O9" s="27">
        <f>SUM(C9:C9:N9)</f>
        <v>941</v>
      </c>
      <c r="P9" s="3">
        <f>'คุณลักษณะ อ่านฯ57'!K8</f>
        <v>3</v>
      </c>
      <c r="Q9" s="3">
        <f>'คุณลักษณะ อ่านฯ57'!R8</f>
        <v>3</v>
      </c>
      <c r="R9" s="3">
        <v>4</v>
      </c>
      <c r="S9" s="124" t="str">
        <f t="shared" si="4"/>
        <v>เด็กชายจีรภัทร  คันธมาตย์</v>
      </c>
      <c r="T9" s="22">
        <f t="shared" si="5"/>
        <v>3.5</v>
      </c>
      <c r="U9" s="22">
        <f t="shared" si="6"/>
        <v>3</v>
      </c>
      <c r="V9" s="22">
        <f t="shared" si="7"/>
        <v>3</v>
      </c>
      <c r="W9" s="22">
        <f t="shared" si="8"/>
        <v>4</v>
      </c>
      <c r="X9" s="22">
        <f t="shared" si="9"/>
        <v>3.5</v>
      </c>
      <c r="Y9" s="22">
        <f t="shared" si="10"/>
        <v>3.5</v>
      </c>
      <c r="Z9" s="22">
        <f t="shared" si="11"/>
        <v>4</v>
      </c>
      <c r="AA9" s="22">
        <f t="shared" si="12"/>
        <v>4</v>
      </c>
      <c r="AB9" s="22">
        <f t="shared" si="13"/>
        <v>2.5</v>
      </c>
      <c r="AC9" s="22">
        <f t="shared" si="14"/>
        <v>4</v>
      </c>
      <c r="AD9" s="22">
        <v>4</v>
      </c>
      <c r="AE9" s="22">
        <v>4</v>
      </c>
      <c r="AF9" s="27">
        <f>SUM(T9:T9:AE9)</f>
        <v>43</v>
      </c>
      <c r="AG9" s="3">
        <f t="shared" si="2"/>
        <v>3</v>
      </c>
      <c r="AH9" s="3">
        <f t="shared" si="3"/>
        <v>3</v>
      </c>
    </row>
    <row r="10" spans="1:34" ht="15.75" customHeight="1" x14ac:dyDescent="0.4">
      <c r="A10" s="3">
        <v>5</v>
      </c>
      <c r="B10" s="124" t="str">
        <f>'เวลาเรียน4-16'!B10</f>
        <v>เด็กชายปรวัฒน์  โพธิ์ศรี</v>
      </c>
      <c r="C10" s="3">
        <f>'ไทย17-20'!AI11</f>
        <v>70</v>
      </c>
      <c r="D10" s="3">
        <f>'คณิต21-24'!AI11</f>
        <v>73</v>
      </c>
      <c r="E10" s="3">
        <f>'วิทย์25-28'!AI11</f>
        <v>69</v>
      </c>
      <c r="F10" s="3">
        <f>'สังคม29-32'!AI11</f>
        <v>90</v>
      </c>
      <c r="G10" s="3">
        <f>'ประวัติ33-36'!AI11</f>
        <v>83</v>
      </c>
      <c r="H10" s="3">
        <f>'สุขศึกษา37-40'!AI11</f>
        <v>75</v>
      </c>
      <c r="I10" s="3">
        <f>'ศิลปะ41-44'!AI11</f>
        <v>89</v>
      </c>
      <c r="J10" s="3">
        <f>'การงาน45-48'!AI11</f>
        <v>86</v>
      </c>
      <c r="K10" s="3">
        <f>'อังกฤษ49-52'!AI11</f>
        <v>60</v>
      </c>
      <c r="L10" s="3">
        <f>'ทุจริต53-56'!AI11</f>
        <v>85</v>
      </c>
      <c r="M10" s="3">
        <f>ดนตรี!AI11</f>
        <v>92</v>
      </c>
      <c r="N10" s="3">
        <f>คอมฯ!AI11</f>
        <v>84</v>
      </c>
      <c r="O10" s="27">
        <f>SUM(C10:C10:N10)</f>
        <v>956</v>
      </c>
      <c r="P10" s="3">
        <f>'คุณลักษณะ อ่านฯ57'!K9</f>
        <v>3</v>
      </c>
      <c r="Q10" s="3">
        <f>'คุณลักษณะ อ่านฯ57'!R9</f>
        <v>3</v>
      </c>
      <c r="R10" s="3">
        <v>5</v>
      </c>
      <c r="S10" s="124" t="str">
        <f t="shared" si="4"/>
        <v>เด็กชายปรวัฒน์  โพธิ์ศรี</v>
      </c>
      <c r="T10" s="22">
        <f t="shared" si="5"/>
        <v>3</v>
      </c>
      <c r="U10" s="22">
        <f t="shared" si="6"/>
        <v>3</v>
      </c>
      <c r="V10" s="22">
        <f t="shared" si="7"/>
        <v>2.5</v>
      </c>
      <c r="W10" s="22">
        <f t="shared" si="8"/>
        <v>4</v>
      </c>
      <c r="X10" s="22">
        <f t="shared" si="9"/>
        <v>4</v>
      </c>
      <c r="Y10" s="22">
        <f t="shared" si="10"/>
        <v>3.5</v>
      </c>
      <c r="Z10" s="22">
        <f t="shared" si="11"/>
        <v>4</v>
      </c>
      <c r="AA10" s="22">
        <f t="shared" si="12"/>
        <v>4</v>
      </c>
      <c r="AB10" s="22">
        <f t="shared" si="13"/>
        <v>2</v>
      </c>
      <c r="AC10" s="22">
        <f t="shared" si="14"/>
        <v>4</v>
      </c>
      <c r="AD10" s="22">
        <v>4</v>
      </c>
      <c r="AE10" s="22">
        <v>4</v>
      </c>
      <c r="AF10" s="27">
        <f>SUM(T10:T10:AE10)</f>
        <v>42</v>
      </c>
      <c r="AG10" s="3">
        <f t="shared" si="2"/>
        <v>3</v>
      </c>
      <c r="AH10" s="3">
        <f t="shared" si="3"/>
        <v>3</v>
      </c>
    </row>
    <row r="11" spans="1:34" ht="15.75" customHeight="1" x14ac:dyDescent="0.4">
      <c r="A11" s="3">
        <v>6</v>
      </c>
      <c r="B11" s="124" t="str">
        <f>'เวลาเรียน4-16'!B11</f>
        <v>เด็กชายพีรภาพ  วงคำใหญ่</v>
      </c>
      <c r="C11" s="3">
        <f>'ไทย17-20'!AI12</f>
        <v>84</v>
      </c>
      <c r="D11" s="3">
        <f>'คณิต21-24'!AI12</f>
        <v>85</v>
      </c>
      <c r="E11" s="3">
        <f>'วิทย์25-28'!AI12</f>
        <v>87</v>
      </c>
      <c r="F11" s="3">
        <f>'สังคม29-32'!AI12</f>
        <v>94</v>
      </c>
      <c r="G11" s="3">
        <f>'ประวัติ33-36'!AI12</f>
        <v>94</v>
      </c>
      <c r="H11" s="3">
        <f>'สุขศึกษา37-40'!AI12</f>
        <v>89</v>
      </c>
      <c r="I11" s="3">
        <f>'ศิลปะ41-44'!AI12</f>
        <v>85</v>
      </c>
      <c r="J11" s="3">
        <f>'การงาน45-48'!AI12</f>
        <v>91</v>
      </c>
      <c r="K11" s="3">
        <f>'อังกฤษ49-52'!AI12</f>
        <v>82</v>
      </c>
      <c r="L11" s="3">
        <f>'ทุจริต53-56'!AI12</f>
        <v>94</v>
      </c>
      <c r="M11" s="3">
        <f>ดนตรี!AI12</f>
        <v>91</v>
      </c>
      <c r="N11" s="3">
        <f>คอมฯ!AI12</f>
        <v>89</v>
      </c>
      <c r="O11" s="27">
        <f>SUM(C11:C11:N11)</f>
        <v>1065</v>
      </c>
      <c r="P11" s="3">
        <f>'คุณลักษณะ อ่านฯ57'!K10</f>
        <v>3</v>
      </c>
      <c r="Q11" s="3">
        <f>'คุณลักษณะ อ่านฯ57'!R10</f>
        <v>3</v>
      </c>
      <c r="R11" s="3">
        <v>6</v>
      </c>
      <c r="S11" s="124" t="str">
        <f t="shared" si="4"/>
        <v>เด็กชายพีรภาพ  วงคำใหญ่</v>
      </c>
      <c r="T11" s="22">
        <f t="shared" si="5"/>
        <v>4</v>
      </c>
      <c r="U11" s="22">
        <f t="shared" si="6"/>
        <v>4</v>
      </c>
      <c r="V11" s="22">
        <f t="shared" si="7"/>
        <v>4</v>
      </c>
      <c r="W11" s="22">
        <f t="shared" si="8"/>
        <v>4</v>
      </c>
      <c r="X11" s="22">
        <f t="shared" si="9"/>
        <v>4</v>
      </c>
      <c r="Y11" s="22">
        <f t="shared" si="10"/>
        <v>4</v>
      </c>
      <c r="Z11" s="22">
        <f t="shared" si="11"/>
        <v>4</v>
      </c>
      <c r="AA11" s="22">
        <f t="shared" si="12"/>
        <v>4</v>
      </c>
      <c r="AB11" s="22">
        <f t="shared" si="13"/>
        <v>4</v>
      </c>
      <c r="AC11" s="22">
        <f t="shared" si="14"/>
        <v>4</v>
      </c>
      <c r="AD11" s="22">
        <v>4</v>
      </c>
      <c r="AE11" s="22">
        <v>4</v>
      </c>
      <c r="AF11" s="27">
        <f>SUM(T11:T11:AE11)</f>
        <v>48</v>
      </c>
      <c r="AG11" s="3">
        <f t="shared" si="2"/>
        <v>3</v>
      </c>
      <c r="AH11" s="3">
        <f t="shared" si="3"/>
        <v>3</v>
      </c>
    </row>
    <row r="12" spans="1:34" ht="15.75" customHeight="1" x14ac:dyDescent="0.4">
      <c r="A12" s="3">
        <v>7</v>
      </c>
      <c r="B12" s="124" t="str">
        <f>'เวลาเรียน4-16'!B12</f>
        <v>เด็กหญิงกมลรัตน์  แสดคง</v>
      </c>
      <c r="C12" s="3">
        <f>'ไทย17-20'!AI13</f>
        <v>82</v>
      </c>
      <c r="D12" s="3">
        <f>'คณิต21-24'!AI13</f>
        <v>85</v>
      </c>
      <c r="E12" s="3">
        <f>'วิทย์25-28'!AI13</f>
        <v>83</v>
      </c>
      <c r="F12" s="3">
        <f>'สังคม29-32'!AI13</f>
        <v>85</v>
      </c>
      <c r="G12" s="3">
        <f>'ประวัติ33-36'!AI13</f>
        <v>87</v>
      </c>
      <c r="H12" s="3">
        <f>'สุขศึกษา37-40'!AI13</f>
        <v>91</v>
      </c>
      <c r="I12" s="3">
        <f>'ศิลปะ41-44'!AI13</f>
        <v>88</v>
      </c>
      <c r="J12" s="3">
        <f>'การงาน45-48'!AI13</f>
        <v>89</v>
      </c>
      <c r="K12" s="3">
        <f>'อังกฤษ49-52'!AI13</f>
        <v>75</v>
      </c>
      <c r="L12" s="3">
        <f>'ทุจริต53-56'!AI13</f>
        <v>90</v>
      </c>
      <c r="M12" s="3">
        <f>ดนตรี!AI13</f>
        <v>88</v>
      </c>
      <c r="N12" s="3">
        <f>คอมฯ!AI13</f>
        <v>87</v>
      </c>
      <c r="O12" s="27">
        <f>SUM(C12:C12:N12)</f>
        <v>1030</v>
      </c>
      <c r="P12" s="3">
        <f>'คุณลักษณะ อ่านฯ57'!K11</f>
        <v>3</v>
      </c>
      <c r="Q12" s="3">
        <f>'คุณลักษณะ อ่านฯ57'!R11</f>
        <v>3</v>
      </c>
      <c r="R12" s="3">
        <v>7</v>
      </c>
      <c r="S12" s="124" t="str">
        <f t="shared" si="4"/>
        <v>เด็กหญิงกมลรัตน์  แสดคง</v>
      </c>
      <c r="T12" s="22">
        <f t="shared" si="5"/>
        <v>4</v>
      </c>
      <c r="U12" s="22">
        <f t="shared" si="6"/>
        <v>4</v>
      </c>
      <c r="V12" s="22">
        <f t="shared" si="7"/>
        <v>4</v>
      </c>
      <c r="W12" s="22">
        <f t="shared" si="8"/>
        <v>4</v>
      </c>
      <c r="X12" s="22">
        <f t="shared" si="9"/>
        <v>4</v>
      </c>
      <c r="Y12" s="22">
        <f t="shared" si="10"/>
        <v>4</v>
      </c>
      <c r="Z12" s="22">
        <f t="shared" si="11"/>
        <v>4</v>
      </c>
      <c r="AA12" s="22">
        <f t="shared" si="12"/>
        <v>4</v>
      </c>
      <c r="AB12" s="22">
        <f t="shared" si="13"/>
        <v>3.5</v>
      </c>
      <c r="AC12" s="22">
        <f t="shared" si="14"/>
        <v>4</v>
      </c>
      <c r="AD12" s="22">
        <v>4</v>
      </c>
      <c r="AE12" s="22">
        <v>4</v>
      </c>
      <c r="AF12" s="27">
        <f>SUM(T12:T12:AE12)</f>
        <v>47.5</v>
      </c>
      <c r="AG12" s="3">
        <f t="shared" si="2"/>
        <v>3</v>
      </c>
      <c r="AH12" s="3">
        <f t="shared" si="3"/>
        <v>3</v>
      </c>
    </row>
    <row r="13" spans="1:34" ht="15.75" customHeight="1" x14ac:dyDescent="0.4">
      <c r="A13" s="3">
        <v>8</v>
      </c>
      <c r="B13" s="124" t="str">
        <f>'เวลาเรียน4-16'!B13</f>
        <v>เด็กหญิงกัลยรัตน์  ทึงสุข</v>
      </c>
      <c r="C13" s="3">
        <f>'ไทย17-20'!AI14</f>
        <v>88</v>
      </c>
      <c r="D13" s="3">
        <f>'คณิต21-24'!AI14</f>
        <v>86</v>
      </c>
      <c r="E13" s="3">
        <f>'วิทย์25-28'!AI14</f>
        <v>89</v>
      </c>
      <c r="F13" s="3">
        <f>'สังคม29-32'!AI14</f>
        <v>81</v>
      </c>
      <c r="G13" s="3">
        <f>'ประวัติ33-36'!AI14</f>
        <v>93</v>
      </c>
      <c r="H13" s="3">
        <f>'สุขศึกษา37-40'!AI14</f>
        <v>89</v>
      </c>
      <c r="I13" s="3">
        <f>'ศิลปะ41-44'!AI14</f>
        <v>89</v>
      </c>
      <c r="J13" s="3">
        <f>'การงาน45-48'!AI14</f>
        <v>92</v>
      </c>
      <c r="K13" s="3">
        <f>'อังกฤษ49-52'!AI14</f>
        <v>86</v>
      </c>
      <c r="L13" s="3">
        <f>'ทุจริต53-56'!AI14</f>
        <v>95</v>
      </c>
      <c r="M13" s="3">
        <f>ดนตรี!AI14</f>
        <v>85</v>
      </c>
      <c r="N13" s="3">
        <f>คอมฯ!AI14</f>
        <v>88</v>
      </c>
      <c r="O13" s="27">
        <f>SUM(C13:C13:N13)</f>
        <v>1061</v>
      </c>
      <c r="P13" s="3">
        <f>'คุณลักษณะ อ่านฯ57'!K12</f>
        <v>3</v>
      </c>
      <c r="Q13" s="3">
        <f>'คุณลักษณะ อ่านฯ57'!R12</f>
        <v>3</v>
      </c>
      <c r="R13" s="3">
        <v>8</v>
      </c>
      <c r="S13" s="124" t="str">
        <f t="shared" si="4"/>
        <v>เด็กหญิงกัลยรัตน์  ทึงสุข</v>
      </c>
      <c r="T13" s="22">
        <f t="shared" si="5"/>
        <v>4</v>
      </c>
      <c r="U13" s="22">
        <f t="shared" si="6"/>
        <v>4</v>
      </c>
      <c r="V13" s="22">
        <f t="shared" si="7"/>
        <v>4</v>
      </c>
      <c r="W13" s="22">
        <f t="shared" si="8"/>
        <v>4</v>
      </c>
      <c r="X13" s="22">
        <f t="shared" si="9"/>
        <v>4</v>
      </c>
      <c r="Y13" s="22">
        <f t="shared" si="10"/>
        <v>4</v>
      </c>
      <c r="Z13" s="22">
        <f t="shared" si="11"/>
        <v>4</v>
      </c>
      <c r="AA13" s="22">
        <f t="shared" si="12"/>
        <v>4</v>
      </c>
      <c r="AB13" s="22">
        <f t="shared" si="13"/>
        <v>4</v>
      </c>
      <c r="AC13" s="22">
        <f t="shared" si="14"/>
        <v>4</v>
      </c>
      <c r="AD13" s="22">
        <v>4</v>
      </c>
      <c r="AE13" s="22">
        <v>4</v>
      </c>
      <c r="AF13" s="27">
        <f>SUM(T13:T13:AE13)</f>
        <v>48</v>
      </c>
      <c r="AG13" s="3">
        <f t="shared" si="2"/>
        <v>3</v>
      </c>
      <c r="AH13" s="3">
        <f t="shared" si="3"/>
        <v>3</v>
      </c>
    </row>
    <row r="14" spans="1:34" ht="15.75" customHeight="1" x14ac:dyDescent="0.4">
      <c r="A14" s="3">
        <v>9</v>
      </c>
      <c r="B14" s="124" t="str">
        <f>'เวลาเรียน4-16'!B14</f>
        <v>เด็กหญิงนิตยา  พละโท</v>
      </c>
      <c r="C14" s="3">
        <f>'ไทย17-20'!AI15</f>
        <v>83</v>
      </c>
      <c r="D14" s="3">
        <f>'คณิต21-24'!AI15</f>
        <v>86</v>
      </c>
      <c r="E14" s="3">
        <f>'วิทย์25-28'!AI15</f>
        <v>86</v>
      </c>
      <c r="F14" s="3">
        <f>'สังคม29-32'!AI15</f>
        <v>83</v>
      </c>
      <c r="G14" s="3">
        <f>'ประวัติ33-36'!AI15</f>
        <v>90</v>
      </c>
      <c r="H14" s="3">
        <f>'สุขศึกษา37-40'!AI15</f>
        <v>90</v>
      </c>
      <c r="I14" s="3">
        <f>'ศิลปะ41-44'!AI15</f>
        <v>90</v>
      </c>
      <c r="J14" s="3">
        <f>'การงาน45-48'!AI15</f>
        <v>95</v>
      </c>
      <c r="K14" s="3">
        <f>'อังกฤษ49-52'!AI15</f>
        <v>82</v>
      </c>
      <c r="L14" s="3">
        <f>'ทุจริต53-56'!AI15</f>
        <v>93</v>
      </c>
      <c r="M14" s="3">
        <f>ดนตรี!AI15</f>
        <v>91</v>
      </c>
      <c r="N14" s="3">
        <f>คอมฯ!AI15</f>
        <v>88</v>
      </c>
      <c r="O14" s="27">
        <f>SUM(C14:C14:N14)</f>
        <v>1057</v>
      </c>
      <c r="P14" s="3">
        <f>'คุณลักษณะ อ่านฯ57'!K13</f>
        <v>3</v>
      </c>
      <c r="Q14" s="3">
        <f>'คุณลักษณะ อ่านฯ57'!R13</f>
        <v>3</v>
      </c>
      <c r="R14" s="3">
        <v>9</v>
      </c>
      <c r="S14" s="124" t="str">
        <f t="shared" si="4"/>
        <v>เด็กหญิงนิตยา  พละโท</v>
      </c>
      <c r="T14" s="22">
        <f t="shared" si="5"/>
        <v>4</v>
      </c>
      <c r="U14" s="22">
        <f t="shared" si="6"/>
        <v>4</v>
      </c>
      <c r="V14" s="22">
        <f t="shared" si="7"/>
        <v>4</v>
      </c>
      <c r="W14" s="22">
        <f t="shared" si="8"/>
        <v>4</v>
      </c>
      <c r="X14" s="22">
        <f t="shared" si="9"/>
        <v>4</v>
      </c>
      <c r="Y14" s="22">
        <f t="shared" si="10"/>
        <v>4</v>
      </c>
      <c r="Z14" s="22">
        <f t="shared" si="11"/>
        <v>4</v>
      </c>
      <c r="AA14" s="22">
        <f t="shared" si="12"/>
        <v>4</v>
      </c>
      <c r="AB14" s="22">
        <f t="shared" si="13"/>
        <v>4</v>
      </c>
      <c r="AC14" s="22">
        <f t="shared" si="14"/>
        <v>4</v>
      </c>
      <c r="AD14" s="22">
        <v>4</v>
      </c>
      <c r="AE14" s="22">
        <v>4</v>
      </c>
      <c r="AF14" s="27">
        <f>SUM(T14:T14:AE14)</f>
        <v>48</v>
      </c>
      <c r="AG14" s="3">
        <f t="shared" si="2"/>
        <v>3</v>
      </c>
      <c r="AH14" s="3">
        <f t="shared" si="3"/>
        <v>3</v>
      </c>
    </row>
    <row r="15" spans="1:34" ht="15.75" customHeight="1" x14ac:dyDescent="0.4">
      <c r="A15" s="3">
        <v>10</v>
      </c>
      <c r="B15" s="124" t="str">
        <f>'เวลาเรียน4-16'!B15</f>
        <v>เด็กหญิงบัณฑิตา  เบ้าพงษ์</v>
      </c>
      <c r="C15" s="3">
        <f>'ไทย17-20'!AI16</f>
        <v>77</v>
      </c>
      <c r="D15" s="3">
        <f>'คณิต21-24'!AI16</f>
        <v>85</v>
      </c>
      <c r="E15" s="3">
        <f>'วิทย์25-28'!AI16</f>
        <v>77</v>
      </c>
      <c r="F15" s="3">
        <f>'สังคม29-32'!AI16</f>
        <v>87</v>
      </c>
      <c r="G15" s="3">
        <f>'ประวัติ33-36'!AI16</f>
        <v>89</v>
      </c>
      <c r="H15" s="3">
        <f>'สุขศึกษา37-40'!AI16</f>
        <v>87</v>
      </c>
      <c r="I15" s="3">
        <f>'ศิลปะ41-44'!AI16</f>
        <v>89</v>
      </c>
      <c r="J15" s="3">
        <f>'การงาน45-48'!AI16</f>
        <v>85</v>
      </c>
      <c r="K15" s="3">
        <f>'อังกฤษ49-52'!AI16</f>
        <v>76</v>
      </c>
      <c r="L15" s="3">
        <f>'ทุจริต53-56'!AI16</f>
        <v>87</v>
      </c>
      <c r="M15" s="3">
        <f>ดนตรี!AI16</f>
        <v>84</v>
      </c>
      <c r="N15" s="3">
        <f>คอมฯ!AI16</f>
        <v>85</v>
      </c>
      <c r="O15" s="27">
        <f>SUM(C15:C15:N15)</f>
        <v>1008</v>
      </c>
      <c r="P15" s="3">
        <f>'คุณลักษณะ อ่านฯ57'!K14</f>
        <v>3</v>
      </c>
      <c r="Q15" s="3">
        <f>'คุณลักษณะ อ่านฯ57'!R14</f>
        <v>3</v>
      </c>
      <c r="R15" s="3">
        <v>10</v>
      </c>
      <c r="S15" s="124" t="str">
        <f t="shared" si="4"/>
        <v>เด็กหญิงบัณฑิตา  เบ้าพงษ์</v>
      </c>
      <c r="T15" s="22">
        <f t="shared" si="5"/>
        <v>3.5</v>
      </c>
      <c r="U15" s="22">
        <f t="shared" si="6"/>
        <v>4</v>
      </c>
      <c r="V15" s="22">
        <f t="shared" si="7"/>
        <v>3.5</v>
      </c>
      <c r="W15" s="22">
        <f t="shared" si="8"/>
        <v>4</v>
      </c>
      <c r="X15" s="22">
        <f t="shared" si="9"/>
        <v>4</v>
      </c>
      <c r="Y15" s="22">
        <f t="shared" si="10"/>
        <v>4</v>
      </c>
      <c r="Z15" s="22">
        <f t="shared" si="11"/>
        <v>4</v>
      </c>
      <c r="AA15" s="22">
        <f t="shared" si="12"/>
        <v>4</v>
      </c>
      <c r="AB15" s="22">
        <f t="shared" si="13"/>
        <v>3.5</v>
      </c>
      <c r="AC15" s="22">
        <f t="shared" si="14"/>
        <v>4</v>
      </c>
      <c r="AD15" s="22">
        <v>4</v>
      </c>
      <c r="AE15" s="22">
        <v>4</v>
      </c>
      <c r="AF15" s="27">
        <f>SUM(T15:T15:AE15)</f>
        <v>46.5</v>
      </c>
      <c r="AG15" s="3">
        <f t="shared" si="2"/>
        <v>3</v>
      </c>
      <c r="AH15" s="3">
        <f t="shared" si="3"/>
        <v>3</v>
      </c>
    </row>
    <row r="16" spans="1:34" ht="15.75" customHeight="1" x14ac:dyDescent="0.4">
      <c r="A16" s="3">
        <v>11</v>
      </c>
      <c r="B16" s="124" t="str">
        <f>'เวลาเรียน4-16'!B16</f>
        <v>เด็กหญิงพัชรกัญญ์  บาลนาคม</v>
      </c>
      <c r="C16" s="3">
        <f>'ไทย17-20'!AI17</f>
        <v>85</v>
      </c>
      <c r="D16" s="3">
        <f>'คณิต21-24'!AI17</f>
        <v>85</v>
      </c>
      <c r="E16" s="3">
        <f>'วิทย์25-28'!AI17</f>
        <v>80</v>
      </c>
      <c r="F16" s="3">
        <f>'สังคม29-32'!AI17</f>
        <v>83</v>
      </c>
      <c r="G16" s="3">
        <f>'ประวัติ33-36'!AI17</f>
        <v>90</v>
      </c>
      <c r="H16" s="3">
        <f>'สุขศึกษา37-40'!AI17</f>
        <v>94</v>
      </c>
      <c r="I16" s="3">
        <f>'ศิลปะ41-44'!AI17</f>
        <v>88</v>
      </c>
      <c r="J16" s="3">
        <f>'การงาน45-48'!AI17</f>
        <v>94</v>
      </c>
      <c r="K16" s="3">
        <f>'อังกฤษ49-52'!AI17</f>
        <v>80</v>
      </c>
      <c r="L16" s="3">
        <f>'ทุจริต53-56'!AI17</f>
        <v>91</v>
      </c>
      <c r="M16" s="3">
        <f>ดนตรี!AI17</f>
        <v>89</v>
      </c>
      <c r="N16" s="3">
        <f>คอมฯ!AI17</f>
        <v>86</v>
      </c>
      <c r="O16" s="27">
        <f>SUM(C16:C16:N16)</f>
        <v>1045</v>
      </c>
      <c r="P16" s="3">
        <f>'คุณลักษณะ อ่านฯ57'!K15</f>
        <v>3</v>
      </c>
      <c r="Q16" s="3">
        <f>'คุณลักษณะ อ่านฯ57'!R15</f>
        <v>3</v>
      </c>
      <c r="R16" s="3">
        <v>11</v>
      </c>
      <c r="S16" s="124" t="str">
        <f t="shared" si="4"/>
        <v>เด็กหญิงพัชรกัญญ์  บาลนาคม</v>
      </c>
      <c r="T16" s="22">
        <f t="shared" si="5"/>
        <v>4</v>
      </c>
      <c r="U16" s="22">
        <f t="shared" si="6"/>
        <v>4</v>
      </c>
      <c r="V16" s="22">
        <f t="shared" si="7"/>
        <v>4</v>
      </c>
      <c r="W16" s="22">
        <f t="shared" si="8"/>
        <v>4</v>
      </c>
      <c r="X16" s="22">
        <f t="shared" si="9"/>
        <v>4</v>
      </c>
      <c r="Y16" s="22">
        <f t="shared" si="10"/>
        <v>4</v>
      </c>
      <c r="Z16" s="22">
        <f t="shared" si="11"/>
        <v>4</v>
      </c>
      <c r="AA16" s="22">
        <f t="shared" si="12"/>
        <v>4</v>
      </c>
      <c r="AB16" s="22">
        <f t="shared" si="13"/>
        <v>4</v>
      </c>
      <c r="AC16" s="22">
        <f t="shared" si="14"/>
        <v>4</v>
      </c>
      <c r="AD16" s="22">
        <v>4</v>
      </c>
      <c r="AE16" s="22">
        <v>4</v>
      </c>
      <c r="AF16" s="27">
        <f>SUM(T16:T16:AE16)</f>
        <v>48</v>
      </c>
      <c r="AG16" s="3">
        <f t="shared" si="2"/>
        <v>3</v>
      </c>
      <c r="AH16" s="3">
        <f t="shared" si="3"/>
        <v>3</v>
      </c>
    </row>
    <row r="17" spans="1:34" ht="15.75" customHeight="1" x14ac:dyDescent="0.4">
      <c r="A17" s="3">
        <v>12</v>
      </c>
      <c r="B17" s="124" t="str">
        <f>'เวลาเรียน4-16'!B17</f>
        <v>เด็กหญิงสุวิชาดา  ชูจิตร</v>
      </c>
      <c r="C17" s="3">
        <f>'ไทย17-20'!AI18</f>
        <v>70</v>
      </c>
      <c r="D17" s="3">
        <f>'คณิต21-24'!AI18</f>
        <v>73</v>
      </c>
      <c r="E17" s="3">
        <f>'วิทย์25-28'!AI18</f>
        <v>70</v>
      </c>
      <c r="F17" s="3">
        <f>'สังคม29-32'!AI18</f>
        <v>81</v>
      </c>
      <c r="G17" s="3">
        <f>'ประวัติ33-36'!AI18</f>
        <v>85</v>
      </c>
      <c r="H17" s="3">
        <f>'สุขศึกษา37-40'!AI18</f>
        <v>89</v>
      </c>
      <c r="I17" s="3">
        <f>'ศิลปะ41-44'!AI18</f>
        <v>88</v>
      </c>
      <c r="J17" s="3">
        <f>'การงาน45-48'!AI18</f>
        <v>84</v>
      </c>
      <c r="K17" s="3">
        <f>'อังกฤษ49-52'!AI18</f>
        <v>55</v>
      </c>
      <c r="L17" s="3">
        <f>'ทุจริต53-56'!AI18</f>
        <v>84</v>
      </c>
      <c r="M17" s="3">
        <f>ดนตรี!AI18</f>
        <v>80</v>
      </c>
      <c r="N17" s="3">
        <f>คอมฯ!AI18</f>
        <v>89</v>
      </c>
      <c r="O17" s="27">
        <f>SUM(C17:C17:N17)</f>
        <v>948</v>
      </c>
      <c r="P17" s="3">
        <f>'คุณลักษณะ อ่านฯ57'!K16</f>
        <v>3</v>
      </c>
      <c r="Q17" s="3">
        <f>'คุณลักษณะ อ่านฯ57'!R16</f>
        <v>3</v>
      </c>
      <c r="R17" s="3">
        <v>12</v>
      </c>
      <c r="S17" s="124" t="str">
        <f t="shared" si="4"/>
        <v>เด็กหญิงสุวิชาดา  ชูจิตร</v>
      </c>
      <c r="T17" s="22">
        <f t="shared" si="5"/>
        <v>3</v>
      </c>
      <c r="U17" s="22">
        <f t="shared" si="6"/>
        <v>3</v>
      </c>
      <c r="V17" s="22">
        <f t="shared" si="7"/>
        <v>3</v>
      </c>
      <c r="W17" s="22">
        <f t="shared" si="8"/>
        <v>4</v>
      </c>
      <c r="X17" s="22">
        <f t="shared" si="9"/>
        <v>4</v>
      </c>
      <c r="Y17" s="22">
        <f t="shared" si="10"/>
        <v>4</v>
      </c>
      <c r="Z17" s="22">
        <f t="shared" si="11"/>
        <v>4</v>
      </c>
      <c r="AA17" s="22">
        <f t="shared" si="12"/>
        <v>4</v>
      </c>
      <c r="AB17" s="22">
        <f t="shared" si="13"/>
        <v>1.5</v>
      </c>
      <c r="AC17" s="22">
        <f t="shared" si="14"/>
        <v>4</v>
      </c>
      <c r="AD17" s="22">
        <v>4</v>
      </c>
      <c r="AE17" s="22">
        <v>4</v>
      </c>
      <c r="AF17" s="27">
        <f>SUM(T17:T17:AE17)</f>
        <v>42.5</v>
      </c>
      <c r="AG17" s="3">
        <f t="shared" si="2"/>
        <v>3</v>
      </c>
      <c r="AH17" s="3">
        <f t="shared" si="3"/>
        <v>3</v>
      </c>
    </row>
    <row r="18" spans="1:34" ht="15.75" customHeight="1" x14ac:dyDescent="0.4">
      <c r="A18" s="3">
        <v>13</v>
      </c>
      <c r="B18" s="124" t="str">
        <f>'เวลาเรียน4-16'!B18</f>
        <v>เด็กหญิงปุญญิศา  อุปทุม</v>
      </c>
      <c r="C18" s="3">
        <f>'ไทย17-20'!AI19</f>
        <v>84</v>
      </c>
      <c r="D18" s="3">
        <f>'คณิต21-24'!AI19</f>
        <v>85</v>
      </c>
      <c r="E18" s="3">
        <f>'วิทย์25-28'!AI19</f>
        <v>90</v>
      </c>
      <c r="F18" s="3">
        <f>'สังคม29-32'!AI19</f>
        <v>97</v>
      </c>
      <c r="G18" s="3">
        <f>'ประวัติ33-36'!AI19</f>
        <v>96</v>
      </c>
      <c r="H18" s="3">
        <f>'สุขศึกษา37-40'!AI19</f>
        <v>91</v>
      </c>
      <c r="I18" s="3">
        <f>'ศิลปะ41-44'!AI19</f>
        <v>87</v>
      </c>
      <c r="J18" s="3">
        <f>'การงาน45-48'!AI19</f>
        <v>90</v>
      </c>
      <c r="K18" s="3">
        <f>'อังกฤษ49-52'!AI19</f>
        <v>85</v>
      </c>
      <c r="L18" s="3">
        <f>'ทุจริต53-56'!AI19</f>
        <v>95</v>
      </c>
      <c r="M18" s="3">
        <f>ดนตรี!AI19</f>
        <v>88</v>
      </c>
      <c r="N18" s="3">
        <f>คอมฯ!AI19</f>
        <v>85</v>
      </c>
      <c r="O18" s="27">
        <f>SUM(C18:C18:N18)</f>
        <v>1073</v>
      </c>
      <c r="P18" s="3">
        <f>'คุณลักษณะ อ่านฯ57'!K17</f>
        <v>3</v>
      </c>
      <c r="Q18" s="3">
        <f>'คุณลักษณะ อ่านฯ57'!R17</f>
        <v>3</v>
      </c>
      <c r="R18" s="3">
        <v>13</v>
      </c>
      <c r="S18" s="124" t="str">
        <f t="shared" si="4"/>
        <v>เด็กหญิงปุญญิศา  อุปทุม</v>
      </c>
      <c r="T18" s="22">
        <f t="shared" si="5"/>
        <v>4</v>
      </c>
      <c r="U18" s="22">
        <f t="shared" si="6"/>
        <v>4</v>
      </c>
      <c r="V18" s="22">
        <f t="shared" si="7"/>
        <v>4</v>
      </c>
      <c r="W18" s="22">
        <f t="shared" si="8"/>
        <v>4</v>
      </c>
      <c r="X18" s="22">
        <f t="shared" si="9"/>
        <v>4</v>
      </c>
      <c r="Y18" s="22">
        <f t="shared" si="10"/>
        <v>4</v>
      </c>
      <c r="Z18" s="22">
        <f t="shared" si="11"/>
        <v>4</v>
      </c>
      <c r="AA18" s="22">
        <f t="shared" si="12"/>
        <v>4</v>
      </c>
      <c r="AB18" s="22">
        <f t="shared" si="13"/>
        <v>4</v>
      </c>
      <c r="AC18" s="22">
        <f t="shared" si="14"/>
        <v>4</v>
      </c>
      <c r="AD18" s="22">
        <v>4</v>
      </c>
      <c r="AE18" s="22">
        <v>4</v>
      </c>
      <c r="AF18" s="27">
        <f>SUM(T18:T18:AE18)</f>
        <v>48</v>
      </c>
      <c r="AG18" s="3">
        <f t="shared" si="2"/>
        <v>3</v>
      </c>
      <c r="AH18" s="3">
        <f t="shared" si="3"/>
        <v>3</v>
      </c>
    </row>
    <row r="19" spans="1:34" ht="15.75" customHeight="1" x14ac:dyDescent="0.4">
      <c r="A19" s="3"/>
      <c r="B19" s="12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27"/>
      <c r="P19" s="3"/>
      <c r="Q19" s="3"/>
      <c r="R19" s="3"/>
      <c r="S19" s="124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7"/>
      <c r="AG19" s="3"/>
      <c r="AH19" s="3"/>
    </row>
    <row r="20" spans="1:34" ht="15.75" customHeight="1" x14ac:dyDescent="0.4">
      <c r="A20" s="3"/>
      <c r="B20" s="12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27"/>
      <c r="P20" s="3"/>
      <c r="Q20" s="3"/>
      <c r="R20" s="3"/>
      <c r="S20" s="124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7"/>
      <c r="AG20" s="3"/>
      <c r="AH20" s="3"/>
    </row>
    <row r="21" spans="1:34" ht="15.75" customHeight="1" x14ac:dyDescent="0.4">
      <c r="A21" s="3"/>
      <c r="B21" s="12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7"/>
      <c r="P21" s="3"/>
      <c r="Q21" s="3"/>
      <c r="R21" s="3"/>
      <c r="S21" s="124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7"/>
      <c r="AG21" s="3"/>
      <c r="AH21" s="3"/>
    </row>
    <row r="22" spans="1:34" ht="15.75" customHeight="1" x14ac:dyDescent="0.4">
      <c r="A22" s="3"/>
      <c r="B22" s="12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7"/>
      <c r="P22" s="3"/>
      <c r="Q22" s="3"/>
      <c r="R22" s="3"/>
      <c r="S22" s="124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7"/>
      <c r="AG22" s="3"/>
      <c r="AH22" s="3"/>
    </row>
    <row r="23" spans="1:34" ht="15.75" customHeight="1" x14ac:dyDescent="0.4">
      <c r="A23" s="3"/>
      <c r="B23" s="12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27"/>
      <c r="P23" s="3"/>
      <c r="Q23" s="3"/>
      <c r="R23" s="3"/>
      <c r="S23" s="124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7"/>
      <c r="AG23" s="3"/>
      <c r="AH23" s="3"/>
    </row>
    <row r="24" spans="1:34" ht="15.75" customHeight="1" x14ac:dyDescent="0.4">
      <c r="A24" s="3"/>
      <c r="B24" s="12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7"/>
      <c r="P24" s="3"/>
      <c r="Q24" s="3"/>
      <c r="R24" s="3"/>
      <c r="S24" s="124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7"/>
      <c r="AG24" s="3"/>
      <c r="AH24" s="3"/>
    </row>
    <row r="25" spans="1:34" ht="15.75" customHeight="1" x14ac:dyDescent="0.4">
      <c r="A25" s="3"/>
      <c r="B25" s="12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27"/>
      <c r="P25" s="3"/>
      <c r="Q25" s="3"/>
      <c r="R25" s="3"/>
      <c r="S25" s="124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7"/>
      <c r="AG25" s="3"/>
      <c r="AH25" s="3"/>
    </row>
    <row r="26" spans="1:34" ht="15.75" customHeight="1" x14ac:dyDescent="0.4">
      <c r="A26" s="3"/>
      <c r="B26" s="12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7"/>
      <c r="P26" s="3"/>
      <c r="Q26" s="3"/>
      <c r="R26" s="3"/>
      <c r="S26" s="124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7"/>
      <c r="AG26" s="3"/>
      <c r="AH26" s="3"/>
    </row>
    <row r="27" spans="1:34" ht="15.75" customHeight="1" x14ac:dyDescent="0.4">
      <c r="A27" s="3"/>
      <c r="B27" s="3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27"/>
      <c r="P27" s="3"/>
      <c r="Q27" s="3"/>
      <c r="R27" s="3"/>
      <c r="S27" s="31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7"/>
      <c r="AG27" s="3"/>
      <c r="AH27" s="3"/>
    </row>
    <row r="28" spans="1:34" ht="15.75" customHeight="1" x14ac:dyDescent="0.4">
      <c r="A28" s="3"/>
      <c r="B28" s="3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7"/>
      <c r="P28" s="3"/>
      <c r="Q28" s="3"/>
      <c r="R28" s="3"/>
      <c r="S28" s="31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7"/>
      <c r="AG28" s="3"/>
      <c r="AH28" s="3"/>
    </row>
    <row r="29" spans="1:34" ht="15.75" customHeight="1" x14ac:dyDescent="0.4">
      <c r="A29" s="3"/>
      <c r="B29" s="3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27"/>
      <c r="P29" s="3"/>
      <c r="Q29" s="3"/>
      <c r="R29" s="3"/>
      <c r="S29" s="31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7"/>
      <c r="AG29" s="3"/>
      <c r="AH29" s="3"/>
    </row>
    <row r="30" spans="1:34" ht="15.75" customHeight="1" x14ac:dyDescent="0.4">
      <c r="A30" s="3"/>
      <c r="B30" s="3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27"/>
      <c r="P30" s="3"/>
      <c r="Q30" s="3"/>
      <c r="R30" s="3"/>
      <c r="S30" s="31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7"/>
      <c r="AG30" s="3"/>
      <c r="AH30" s="3"/>
    </row>
    <row r="31" spans="1:34" ht="15.75" customHeight="1" x14ac:dyDescent="0.4">
      <c r="A31" s="3"/>
      <c r="B31" s="3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27"/>
      <c r="P31" s="3"/>
      <c r="Q31" s="3"/>
      <c r="R31" s="3"/>
      <c r="S31" s="31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7"/>
      <c r="AG31" s="3"/>
      <c r="AH31" s="3"/>
    </row>
    <row r="32" spans="1:34" ht="15.75" customHeight="1" x14ac:dyDescent="0.4">
      <c r="A32" s="3"/>
      <c r="B32" s="3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27"/>
      <c r="P32" s="3"/>
      <c r="Q32" s="3"/>
      <c r="R32" s="3"/>
      <c r="S32" s="31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7"/>
      <c r="AG32" s="3"/>
      <c r="AH32" s="3"/>
    </row>
    <row r="33" spans="1:34" ht="15.75" customHeight="1" x14ac:dyDescent="0.4">
      <c r="A33" s="3"/>
      <c r="B33" s="3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27"/>
      <c r="P33" s="3"/>
      <c r="Q33" s="3"/>
      <c r="R33" s="3"/>
      <c r="S33" s="31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7"/>
      <c r="AG33" s="3"/>
      <c r="AH33" s="3"/>
    </row>
    <row r="34" spans="1:34" ht="15.75" customHeight="1" x14ac:dyDescent="0.4">
      <c r="A34" s="3"/>
      <c r="B34" s="3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27"/>
      <c r="P34" s="3"/>
      <c r="Q34" s="3"/>
      <c r="R34" s="3"/>
      <c r="S34" s="31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7"/>
      <c r="AG34" s="3"/>
      <c r="AH34" s="3"/>
    </row>
    <row r="35" spans="1:34" s="28" customFormat="1" ht="18.75" customHeight="1" x14ac:dyDescent="0.35">
      <c r="A35" s="294" t="s">
        <v>59</v>
      </c>
      <c r="B35" s="294"/>
      <c r="C35" s="8">
        <f t="shared" ref="C35:L35" si="15">AVERAGE(C6:C34)</f>
        <v>78.769230769230774</v>
      </c>
      <c r="D35" s="8">
        <f t="shared" si="15"/>
        <v>80.615384615384613</v>
      </c>
      <c r="E35" s="8">
        <f t="shared" si="15"/>
        <v>78.07692307692308</v>
      </c>
      <c r="F35" s="8">
        <f t="shared" si="15"/>
        <v>85.538461538461533</v>
      </c>
      <c r="G35" s="8">
        <f t="shared" si="15"/>
        <v>87.384615384615387</v>
      </c>
      <c r="H35" s="8">
        <f t="shared" si="15"/>
        <v>85.92307692307692</v>
      </c>
      <c r="I35" s="8">
        <f t="shared" si="15"/>
        <v>87.384615384615387</v>
      </c>
      <c r="J35" s="8">
        <f t="shared" si="15"/>
        <v>89.307692307692307</v>
      </c>
      <c r="K35" s="8">
        <f t="shared" si="15"/>
        <v>74.92307692307692</v>
      </c>
      <c r="L35" s="8">
        <f t="shared" si="15"/>
        <v>87.461538461538467</v>
      </c>
      <c r="M35" s="148"/>
      <c r="N35" s="148"/>
      <c r="O35" s="32"/>
      <c r="R35" s="294" t="s">
        <v>59</v>
      </c>
      <c r="S35" s="294"/>
      <c r="T35" s="8">
        <f t="shared" ref="T35:AC35" si="16">AVERAGE(T6:T34)</f>
        <v>3.6538461538461537</v>
      </c>
      <c r="U35" s="8">
        <f t="shared" si="16"/>
        <v>3.6923076923076925</v>
      </c>
      <c r="V35" s="8">
        <f t="shared" si="16"/>
        <v>3.4615384615384617</v>
      </c>
      <c r="W35" s="8">
        <f t="shared" si="16"/>
        <v>3.9230769230769229</v>
      </c>
      <c r="X35" s="8">
        <f t="shared" si="16"/>
        <v>3.9615384615384617</v>
      </c>
      <c r="Y35" s="8">
        <f t="shared" si="16"/>
        <v>3.9230769230769229</v>
      </c>
      <c r="Z35" s="8">
        <f t="shared" si="16"/>
        <v>4</v>
      </c>
      <c r="AA35" s="8">
        <f t="shared" si="16"/>
        <v>4</v>
      </c>
      <c r="AB35" s="8">
        <f t="shared" si="16"/>
        <v>3.3076923076923075</v>
      </c>
      <c r="AC35" s="8">
        <f t="shared" si="16"/>
        <v>3.8846153846153846</v>
      </c>
      <c r="AD35" s="148"/>
      <c r="AE35" s="148"/>
      <c r="AF35" s="32"/>
    </row>
    <row r="36" spans="1:34" ht="18.75" customHeight="1" x14ac:dyDescent="0.4">
      <c r="A36" s="295" t="s">
        <v>56</v>
      </c>
      <c r="B36" s="295"/>
      <c r="C36" s="296">
        <f>AVERAGE(C35:L35)</f>
        <v>83.538461538461519</v>
      </c>
      <c r="D36" s="296"/>
      <c r="E36" s="296"/>
      <c r="F36" s="296"/>
      <c r="G36" s="296"/>
      <c r="H36" s="296"/>
      <c r="I36" s="296"/>
      <c r="J36" s="296"/>
      <c r="K36" s="296"/>
      <c r="L36" s="296"/>
      <c r="M36" s="149"/>
      <c r="N36" s="149"/>
      <c r="R36" s="295" t="s">
        <v>56</v>
      </c>
      <c r="S36" s="295"/>
      <c r="T36" s="296">
        <f>AVERAGE(T35:AC35)</f>
        <v>3.7807692307692315</v>
      </c>
      <c r="U36" s="296"/>
      <c r="V36" s="296"/>
      <c r="W36" s="296"/>
      <c r="X36" s="296"/>
      <c r="Y36" s="296"/>
      <c r="Z36" s="296"/>
      <c r="AA36" s="296"/>
      <c r="AB36" s="296"/>
      <c r="AC36" s="296"/>
      <c r="AD36" s="149"/>
      <c r="AE36" s="149"/>
      <c r="AF36" s="2"/>
    </row>
    <row r="37" spans="1:34" ht="27" customHeight="1" x14ac:dyDescent="0.4">
      <c r="C37" s="1"/>
      <c r="D37" s="1"/>
      <c r="E37" s="20"/>
      <c r="F37" s="20"/>
      <c r="G37" s="20"/>
      <c r="H37" s="20"/>
      <c r="I37" s="20"/>
      <c r="J37" s="20"/>
    </row>
    <row r="38" spans="1:34" x14ac:dyDescent="0.4">
      <c r="D38" s="1"/>
      <c r="E38" s="20"/>
      <c r="F38" s="20"/>
      <c r="G38" s="20"/>
      <c r="H38" s="20"/>
      <c r="J38" s="20"/>
    </row>
    <row r="39" spans="1:34" x14ac:dyDescent="0.4">
      <c r="D39" s="20"/>
      <c r="E39" s="20"/>
      <c r="F39" s="20"/>
      <c r="G39" s="20"/>
      <c r="H39" s="20"/>
      <c r="I39" s="20"/>
      <c r="J39" s="20"/>
    </row>
  </sheetData>
  <mergeCells count="20">
    <mergeCell ref="A35:B35"/>
    <mergeCell ref="A36:B36"/>
    <mergeCell ref="A2:Q2"/>
    <mergeCell ref="A3:Q3"/>
    <mergeCell ref="C36:L36"/>
    <mergeCell ref="O4:O5"/>
    <mergeCell ref="P4:P5"/>
    <mergeCell ref="Q4:Q5"/>
    <mergeCell ref="A4:A5"/>
    <mergeCell ref="B4:B5"/>
    <mergeCell ref="R35:S35"/>
    <mergeCell ref="R36:S36"/>
    <mergeCell ref="T36:AC36"/>
    <mergeCell ref="R2:AH2"/>
    <mergeCell ref="R3:AH3"/>
    <mergeCell ref="R4:R5"/>
    <mergeCell ref="S4:S5"/>
    <mergeCell ref="AF4:AF5"/>
    <mergeCell ref="AG4:AG5"/>
    <mergeCell ref="AH4:AH5"/>
  </mergeCells>
  <phoneticPr fontId="24" type="noConversion"/>
  <pageMargins left="0.76041666666666663" right="0.21875" top="5.2083333333333336E-2" bottom="5.2083333333333336E-2" header="0.3" footer="0.3"/>
  <pageSetup paperSize="9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K85"/>
  <sheetViews>
    <sheetView view="pageBreakPreview" zoomScale="120" zoomScaleNormal="130" zoomScaleSheetLayoutView="120" workbookViewId="0">
      <selection activeCell="K1" sqref="K1"/>
    </sheetView>
  </sheetViews>
  <sheetFormatPr baseColWidth="10" defaultColWidth="9.1640625" defaultRowHeight="19" customHeight="1" x14ac:dyDescent="0.35"/>
  <cols>
    <col min="1" max="1" width="3.6640625" style="67" customWidth="1"/>
    <col min="2" max="3" width="9.1640625" style="67"/>
    <col min="4" max="4" width="12.1640625" style="67" customWidth="1"/>
    <col min="5" max="5" width="10.6640625" style="67" customWidth="1"/>
    <col min="6" max="6" width="9.1640625" style="67"/>
    <col min="7" max="7" width="12.83203125" style="67" customWidth="1"/>
    <col min="8" max="9" width="9.1640625" style="67"/>
    <col min="10" max="10" width="5.1640625" style="67" customWidth="1"/>
    <col min="11" max="11" width="4.6640625" style="67" customWidth="1"/>
    <col min="12" max="256" width="9.1640625" style="67"/>
    <col min="257" max="257" width="3.6640625" style="67" customWidth="1"/>
    <col min="258" max="259" width="9.1640625" style="67"/>
    <col min="260" max="260" width="12.1640625" style="67" customWidth="1"/>
    <col min="261" max="261" width="10.6640625" style="67" customWidth="1"/>
    <col min="262" max="262" width="9.1640625" style="67"/>
    <col min="263" max="263" width="12.83203125" style="67" customWidth="1"/>
    <col min="264" max="265" width="9.1640625" style="67"/>
    <col min="266" max="266" width="5.1640625" style="67" customWidth="1"/>
    <col min="267" max="267" width="4.6640625" style="67" customWidth="1"/>
    <col min="268" max="512" width="9.1640625" style="67"/>
    <col min="513" max="513" width="3.6640625" style="67" customWidth="1"/>
    <col min="514" max="515" width="9.1640625" style="67"/>
    <col min="516" max="516" width="12.1640625" style="67" customWidth="1"/>
    <col min="517" max="517" width="10.6640625" style="67" customWidth="1"/>
    <col min="518" max="518" width="9.1640625" style="67"/>
    <col min="519" max="519" width="12.83203125" style="67" customWidth="1"/>
    <col min="520" max="521" width="9.1640625" style="67"/>
    <col min="522" max="522" width="5.1640625" style="67" customWidth="1"/>
    <col min="523" max="523" width="4.6640625" style="67" customWidth="1"/>
    <col min="524" max="768" width="9.1640625" style="67"/>
    <col min="769" max="769" width="3.6640625" style="67" customWidth="1"/>
    <col min="770" max="771" width="9.1640625" style="67"/>
    <col min="772" max="772" width="12.1640625" style="67" customWidth="1"/>
    <col min="773" max="773" width="10.6640625" style="67" customWidth="1"/>
    <col min="774" max="774" width="9.1640625" style="67"/>
    <col min="775" max="775" width="12.83203125" style="67" customWidth="1"/>
    <col min="776" max="777" width="9.1640625" style="67"/>
    <col min="778" max="778" width="5.1640625" style="67" customWidth="1"/>
    <col min="779" max="779" width="4.6640625" style="67" customWidth="1"/>
    <col min="780" max="1024" width="9.1640625" style="67"/>
    <col min="1025" max="1025" width="3.6640625" style="67" customWidth="1"/>
    <col min="1026" max="1027" width="9.1640625" style="67"/>
    <col min="1028" max="1028" width="12.1640625" style="67" customWidth="1"/>
    <col min="1029" max="1029" width="10.6640625" style="67" customWidth="1"/>
    <col min="1030" max="1030" width="9.1640625" style="67"/>
    <col min="1031" max="1031" width="12.83203125" style="67" customWidth="1"/>
    <col min="1032" max="1033" width="9.1640625" style="67"/>
    <col min="1034" max="1034" width="5.1640625" style="67" customWidth="1"/>
    <col min="1035" max="1035" width="4.6640625" style="67" customWidth="1"/>
    <col min="1036" max="1280" width="9.1640625" style="67"/>
    <col min="1281" max="1281" width="3.6640625" style="67" customWidth="1"/>
    <col min="1282" max="1283" width="9.1640625" style="67"/>
    <col min="1284" max="1284" width="12.1640625" style="67" customWidth="1"/>
    <col min="1285" max="1285" width="10.6640625" style="67" customWidth="1"/>
    <col min="1286" max="1286" width="9.1640625" style="67"/>
    <col min="1287" max="1287" width="12.83203125" style="67" customWidth="1"/>
    <col min="1288" max="1289" width="9.1640625" style="67"/>
    <col min="1290" max="1290" width="5.1640625" style="67" customWidth="1"/>
    <col min="1291" max="1291" width="4.6640625" style="67" customWidth="1"/>
    <col min="1292" max="1536" width="9.1640625" style="67"/>
    <col min="1537" max="1537" width="3.6640625" style="67" customWidth="1"/>
    <col min="1538" max="1539" width="9.1640625" style="67"/>
    <col min="1540" max="1540" width="12.1640625" style="67" customWidth="1"/>
    <col min="1541" max="1541" width="10.6640625" style="67" customWidth="1"/>
    <col min="1542" max="1542" width="9.1640625" style="67"/>
    <col min="1543" max="1543" width="12.83203125" style="67" customWidth="1"/>
    <col min="1544" max="1545" width="9.1640625" style="67"/>
    <col min="1546" max="1546" width="5.1640625" style="67" customWidth="1"/>
    <col min="1547" max="1547" width="4.6640625" style="67" customWidth="1"/>
    <col min="1548" max="1792" width="9.1640625" style="67"/>
    <col min="1793" max="1793" width="3.6640625" style="67" customWidth="1"/>
    <col min="1794" max="1795" width="9.1640625" style="67"/>
    <col min="1796" max="1796" width="12.1640625" style="67" customWidth="1"/>
    <col min="1797" max="1797" width="10.6640625" style="67" customWidth="1"/>
    <col min="1798" max="1798" width="9.1640625" style="67"/>
    <col min="1799" max="1799" width="12.83203125" style="67" customWidth="1"/>
    <col min="1800" max="1801" width="9.1640625" style="67"/>
    <col min="1802" max="1802" width="5.1640625" style="67" customWidth="1"/>
    <col min="1803" max="1803" width="4.6640625" style="67" customWidth="1"/>
    <col min="1804" max="2048" width="9.1640625" style="67"/>
    <col min="2049" max="2049" width="3.6640625" style="67" customWidth="1"/>
    <col min="2050" max="2051" width="9.1640625" style="67"/>
    <col min="2052" max="2052" width="12.1640625" style="67" customWidth="1"/>
    <col min="2053" max="2053" width="10.6640625" style="67" customWidth="1"/>
    <col min="2054" max="2054" width="9.1640625" style="67"/>
    <col min="2055" max="2055" width="12.83203125" style="67" customWidth="1"/>
    <col min="2056" max="2057" width="9.1640625" style="67"/>
    <col min="2058" max="2058" width="5.1640625" style="67" customWidth="1"/>
    <col min="2059" max="2059" width="4.6640625" style="67" customWidth="1"/>
    <col min="2060" max="2304" width="9.1640625" style="67"/>
    <col min="2305" max="2305" width="3.6640625" style="67" customWidth="1"/>
    <col min="2306" max="2307" width="9.1640625" style="67"/>
    <col min="2308" max="2308" width="12.1640625" style="67" customWidth="1"/>
    <col min="2309" max="2309" width="10.6640625" style="67" customWidth="1"/>
    <col min="2310" max="2310" width="9.1640625" style="67"/>
    <col min="2311" max="2311" width="12.83203125" style="67" customWidth="1"/>
    <col min="2312" max="2313" width="9.1640625" style="67"/>
    <col min="2314" max="2314" width="5.1640625" style="67" customWidth="1"/>
    <col min="2315" max="2315" width="4.6640625" style="67" customWidth="1"/>
    <col min="2316" max="2560" width="9.1640625" style="67"/>
    <col min="2561" max="2561" width="3.6640625" style="67" customWidth="1"/>
    <col min="2562" max="2563" width="9.1640625" style="67"/>
    <col min="2564" max="2564" width="12.1640625" style="67" customWidth="1"/>
    <col min="2565" max="2565" width="10.6640625" style="67" customWidth="1"/>
    <col min="2566" max="2566" width="9.1640625" style="67"/>
    <col min="2567" max="2567" width="12.83203125" style="67" customWidth="1"/>
    <col min="2568" max="2569" width="9.1640625" style="67"/>
    <col min="2570" max="2570" width="5.1640625" style="67" customWidth="1"/>
    <col min="2571" max="2571" width="4.6640625" style="67" customWidth="1"/>
    <col min="2572" max="2816" width="9.1640625" style="67"/>
    <col min="2817" max="2817" width="3.6640625" style="67" customWidth="1"/>
    <col min="2818" max="2819" width="9.1640625" style="67"/>
    <col min="2820" max="2820" width="12.1640625" style="67" customWidth="1"/>
    <col min="2821" max="2821" width="10.6640625" style="67" customWidth="1"/>
    <col min="2822" max="2822" width="9.1640625" style="67"/>
    <col min="2823" max="2823" width="12.83203125" style="67" customWidth="1"/>
    <col min="2824" max="2825" width="9.1640625" style="67"/>
    <col min="2826" max="2826" width="5.1640625" style="67" customWidth="1"/>
    <col min="2827" max="2827" width="4.6640625" style="67" customWidth="1"/>
    <col min="2828" max="3072" width="9.1640625" style="67"/>
    <col min="3073" max="3073" width="3.6640625" style="67" customWidth="1"/>
    <col min="3074" max="3075" width="9.1640625" style="67"/>
    <col min="3076" max="3076" width="12.1640625" style="67" customWidth="1"/>
    <col min="3077" max="3077" width="10.6640625" style="67" customWidth="1"/>
    <col min="3078" max="3078" width="9.1640625" style="67"/>
    <col min="3079" max="3079" width="12.83203125" style="67" customWidth="1"/>
    <col min="3080" max="3081" width="9.1640625" style="67"/>
    <col min="3082" max="3082" width="5.1640625" style="67" customWidth="1"/>
    <col min="3083" max="3083" width="4.6640625" style="67" customWidth="1"/>
    <col min="3084" max="3328" width="9.1640625" style="67"/>
    <col min="3329" max="3329" width="3.6640625" style="67" customWidth="1"/>
    <col min="3330" max="3331" width="9.1640625" style="67"/>
    <col min="3332" max="3332" width="12.1640625" style="67" customWidth="1"/>
    <col min="3333" max="3333" width="10.6640625" style="67" customWidth="1"/>
    <col min="3334" max="3334" width="9.1640625" style="67"/>
    <col min="3335" max="3335" width="12.83203125" style="67" customWidth="1"/>
    <col min="3336" max="3337" width="9.1640625" style="67"/>
    <col min="3338" max="3338" width="5.1640625" style="67" customWidth="1"/>
    <col min="3339" max="3339" width="4.6640625" style="67" customWidth="1"/>
    <col min="3340" max="3584" width="9.1640625" style="67"/>
    <col min="3585" max="3585" width="3.6640625" style="67" customWidth="1"/>
    <col min="3586" max="3587" width="9.1640625" style="67"/>
    <col min="3588" max="3588" width="12.1640625" style="67" customWidth="1"/>
    <col min="3589" max="3589" width="10.6640625" style="67" customWidth="1"/>
    <col min="3590" max="3590" width="9.1640625" style="67"/>
    <col min="3591" max="3591" width="12.83203125" style="67" customWidth="1"/>
    <col min="3592" max="3593" width="9.1640625" style="67"/>
    <col min="3594" max="3594" width="5.1640625" style="67" customWidth="1"/>
    <col min="3595" max="3595" width="4.6640625" style="67" customWidth="1"/>
    <col min="3596" max="3840" width="9.1640625" style="67"/>
    <col min="3841" max="3841" width="3.6640625" style="67" customWidth="1"/>
    <col min="3842" max="3843" width="9.1640625" style="67"/>
    <col min="3844" max="3844" width="12.1640625" style="67" customWidth="1"/>
    <col min="3845" max="3845" width="10.6640625" style="67" customWidth="1"/>
    <col min="3846" max="3846" width="9.1640625" style="67"/>
    <col min="3847" max="3847" width="12.83203125" style="67" customWidth="1"/>
    <col min="3848" max="3849" width="9.1640625" style="67"/>
    <col min="3850" max="3850" width="5.1640625" style="67" customWidth="1"/>
    <col min="3851" max="3851" width="4.6640625" style="67" customWidth="1"/>
    <col min="3852" max="4096" width="9.1640625" style="67"/>
    <col min="4097" max="4097" width="3.6640625" style="67" customWidth="1"/>
    <col min="4098" max="4099" width="9.1640625" style="67"/>
    <col min="4100" max="4100" width="12.1640625" style="67" customWidth="1"/>
    <col min="4101" max="4101" width="10.6640625" style="67" customWidth="1"/>
    <col min="4102" max="4102" width="9.1640625" style="67"/>
    <col min="4103" max="4103" width="12.83203125" style="67" customWidth="1"/>
    <col min="4104" max="4105" width="9.1640625" style="67"/>
    <col min="4106" max="4106" width="5.1640625" style="67" customWidth="1"/>
    <col min="4107" max="4107" width="4.6640625" style="67" customWidth="1"/>
    <col min="4108" max="4352" width="9.1640625" style="67"/>
    <col min="4353" max="4353" width="3.6640625" style="67" customWidth="1"/>
    <col min="4354" max="4355" width="9.1640625" style="67"/>
    <col min="4356" max="4356" width="12.1640625" style="67" customWidth="1"/>
    <col min="4357" max="4357" width="10.6640625" style="67" customWidth="1"/>
    <col min="4358" max="4358" width="9.1640625" style="67"/>
    <col min="4359" max="4359" width="12.83203125" style="67" customWidth="1"/>
    <col min="4360" max="4361" width="9.1640625" style="67"/>
    <col min="4362" max="4362" width="5.1640625" style="67" customWidth="1"/>
    <col min="4363" max="4363" width="4.6640625" style="67" customWidth="1"/>
    <col min="4364" max="4608" width="9.1640625" style="67"/>
    <col min="4609" max="4609" width="3.6640625" style="67" customWidth="1"/>
    <col min="4610" max="4611" width="9.1640625" style="67"/>
    <col min="4612" max="4612" width="12.1640625" style="67" customWidth="1"/>
    <col min="4613" max="4613" width="10.6640625" style="67" customWidth="1"/>
    <col min="4614" max="4614" width="9.1640625" style="67"/>
    <col min="4615" max="4615" width="12.83203125" style="67" customWidth="1"/>
    <col min="4616" max="4617" width="9.1640625" style="67"/>
    <col min="4618" max="4618" width="5.1640625" style="67" customWidth="1"/>
    <col min="4619" max="4619" width="4.6640625" style="67" customWidth="1"/>
    <col min="4620" max="4864" width="9.1640625" style="67"/>
    <col min="4865" max="4865" width="3.6640625" style="67" customWidth="1"/>
    <col min="4866" max="4867" width="9.1640625" style="67"/>
    <col min="4868" max="4868" width="12.1640625" style="67" customWidth="1"/>
    <col min="4869" max="4869" width="10.6640625" style="67" customWidth="1"/>
    <col min="4870" max="4870" width="9.1640625" style="67"/>
    <col min="4871" max="4871" width="12.83203125" style="67" customWidth="1"/>
    <col min="4872" max="4873" width="9.1640625" style="67"/>
    <col min="4874" max="4874" width="5.1640625" style="67" customWidth="1"/>
    <col min="4875" max="4875" width="4.6640625" style="67" customWidth="1"/>
    <col min="4876" max="5120" width="9.1640625" style="67"/>
    <col min="5121" max="5121" width="3.6640625" style="67" customWidth="1"/>
    <col min="5122" max="5123" width="9.1640625" style="67"/>
    <col min="5124" max="5124" width="12.1640625" style="67" customWidth="1"/>
    <col min="5125" max="5125" width="10.6640625" style="67" customWidth="1"/>
    <col min="5126" max="5126" width="9.1640625" style="67"/>
    <col min="5127" max="5127" width="12.83203125" style="67" customWidth="1"/>
    <col min="5128" max="5129" width="9.1640625" style="67"/>
    <col min="5130" max="5130" width="5.1640625" style="67" customWidth="1"/>
    <col min="5131" max="5131" width="4.6640625" style="67" customWidth="1"/>
    <col min="5132" max="5376" width="9.1640625" style="67"/>
    <col min="5377" max="5377" width="3.6640625" style="67" customWidth="1"/>
    <col min="5378" max="5379" width="9.1640625" style="67"/>
    <col min="5380" max="5380" width="12.1640625" style="67" customWidth="1"/>
    <col min="5381" max="5381" width="10.6640625" style="67" customWidth="1"/>
    <col min="5382" max="5382" width="9.1640625" style="67"/>
    <col min="5383" max="5383" width="12.83203125" style="67" customWidth="1"/>
    <col min="5384" max="5385" width="9.1640625" style="67"/>
    <col min="5386" max="5386" width="5.1640625" style="67" customWidth="1"/>
    <col min="5387" max="5387" width="4.6640625" style="67" customWidth="1"/>
    <col min="5388" max="5632" width="9.1640625" style="67"/>
    <col min="5633" max="5633" width="3.6640625" style="67" customWidth="1"/>
    <col min="5634" max="5635" width="9.1640625" style="67"/>
    <col min="5636" max="5636" width="12.1640625" style="67" customWidth="1"/>
    <col min="5637" max="5637" width="10.6640625" style="67" customWidth="1"/>
    <col min="5638" max="5638" width="9.1640625" style="67"/>
    <col min="5639" max="5639" width="12.83203125" style="67" customWidth="1"/>
    <col min="5640" max="5641" width="9.1640625" style="67"/>
    <col min="5642" max="5642" width="5.1640625" style="67" customWidth="1"/>
    <col min="5643" max="5643" width="4.6640625" style="67" customWidth="1"/>
    <col min="5644" max="5888" width="9.1640625" style="67"/>
    <col min="5889" max="5889" width="3.6640625" style="67" customWidth="1"/>
    <col min="5890" max="5891" width="9.1640625" style="67"/>
    <col min="5892" max="5892" width="12.1640625" style="67" customWidth="1"/>
    <col min="5893" max="5893" width="10.6640625" style="67" customWidth="1"/>
    <col min="5894" max="5894" width="9.1640625" style="67"/>
    <col min="5895" max="5895" width="12.83203125" style="67" customWidth="1"/>
    <col min="5896" max="5897" width="9.1640625" style="67"/>
    <col min="5898" max="5898" width="5.1640625" style="67" customWidth="1"/>
    <col min="5899" max="5899" width="4.6640625" style="67" customWidth="1"/>
    <col min="5900" max="6144" width="9.1640625" style="67"/>
    <col min="6145" max="6145" width="3.6640625" style="67" customWidth="1"/>
    <col min="6146" max="6147" width="9.1640625" style="67"/>
    <col min="6148" max="6148" width="12.1640625" style="67" customWidth="1"/>
    <col min="6149" max="6149" width="10.6640625" style="67" customWidth="1"/>
    <col min="6150" max="6150" width="9.1640625" style="67"/>
    <col min="6151" max="6151" width="12.83203125" style="67" customWidth="1"/>
    <col min="6152" max="6153" width="9.1640625" style="67"/>
    <col min="6154" max="6154" width="5.1640625" style="67" customWidth="1"/>
    <col min="6155" max="6155" width="4.6640625" style="67" customWidth="1"/>
    <col min="6156" max="6400" width="9.1640625" style="67"/>
    <col min="6401" max="6401" width="3.6640625" style="67" customWidth="1"/>
    <col min="6402" max="6403" width="9.1640625" style="67"/>
    <col min="6404" max="6404" width="12.1640625" style="67" customWidth="1"/>
    <col min="6405" max="6405" width="10.6640625" style="67" customWidth="1"/>
    <col min="6406" max="6406" width="9.1640625" style="67"/>
    <col min="6407" max="6407" width="12.83203125" style="67" customWidth="1"/>
    <col min="6408" max="6409" width="9.1640625" style="67"/>
    <col min="6410" max="6410" width="5.1640625" style="67" customWidth="1"/>
    <col min="6411" max="6411" width="4.6640625" style="67" customWidth="1"/>
    <col min="6412" max="6656" width="9.1640625" style="67"/>
    <col min="6657" max="6657" width="3.6640625" style="67" customWidth="1"/>
    <col min="6658" max="6659" width="9.1640625" style="67"/>
    <col min="6660" max="6660" width="12.1640625" style="67" customWidth="1"/>
    <col min="6661" max="6661" width="10.6640625" style="67" customWidth="1"/>
    <col min="6662" max="6662" width="9.1640625" style="67"/>
    <col min="6663" max="6663" width="12.83203125" style="67" customWidth="1"/>
    <col min="6664" max="6665" width="9.1640625" style="67"/>
    <col min="6666" max="6666" width="5.1640625" style="67" customWidth="1"/>
    <col min="6667" max="6667" width="4.6640625" style="67" customWidth="1"/>
    <col min="6668" max="6912" width="9.1640625" style="67"/>
    <col min="6913" max="6913" width="3.6640625" style="67" customWidth="1"/>
    <col min="6914" max="6915" width="9.1640625" style="67"/>
    <col min="6916" max="6916" width="12.1640625" style="67" customWidth="1"/>
    <col min="6917" max="6917" width="10.6640625" style="67" customWidth="1"/>
    <col min="6918" max="6918" width="9.1640625" style="67"/>
    <col min="6919" max="6919" width="12.83203125" style="67" customWidth="1"/>
    <col min="6920" max="6921" width="9.1640625" style="67"/>
    <col min="6922" max="6922" width="5.1640625" style="67" customWidth="1"/>
    <col min="6923" max="6923" width="4.6640625" style="67" customWidth="1"/>
    <col min="6924" max="7168" width="9.1640625" style="67"/>
    <col min="7169" max="7169" width="3.6640625" style="67" customWidth="1"/>
    <col min="7170" max="7171" width="9.1640625" style="67"/>
    <col min="7172" max="7172" width="12.1640625" style="67" customWidth="1"/>
    <col min="7173" max="7173" width="10.6640625" style="67" customWidth="1"/>
    <col min="7174" max="7174" width="9.1640625" style="67"/>
    <col min="7175" max="7175" width="12.83203125" style="67" customWidth="1"/>
    <col min="7176" max="7177" width="9.1640625" style="67"/>
    <col min="7178" max="7178" width="5.1640625" style="67" customWidth="1"/>
    <col min="7179" max="7179" width="4.6640625" style="67" customWidth="1"/>
    <col min="7180" max="7424" width="9.1640625" style="67"/>
    <col min="7425" max="7425" width="3.6640625" style="67" customWidth="1"/>
    <col min="7426" max="7427" width="9.1640625" style="67"/>
    <col min="7428" max="7428" width="12.1640625" style="67" customWidth="1"/>
    <col min="7429" max="7429" width="10.6640625" style="67" customWidth="1"/>
    <col min="7430" max="7430" width="9.1640625" style="67"/>
    <col min="7431" max="7431" width="12.83203125" style="67" customWidth="1"/>
    <col min="7432" max="7433" width="9.1640625" style="67"/>
    <col min="7434" max="7434" width="5.1640625" style="67" customWidth="1"/>
    <col min="7435" max="7435" width="4.6640625" style="67" customWidth="1"/>
    <col min="7436" max="7680" width="9.1640625" style="67"/>
    <col min="7681" max="7681" width="3.6640625" style="67" customWidth="1"/>
    <col min="7682" max="7683" width="9.1640625" style="67"/>
    <col min="7684" max="7684" width="12.1640625" style="67" customWidth="1"/>
    <col min="7685" max="7685" width="10.6640625" style="67" customWidth="1"/>
    <col min="7686" max="7686" width="9.1640625" style="67"/>
    <col min="7687" max="7687" width="12.83203125" style="67" customWidth="1"/>
    <col min="7688" max="7689" width="9.1640625" style="67"/>
    <col min="7690" max="7690" width="5.1640625" style="67" customWidth="1"/>
    <col min="7691" max="7691" width="4.6640625" style="67" customWidth="1"/>
    <col min="7692" max="7936" width="9.1640625" style="67"/>
    <col min="7937" max="7937" width="3.6640625" style="67" customWidth="1"/>
    <col min="7938" max="7939" width="9.1640625" style="67"/>
    <col min="7940" max="7940" width="12.1640625" style="67" customWidth="1"/>
    <col min="7941" max="7941" width="10.6640625" style="67" customWidth="1"/>
    <col min="7942" max="7942" width="9.1640625" style="67"/>
    <col min="7943" max="7943" width="12.83203125" style="67" customWidth="1"/>
    <col min="7944" max="7945" width="9.1640625" style="67"/>
    <col min="7946" max="7946" width="5.1640625" style="67" customWidth="1"/>
    <col min="7947" max="7947" width="4.6640625" style="67" customWidth="1"/>
    <col min="7948" max="8192" width="9.1640625" style="67"/>
    <col min="8193" max="8193" width="3.6640625" style="67" customWidth="1"/>
    <col min="8194" max="8195" width="9.1640625" style="67"/>
    <col min="8196" max="8196" width="12.1640625" style="67" customWidth="1"/>
    <col min="8197" max="8197" width="10.6640625" style="67" customWidth="1"/>
    <col min="8198" max="8198" width="9.1640625" style="67"/>
    <col min="8199" max="8199" width="12.83203125" style="67" customWidth="1"/>
    <col min="8200" max="8201" width="9.1640625" style="67"/>
    <col min="8202" max="8202" width="5.1640625" style="67" customWidth="1"/>
    <col min="8203" max="8203" width="4.6640625" style="67" customWidth="1"/>
    <col min="8204" max="8448" width="9.1640625" style="67"/>
    <col min="8449" max="8449" width="3.6640625" style="67" customWidth="1"/>
    <col min="8450" max="8451" width="9.1640625" style="67"/>
    <col min="8452" max="8452" width="12.1640625" style="67" customWidth="1"/>
    <col min="8453" max="8453" width="10.6640625" style="67" customWidth="1"/>
    <col min="8454" max="8454" width="9.1640625" style="67"/>
    <col min="8455" max="8455" width="12.83203125" style="67" customWidth="1"/>
    <col min="8456" max="8457" width="9.1640625" style="67"/>
    <col min="8458" max="8458" width="5.1640625" style="67" customWidth="1"/>
    <col min="8459" max="8459" width="4.6640625" style="67" customWidth="1"/>
    <col min="8460" max="8704" width="9.1640625" style="67"/>
    <col min="8705" max="8705" width="3.6640625" style="67" customWidth="1"/>
    <col min="8706" max="8707" width="9.1640625" style="67"/>
    <col min="8708" max="8708" width="12.1640625" style="67" customWidth="1"/>
    <col min="8709" max="8709" width="10.6640625" style="67" customWidth="1"/>
    <col min="8710" max="8710" width="9.1640625" style="67"/>
    <col min="8711" max="8711" width="12.83203125" style="67" customWidth="1"/>
    <col min="8712" max="8713" width="9.1640625" style="67"/>
    <col min="8714" max="8714" width="5.1640625" style="67" customWidth="1"/>
    <col min="8715" max="8715" width="4.6640625" style="67" customWidth="1"/>
    <col min="8716" max="8960" width="9.1640625" style="67"/>
    <col min="8961" max="8961" width="3.6640625" style="67" customWidth="1"/>
    <col min="8962" max="8963" width="9.1640625" style="67"/>
    <col min="8964" max="8964" width="12.1640625" style="67" customWidth="1"/>
    <col min="8965" max="8965" width="10.6640625" style="67" customWidth="1"/>
    <col min="8966" max="8966" width="9.1640625" style="67"/>
    <col min="8967" max="8967" width="12.83203125" style="67" customWidth="1"/>
    <col min="8968" max="8969" width="9.1640625" style="67"/>
    <col min="8970" max="8970" width="5.1640625" style="67" customWidth="1"/>
    <col min="8971" max="8971" width="4.6640625" style="67" customWidth="1"/>
    <col min="8972" max="9216" width="9.1640625" style="67"/>
    <col min="9217" max="9217" width="3.6640625" style="67" customWidth="1"/>
    <col min="9218" max="9219" width="9.1640625" style="67"/>
    <col min="9220" max="9220" width="12.1640625" style="67" customWidth="1"/>
    <col min="9221" max="9221" width="10.6640625" style="67" customWidth="1"/>
    <col min="9222" max="9222" width="9.1640625" style="67"/>
    <col min="9223" max="9223" width="12.83203125" style="67" customWidth="1"/>
    <col min="9224" max="9225" width="9.1640625" style="67"/>
    <col min="9226" max="9226" width="5.1640625" style="67" customWidth="1"/>
    <col min="9227" max="9227" width="4.6640625" style="67" customWidth="1"/>
    <col min="9228" max="9472" width="9.1640625" style="67"/>
    <col min="9473" max="9473" width="3.6640625" style="67" customWidth="1"/>
    <col min="9474" max="9475" width="9.1640625" style="67"/>
    <col min="9476" max="9476" width="12.1640625" style="67" customWidth="1"/>
    <col min="9477" max="9477" width="10.6640625" style="67" customWidth="1"/>
    <col min="9478" max="9478" width="9.1640625" style="67"/>
    <col min="9479" max="9479" width="12.83203125" style="67" customWidth="1"/>
    <col min="9480" max="9481" width="9.1640625" style="67"/>
    <col min="9482" max="9482" width="5.1640625" style="67" customWidth="1"/>
    <col min="9483" max="9483" width="4.6640625" style="67" customWidth="1"/>
    <col min="9484" max="9728" width="9.1640625" style="67"/>
    <col min="9729" max="9729" width="3.6640625" style="67" customWidth="1"/>
    <col min="9730" max="9731" width="9.1640625" style="67"/>
    <col min="9732" max="9732" width="12.1640625" style="67" customWidth="1"/>
    <col min="9733" max="9733" width="10.6640625" style="67" customWidth="1"/>
    <col min="9734" max="9734" width="9.1640625" style="67"/>
    <col min="9735" max="9735" width="12.83203125" style="67" customWidth="1"/>
    <col min="9736" max="9737" width="9.1640625" style="67"/>
    <col min="9738" max="9738" width="5.1640625" style="67" customWidth="1"/>
    <col min="9739" max="9739" width="4.6640625" style="67" customWidth="1"/>
    <col min="9740" max="9984" width="9.1640625" style="67"/>
    <col min="9985" max="9985" width="3.6640625" style="67" customWidth="1"/>
    <col min="9986" max="9987" width="9.1640625" style="67"/>
    <col min="9988" max="9988" width="12.1640625" style="67" customWidth="1"/>
    <col min="9989" max="9989" width="10.6640625" style="67" customWidth="1"/>
    <col min="9990" max="9990" width="9.1640625" style="67"/>
    <col min="9991" max="9991" width="12.83203125" style="67" customWidth="1"/>
    <col min="9992" max="9993" width="9.1640625" style="67"/>
    <col min="9994" max="9994" width="5.1640625" style="67" customWidth="1"/>
    <col min="9995" max="9995" width="4.6640625" style="67" customWidth="1"/>
    <col min="9996" max="10240" width="9.1640625" style="67"/>
    <col min="10241" max="10241" width="3.6640625" style="67" customWidth="1"/>
    <col min="10242" max="10243" width="9.1640625" style="67"/>
    <col min="10244" max="10244" width="12.1640625" style="67" customWidth="1"/>
    <col min="10245" max="10245" width="10.6640625" style="67" customWidth="1"/>
    <col min="10246" max="10246" width="9.1640625" style="67"/>
    <col min="10247" max="10247" width="12.83203125" style="67" customWidth="1"/>
    <col min="10248" max="10249" width="9.1640625" style="67"/>
    <col min="10250" max="10250" width="5.1640625" style="67" customWidth="1"/>
    <col min="10251" max="10251" width="4.6640625" style="67" customWidth="1"/>
    <col min="10252" max="10496" width="9.1640625" style="67"/>
    <col min="10497" max="10497" width="3.6640625" style="67" customWidth="1"/>
    <col min="10498" max="10499" width="9.1640625" style="67"/>
    <col min="10500" max="10500" width="12.1640625" style="67" customWidth="1"/>
    <col min="10501" max="10501" width="10.6640625" style="67" customWidth="1"/>
    <col min="10502" max="10502" width="9.1640625" style="67"/>
    <col min="10503" max="10503" width="12.83203125" style="67" customWidth="1"/>
    <col min="10504" max="10505" width="9.1640625" style="67"/>
    <col min="10506" max="10506" width="5.1640625" style="67" customWidth="1"/>
    <col min="10507" max="10507" width="4.6640625" style="67" customWidth="1"/>
    <col min="10508" max="10752" width="9.1640625" style="67"/>
    <col min="10753" max="10753" width="3.6640625" style="67" customWidth="1"/>
    <col min="10754" max="10755" width="9.1640625" style="67"/>
    <col min="10756" max="10756" width="12.1640625" style="67" customWidth="1"/>
    <col min="10757" max="10757" width="10.6640625" style="67" customWidth="1"/>
    <col min="10758" max="10758" width="9.1640625" style="67"/>
    <col min="10759" max="10759" width="12.83203125" style="67" customWidth="1"/>
    <col min="10760" max="10761" width="9.1640625" style="67"/>
    <col min="10762" max="10762" width="5.1640625" style="67" customWidth="1"/>
    <col min="10763" max="10763" width="4.6640625" style="67" customWidth="1"/>
    <col min="10764" max="11008" width="9.1640625" style="67"/>
    <col min="11009" max="11009" width="3.6640625" style="67" customWidth="1"/>
    <col min="11010" max="11011" width="9.1640625" style="67"/>
    <col min="11012" max="11012" width="12.1640625" style="67" customWidth="1"/>
    <col min="11013" max="11013" width="10.6640625" style="67" customWidth="1"/>
    <col min="11014" max="11014" width="9.1640625" style="67"/>
    <col min="11015" max="11015" width="12.83203125" style="67" customWidth="1"/>
    <col min="11016" max="11017" width="9.1640625" style="67"/>
    <col min="11018" max="11018" width="5.1640625" style="67" customWidth="1"/>
    <col min="11019" max="11019" width="4.6640625" style="67" customWidth="1"/>
    <col min="11020" max="11264" width="9.1640625" style="67"/>
    <col min="11265" max="11265" width="3.6640625" style="67" customWidth="1"/>
    <col min="11266" max="11267" width="9.1640625" style="67"/>
    <col min="11268" max="11268" width="12.1640625" style="67" customWidth="1"/>
    <col min="11269" max="11269" width="10.6640625" style="67" customWidth="1"/>
    <col min="11270" max="11270" width="9.1640625" style="67"/>
    <col min="11271" max="11271" width="12.83203125" style="67" customWidth="1"/>
    <col min="11272" max="11273" width="9.1640625" style="67"/>
    <col min="11274" max="11274" width="5.1640625" style="67" customWidth="1"/>
    <col min="11275" max="11275" width="4.6640625" style="67" customWidth="1"/>
    <col min="11276" max="11520" width="9.1640625" style="67"/>
    <col min="11521" max="11521" width="3.6640625" style="67" customWidth="1"/>
    <col min="11522" max="11523" width="9.1640625" style="67"/>
    <col min="11524" max="11524" width="12.1640625" style="67" customWidth="1"/>
    <col min="11525" max="11525" width="10.6640625" style="67" customWidth="1"/>
    <col min="11526" max="11526" width="9.1640625" style="67"/>
    <col min="11527" max="11527" width="12.83203125" style="67" customWidth="1"/>
    <col min="11528" max="11529" width="9.1640625" style="67"/>
    <col min="11530" max="11530" width="5.1640625" style="67" customWidth="1"/>
    <col min="11531" max="11531" width="4.6640625" style="67" customWidth="1"/>
    <col min="11532" max="11776" width="9.1640625" style="67"/>
    <col min="11777" max="11777" width="3.6640625" style="67" customWidth="1"/>
    <col min="11778" max="11779" width="9.1640625" style="67"/>
    <col min="11780" max="11780" width="12.1640625" style="67" customWidth="1"/>
    <col min="11781" max="11781" width="10.6640625" style="67" customWidth="1"/>
    <col min="11782" max="11782" width="9.1640625" style="67"/>
    <col min="11783" max="11783" width="12.83203125" style="67" customWidth="1"/>
    <col min="11784" max="11785" width="9.1640625" style="67"/>
    <col min="11786" max="11786" width="5.1640625" style="67" customWidth="1"/>
    <col min="11787" max="11787" width="4.6640625" style="67" customWidth="1"/>
    <col min="11788" max="12032" width="9.1640625" style="67"/>
    <col min="12033" max="12033" width="3.6640625" style="67" customWidth="1"/>
    <col min="12034" max="12035" width="9.1640625" style="67"/>
    <col min="12036" max="12036" width="12.1640625" style="67" customWidth="1"/>
    <col min="12037" max="12037" width="10.6640625" style="67" customWidth="1"/>
    <col min="12038" max="12038" width="9.1640625" style="67"/>
    <col min="12039" max="12039" width="12.83203125" style="67" customWidth="1"/>
    <col min="12040" max="12041" width="9.1640625" style="67"/>
    <col min="12042" max="12042" width="5.1640625" style="67" customWidth="1"/>
    <col min="12043" max="12043" width="4.6640625" style="67" customWidth="1"/>
    <col min="12044" max="12288" width="9.1640625" style="67"/>
    <col min="12289" max="12289" width="3.6640625" style="67" customWidth="1"/>
    <col min="12290" max="12291" width="9.1640625" style="67"/>
    <col min="12292" max="12292" width="12.1640625" style="67" customWidth="1"/>
    <col min="12293" max="12293" width="10.6640625" style="67" customWidth="1"/>
    <col min="12294" max="12294" width="9.1640625" style="67"/>
    <col min="12295" max="12295" width="12.83203125" style="67" customWidth="1"/>
    <col min="12296" max="12297" width="9.1640625" style="67"/>
    <col min="12298" max="12298" width="5.1640625" style="67" customWidth="1"/>
    <col min="12299" max="12299" width="4.6640625" style="67" customWidth="1"/>
    <col min="12300" max="12544" width="9.1640625" style="67"/>
    <col min="12545" max="12545" width="3.6640625" style="67" customWidth="1"/>
    <col min="12546" max="12547" width="9.1640625" style="67"/>
    <col min="12548" max="12548" width="12.1640625" style="67" customWidth="1"/>
    <col min="12549" max="12549" width="10.6640625" style="67" customWidth="1"/>
    <col min="12550" max="12550" width="9.1640625" style="67"/>
    <col min="12551" max="12551" width="12.83203125" style="67" customWidth="1"/>
    <col min="12552" max="12553" width="9.1640625" style="67"/>
    <col min="12554" max="12554" width="5.1640625" style="67" customWidth="1"/>
    <col min="12555" max="12555" width="4.6640625" style="67" customWidth="1"/>
    <col min="12556" max="12800" width="9.1640625" style="67"/>
    <col min="12801" max="12801" width="3.6640625" style="67" customWidth="1"/>
    <col min="12802" max="12803" width="9.1640625" style="67"/>
    <col min="12804" max="12804" width="12.1640625" style="67" customWidth="1"/>
    <col min="12805" max="12805" width="10.6640625" style="67" customWidth="1"/>
    <col min="12806" max="12806" width="9.1640625" style="67"/>
    <col min="12807" max="12807" width="12.83203125" style="67" customWidth="1"/>
    <col min="12808" max="12809" width="9.1640625" style="67"/>
    <col min="12810" max="12810" width="5.1640625" style="67" customWidth="1"/>
    <col min="12811" max="12811" width="4.6640625" style="67" customWidth="1"/>
    <col min="12812" max="13056" width="9.1640625" style="67"/>
    <col min="13057" max="13057" width="3.6640625" style="67" customWidth="1"/>
    <col min="13058" max="13059" width="9.1640625" style="67"/>
    <col min="13060" max="13060" width="12.1640625" style="67" customWidth="1"/>
    <col min="13061" max="13061" width="10.6640625" style="67" customWidth="1"/>
    <col min="13062" max="13062" width="9.1640625" style="67"/>
    <col min="13063" max="13063" width="12.83203125" style="67" customWidth="1"/>
    <col min="13064" max="13065" width="9.1640625" style="67"/>
    <col min="13066" max="13066" width="5.1640625" style="67" customWidth="1"/>
    <col min="13067" max="13067" width="4.6640625" style="67" customWidth="1"/>
    <col min="13068" max="13312" width="9.1640625" style="67"/>
    <col min="13313" max="13313" width="3.6640625" style="67" customWidth="1"/>
    <col min="13314" max="13315" width="9.1640625" style="67"/>
    <col min="13316" max="13316" width="12.1640625" style="67" customWidth="1"/>
    <col min="13317" max="13317" width="10.6640625" style="67" customWidth="1"/>
    <col min="13318" max="13318" width="9.1640625" style="67"/>
    <col min="13319" max="13319" width="12.83203125" style="67" customWidth="1"/>
    <col min="13320" max="13321" width="9.1640625" style="67"/>
    <col min="13322" max="13322" width="5.1640625" style="67" customWidth="1"/>
    <col min="13323" max="13323" width="4.6640625" style="67" customWidth="1"/>
    <col min="13324" max="13568" width="9.1640625" style="67"/>
    <col min="13569" max="13569" width="3.6640625" style="67" customWidth="1"/>
    <col min="13570" max="13571" width="9.1640625" style="67"/>
    <col min="13572" max="13572" width="12.1640625" style="67" customWidth="1"/>
    <col min="13573" max="13573" width="10.6640625" style="67" customWidth="1"/>
    <col min="13574" max="13574" width="9.1640625" style="67"/>
    <col min="13575" max="13575" width="12.83203125" style="67" customWidth="1"/>
    <col min="13576" max="13577" width="9.1640625" style="67"/>
    <col min="13578" max="13578" width="5.1640625" style="67" customWidth="1"/>
    <col min="13579" max="13579" width="4.6640625" style="67" customWidth="1"/>
    <col min="13580" max="13824" width="9.1640625" style="67"/>
    <col min="13825" max="13825" width="3.6640625" style="67" customWidth="1"/>
    <col min="13826" max="13827" width="9.1640625" style="67"/>
    <col min="13828" max="13828" width="12.1640625" style="67" customWidth="1"/>
    <col min="13829" max="13829" width="10.6640625" style="67" customWidth="1"/>
    <col min="13830" max="13830" width="9.1640625" style="67"/>
    <col min="13831" max="13831" width="12.83203125" style="67" customWidth="1"/>
    <col min="13832" max="13833" width="9.1640625" style="67"/>
    <col min="13834" max="13834" width="5.1640625" style="67" customWidth="1"/>
    <col min="13835" max="13835" width="4.6640625" style="67" customWidth="1"/>
    <col min="13836" max="14080" width="9.1640625" style="67"/>
    <col min="14081" max="14081" width="3.6640625" style="67" customWidth="1"/>
    <col min="14082" max="14083" width="9.1640625" style="67"/>
    <col min="14084" max="14084" width="12.1640625" style="67" customWidth="1"/>
    <col min="14085" max="14085" width="10.6640625" style="67" customWidth="1"/>
    <col min="14086" max="14086" width="9.1640625" style="67"/>
    <col min="14087" max="14087" width="12.83203125" style="67" customWidth="1"/>
    <col min="14088" max="14089" width="9.1640625" style="67"/>
    <col min="14090" max="14090" width="5.1640625" style="67" customWidth="1"/>
    <col min="14091" max="14091" width="4.6640625" style="67" customWidth="1"/>
    <col min="14092" max="14336" width="9.1640625" style="67"/>
    <col min="14337" max="14337" width="3.6640625" style="67" customWidth="1"/>
    <col min="14338" max="14339" width="9.1640625" style="67"/>
    <col min="14340" max="14340" width="12.1640625" style="67" customWidth="1"/>
    <col min="14341" max="14341" width="10.6640625" style="67" customWidth="1"/>
    <col min="14342" max="14342" width="9.1640625" style="67"/>
    <col min="14343" max="14343" width="12.83203125" style="67" customWidth="1"/>
    <col min="14344" max="14345" width="9.1640625" style="67"/>
    <col min="14346" max="14346" width="5.1640625" style="67" customWidth="1"/>
    <col min="14347" max="14347" width="4.6640625" style="67" customWidth="1"/>
    <col min="14348" max="14592" width="9.1640625" style="67"/>
    <col min="14593" max="14593" width="3.6640625" style="67" customWidth="1"/>
    <col min="14594" max="14595" width="9.1640625" style="67"/>
    <col min="14596" max="14596" width="12.1640625" style="67" customWidth="1"/>
    <col min="14597" max="14597" width="10.6640625" style="67" customWidth="1"/>
    <col min="14598" max="14598" width="9.1640625" style="67"/>
    <col min="14599" max="14599" width="12.83203125" style="67" customWidth="1"/>
    <col min="14600" max="14601" width="9.1640625" style="67"/>
    <col min="14602" max="14602" width="5.1640625" style="67" customWidth="1"/>
    <col min="14603" max="14603" width="4.6640625" style="67" customWidth="1"/>
    <col min="14604" max="14848" width="9.1640625" style="67"/>
    <col min="14849" max="14849" width="3.6640625" style="67" customWidth="1"/>
    <col min="14850" max="14851" width="9.1640625" style="67"/>
    <col min="14852" max="14852" width="12.1640625" style="67" customWidth="1"/>
    <col min="14853" max="14853" width="10.6640625" style="67" customWidth="1"/>
    <col min="14854" max="14854" width="9.1640625" style="67"/>
    <col min="14855" max="14855" width="12.83203125" style="67" customWidth="1"/>
    <col min="14856" max="14857" width="9.1640625" style="67"/>
    <col min="14858" max="14858" width="5.1640625" style="67" customWidth="1"/>
    <col min="14859" max="14859" width="4.6640625" style="67" customWidth="1"/>
    <col min="14860" max="15104" width="9.1640625" style="67"/>
    <col min="15105" max="15105" width="3.6640625" style="67" customWidth="1"/>
    <col min="15106" max="15107" width="9.1640625" style="67"/>
    <col min="15108" max="15108" width="12.1640625" style="67" customWidth="1"/>
    <col min="15109" max="15109" width="10.6640625" style="67" customWidth="1"/>
    <col min="15110" max="15110" width="9.1640625" style="67"/>
    <col min="15111" max="15111" width="12.83203125" style="67" customWidth="1"/>
    <col min="15112" max="15113" width="9.1640625" style="67"/>
    <col min="15114" max="15114" width="5.1640625" style="67" customWidth="1"/>
    <col min="15115" max="15115" width="4.6640625" style="67" customWidth="1"/>
    <col min="15116" max="15360" width="9.1640625" style="67"/>
    <col min="15361" max="15361" width="3.6640625" style="67" customWidth="1"/>
    <col min="15362" max="15363" width="9.1640625" style="67"/>
    <col min="15364" max="15364" width="12.1640625" style="67" customWidth="1"/>
    <col min="15365" max="15365" width="10.6640625" style="67" customWidth="1"/>
    <col min="15366" max="15366" width="9.1640625" style="67"/>
    <col min="15367" max="15367" width="12.83203125" style="67" customWidth="1"/>
    <col min="15368" max="15369" width="9.1640625" style="67"/>
    <col min="15370" max="15370" width="5.1640625" style="67" customWidth="1"/>
    <col min="15371" max="15371" width="4.6640625" style="67" customWidth="1"/>
    <col min="15372" max="15616" width="9.1640625" style="67"/>
    <col min="15617" max="15617" width="3.6640625" style="67" customWidth="1"/>
    <col min="15618" max="15619" width="9.1640625" style="67"/>
    <col min="15620" max="15620" width="12.1640625" style="67" customWidth="1"/>
    <col min="15621" max="15621" width="10.6640625" style="67" customWidth="1"/>
    <col min="15622" max="15622" width="9.1640625" style="67"/>
    <col min="15623" max="15623" width="12.83203125" style="67" customWidth="1"/>
    <col min="15624" max="15625" width="9.1640625" style="67"/>
    <col min="15626" max="15626" width="5.1640625" style="67" customWidth="1"/>
    <col min="15627" max="15627" width="4.6640625" style="67" customWidth="1"/>
    <col min="15628" max="15872" width="9.1640625" style="67"/>
    <col min="15873" max="15873" width="3.6640625" style="67" customWidth="1"/>
    <col min="15874" max="15875" width="9.1640625" style="67"/>
    <col min="15876" max="15876" width="12.1640625" style="67" customWidth="1"/>
    <col min="15877" max="15877" width="10.6640625" style="67" customWidth="1"/>
    <col min="15878" max="15878" width="9.1640625" style="67"/>
    <col min="15879" max="15879" width="12.83203125" style="67" customWidth="1"/>
    <col min="15880" max="15881" width="9.1640625" style="67"/>
    <col min="15882" max="15882" width="5.1640625" style="67" customWidth="1"/>
    <col min="15883" max="15883" width="4.6640625" style="67" customWidth="1"/>
    <col min="15884" max="16128" width="9.1640625" style="67"/>
    <col min="16129" max="16129" width="3.6640625" style="67" customWidth="1"/>
    <col min="16130" max="16131" width="9.1640625" style="67"/>
    <col min="16132" max="16132" width="12.1640625" style="67" customWidth="1"/>
    <col min="16133" max="16133" width="10.6640625" style="67" customWidth="1"/>
    <col min="16134" max="16134" width="9.1640625" style="67"/>
    <col min="16135" max="16135" width="12.83203125" style="67" customWidth="1"/>
    <col min="16136" max="16137" width="9.1640625" style="67"/>
    <col min="16138" max="16138" width="5.1640625" style="67" customWidth="1"/>
    <col min="16139" max="16139" width="4.6640625" style="67" customWidth="1"/>
    <col min="16140" max="16384" width="9.1640625" style="67"/>
  </cols>
  <sheetData>
    <row r="1" spans="1:11" ht="19" customHeight="1" x14ac:dyDescent="0.4">
      <c r="A1" s="64"/>
      <c r="B1" s="311" t="s">
        <v>175</v>
      </c>
      <c r="C1" s="311"/>
      <c r="D1" s="311"/>
      <c r="E1" s="311"/>
      <c r="F1" s="311"/>
      <c r="G1" s="311"/>
      <c r="H1" s="311"/>
      <c r="I1" s="311"/>
      <c r="J1" s="311"/>
      <c r="K1" s="66">
        <v>61</v>
      </c>
    </row>
    <row r="2" spans="1:11" s="68" customFormat="1" ht="17" customHeight="1" x14ac:dyDescent="0.35">
      <c r="A2" s="307" t="s">
        <v>86</v>
      </c>
      <c r="B2" s="307"/>
      <c r="C2" s="307"/>
      <c r="D2" s="307"/>
    </row>
    <row r="3" spans="1:11" s="68" customFormat="1" ht="17" customHeight="1" x14ac:dyDescent="0.35">
      <c r="A3" s="69">
        <v>1</v>
      </c>
      <c r="B3" s="70" t="s">
        <v>177</v>
      </c>
      <c r="C3" s="70"/>
      <c r="D3" s="70"/>
      <c r="E3" s="70"/>
      <c r="F3" s="70"/>
      <c r="G3" s="70"/>
      <c r="H3" s="70"/>
      <c r="I3" s="70"/>
      <c r="J3" s="70"/>
    </row>
    <row r="4" spans="1:11" s="68" customFormat="1" ht="17" customHeight="1" x14ac:dyDescent="0.35">
      <c r="A4" s="69">
        <v>2</v>
      </c>
      <c r="B4" s="70" t="s">
        <v>87</v>
      </c>
      <c r="C4" s="70"/>
      <c r="D4" s="70"/>
      <c r="E4" s="70"/>
      <c r="F4" s="70"/>
      <c r="G4" s="70"/>
      <c r="H4" s="70"/>
      <c r="I4" s="70"/>
      <c r="J4" s="70"/>
    </row>
    <row r="5" spans="1:11" s="68" customFormat="1" ht="17" customHeight="1" x14ac:dyDescent="0.35">
      <c r="A5" s="69"/>
      <c r="B5" s="70" t="s">
        <v>176</v>
      </c>
      <c r="C5" s="70"/>
      <c r="D5" s="70"/>
      <c r="E5" s="70"/>
      <c r="F5" s="70"/>
      <c r="G5" s="70"/>
      <c r="H5" s="70"/>
      <c r="I5" s="70"/>
      <c r="J5" s="70"/>
    </row>
    <row r="6" spans="1:11" s="68" customFormat="1" ht="17" customHeight="1" x14ac:dyDescent="0.35">
      <c r="A6" s="70"/>
      <c r="B6" s="70" t="s">
        <v>88</v>
      </c>
      <c r="C6" s="70"/>
      <c r="D6" s="70"/>
      <c r="E6" s="70"/>
      <c r="F6" s="70"/>
      <c r="G6" s="70"/>
      <c r="H6" s="70"/>
      <c r="I6" s="70"/>
      <c r="J6" s="70"/>
    </row>
    <row r="7" spans="1:11" s="68" customFormat="1" ht="17" customHeight="1" x14ac:dyDescent="0.35">
      <c r="A7" s="69"/>
      <c r="B7" s="70" t="s">
        <v>89</v>
      </c>
      <c r="C7" s="70"/>
      <c r="D7" s="70"/>
      <c r="E7" s="70"/>
      <c r="F7" s="70"/>
      <c r="G7" s="70"/>
      <c r="H7" s="70"/>
      <c r="I7" s="70"/>
      <c r="J7" s="70"/>
    </row>
    <row r="8" spans="1:11" s="68" customFormat="1" ht="17" customHeight="1" x14ac:dyDescent="0.35">
      <c r="A8" s="69"/>
      <c r="B8" s="70" t="s">
        <v>90</v>
      </c>
      <c r="C8" s="70"/>
      <c r="D8" s="70"/>
      <c r="E8" s="70"/>
      <c r="F8" s="70"/>
      <c r="G8" s="70"/>
      <c r="H8" s="70"/>
      <c r="I8" s="70"/>
      <c r="J8" s="70"/>
    </row>
    <row r="9" spans="1:11" s="68" customFormat="1" ht="17" customHeight="1" x14ac:dyDescent="0.35">
      <c r="A9" s="69"/>
      <c r="B9" s="70" t="s">
        <v>178</v>
      </c>
      <c r="C9" s="70"/>
      <c r="D9" s="70"/>
      <c r="E9" s="70"/>
      <c r="F9" s="70"/>
      <c r="G9" s="70"/>
      <c r="H9" s="70"/>
      <c r="I9" s="70"/>
      <c r="J9" s="70"/>
    </row>
    <row r="10" spans="1:11" s="68" customFormat="1" ht="17" customHeight="1" x14ac:dyDescent="0.35">
      <c r="A10" s="69"/>
      <c r="B10" s="70" t="s">
        <v>91</v>
      </c>
      <c r="C10" s="70"/>
      <c r="D10" s="70"/>
      <c r="E10" s="70"/>
      <c r="F10" s="70"/>
      <c r="G10" s="70"/>
      <c r="H10" s="70"/>
      <c r="I10" s="70"/>
      <c r="J10" s="70"/>
    </row>
    <row r="11" spans="1:11" s="68" customFormat="1" ht="17" customHeight="1" x14ac:dyDescent="0.35">
      <c r="A11" s="307" t="s">
        <v>92</v>
      </c>
      <c r="B11" s="307"/>
      <c r="C11" s="307"/>
      <c r="D11" s="307"/>
      <c r="E11" s="307"/>
      <c r="F11" s="70"/>
      <c r="G11" s="70"/>
      <c r="H11" s="70"/>
      <c r="I11" s="70"/>
      <c r="J11" s="70"/>
    </row>
    <row r="12" spans="1:11" s="68" customFormat="1" ht="17" customHeight="1" x14ac:dyDescent="0.35">
      <c r="A12" s="69">
        <v>1</v>
      </c>
      <c r="B12" s="71" t="s">
        <v>216</v>
      </c>
      <c r="C12" s="72"/>
      <c r="D12" s="72"/>
      <c r="E12" s="72"/>
      <c r="F12" s="70"/>
      <c r="G12" s="70"/>
      <c r="H12" s="70"/>
      <c r="I12" s="70"/>
      <c r="J12" s="70"/>
    </row>
    <row r="13" spans="1:11" s="68" customFormat="1" ht="17" customHeight="1" x14ac:dyDescent="0.35">
      <c r="A13" s="69">
        <v>2</v>
      </c>
      <c r="B13" s="70" t="s">
        <v>217</v>
      </c>
      <c r="C13" s="70"/>
      <c r="D13" s="70"/>
      <c r="E13" s="70"/>
      <c r="F13" s="70"/>
      <c r="G13" s="70"/>
      <c r="H13" s="70"/>
      <c r="I13" s="70"/>
      <c r="J13" s="70"/>
    </row>
    <row r="14" spans="1:11" s="68" customFormat="1" ht="17" customHeight="1" x14ac:dyDescent="0.35">
      <c r="A14" s="69"/>
      <c r="B14" s="70" t="s">
        <v>93</v>
      </c>
      <c r="C14" s="70"/>
      <c r="D14" s="70"/>
      <c r="E14" s="70"/>
      <c r="F14" s="70"/>
      <c r="G14" s="70"/>
      <c r="H14" s="70"/>
      <c r="I14" s="70"/>
      <c r="J14" s="70"/>
    </row>
    <row r="15" spans="1:11" s="68" customFormat="1" ht="17" customHeight="1" x14ac:dyDescent="0.35">
      <c r="A15" s="69">
        <v>3</v>
      </c>
      <c r="B15" s="70" t="s">
        <v>94</v>
      </c>
      <c r="C15" s="70"/>
      <c r="D15" s="70"/>
      <c r="E15" s="70"/>
      <c r="F15" s="70"/>
      <c r="G15" s="70"/>
      <c r="H15" s="70"/>
      <c r="I15" s="70"/>
      <c r="J15" s="70"/>
    </row>
    <row r="16" spans="1:11" s="68" customFormat="1" ht="17" customHeight="1" x14ac:dyDescent="0.35">
      <c r="A16" s="69"/>
      <c r="B16" s="70" t="s">
        <v>218</v>
      </c>
      <c r="C16" s="70"/>
      <c r="D16" s="70"/>
      <c r="E16" s="70"/>
      <c r="F16" s="70"/>
      <c r="G16" s="70"/>
      <c r="H16" s="70"/>
      <c r="I16" s="70"/>
      <c r="J16" s="70"/>
    </row>
    <row r="17" spans="1:10" s="68" customFormat="1" ht="17" customHeight="1" x14ac:dyDescent="0.35">
      <c r="A17" s="69"/>
      <c r="B17" s="70" t="s">
        <v>95</v>
      </c>
      <c r="C17" s="70"/>
      <c r="D17" s="70"/>
      <c r="E17" s="70"/>
      <c r="F17" s="70"/>
      <c r="G17" s="70"/>
      <c r="H17" s="70"/>
      <c r="I17" s="70"/>
      <c r="J17" s="70"/>
    </row>
    <row r="18" spans="1:10" s="68" customFormat="1" ht="17" customHeight="1" x14ac:dyDescent="0.35">
      <c r="A18" s="69"/>
      <c r="B18" s="70" t="s">
        <v>96</v>
      </c>
      <c r="C18" s="70"/>
      <c r="D18" s="70"/>
      <c r="E18" s="70"/>
      <c r="F18" s="70"/>
      <c r="G18" s="70"/>
      <c r="H18" s="70"/>
      <c r="I18" s="70"/>
      <c r="J18" s="70"/>
    </row>
    <row r="19" spans="1:10" s="68" customFormat="1" ht="17" customHeight="1" x14ac:dyDescent="0.35">
      <c r="A19" s="69"/>
      <c r="B19" s="70" t="s">
        <v>97</v>
      </c>
      <c r="C19" s="70"/>
      <c r="D19" s="70"/>
      <c r="E19" s="70"/>
      <c r="F19" s="70"/>
      <c r="G19" s="70"/>
      <c r="H19" s="70"/>
      <c r="I19" s="70"/>
      <c r="J19" s="70"/>
    </row>
    <row r="20" spans="1:10" s="68" customFormat="1" ht="17" customHeight="1" x14ac:dyDescent="0.35">
      <c r="A20" s="69"/>
      <c r="B20" s="70" t="s">
        <v>98</v>
      </c>
      <c r="C20" s="70"/>
      <c r="D20" s="70"/>
      <c r="E20" s="70"/>
      <c r="F20" s="70"/>
      <c r="G20" s="70"/>
      <c r="H20" s="70"/>
      <c r="I20" s="70"/>
      <c r="J20" s="70"/>
    </row>
    <row r="21" spans="1:10" s="68" customFormat="1" ht="17" customHeight="1" x14ac:dyDescent="0.35">
      <c r="A21" s="69">
        <v>4</v>
      </c>
      <c r="B21" s="70" t="s">
        <v>219</v>
      </c>
      <c r="C21" s="70"/>
      <c r="D21" s="70"/>
      <c r="E21" s="70"/>
      <c r="F21" s="70"/>
      <c r="G21" s="70"/>
      <c r="H21" s="70"/>
      <c r="I21" s="70"/>
      <c r="J21" s="70"/>
    </row>
    <row r="22" spans="1:10" s="68" customFormat="1" ht="17" customHeight="1" x14ac:dyDescent="0.35">
      <c r="A22" s="69">
        <v>5</v>
      </c>
      <c r="B22" s="70" t="s">
        <v>99</v>
      </c>
      <c r="C22" s="70"/>
      <c r="D22" s="70"/>
      <c r="E22" s="70"/>
      <c r="F22" s="70"/>
      <c r="G22" s="70"/>
      <c r="H22" s="70"/>
      <c r="I22" s="70"/>
      <c r="J22" s="70"/>
    </row>
    <row r="23" spans="1:10" s="68" customFormat="1" ht="17" customHeight="1" x14ac:dyDescent="0.35">
      <c r="A23" s="69"/>
      <c r="B23" s="70"/>
      <c r="C23" s="70"/>
      <c r="D23" s="308" t="s">
        <v>100</v>
      </c>
      <c r="E23" s="310"/>
      <c r="F23" s="308" t="s">
        <v>101</v>
      </c>
      <c r="G23" s="310"/>
      <c r="H23" s="70"/>
      <c r="I23" s="70"/>
      <c r="J23" s="70"/>
    </row>
    <row r="24" spans="1:10" s="68" customFormat="1" ht="17" customHeight="1" x14ac:dyDescent="0.35">
      <c r="A24" s="69"/>
      <c r="B24" s="70"/>
      <c r="C24" s="70"/>
      <c r="D24" s="308" t="s">
        <v>102</v>
      </c>
      <c r="E24" s="310"/>
      <c r="F24" s="308">
        <v>4</v>
      </c>
      <c r="G24" s="310"/>
      <c r="H24" s="70"/>
      <c r="I24" s="70"/>
      <c r="J24" s="70"/>
    </row>
    <row r="25" spans="1:10" s="68" customFormat="1" ht="17" customHeight="1" x14ac:dyDescent="0.35">
      <c r="A25" s="69"/>
      <c r="B25" s="70"/>
      <c r="C25" s="70"/>
      <c r="D25" s="308" t="s">
        <v>103</v>
      </c>
      <c r="E25" s="310"/>
      <c r="F25" s="308">
        <v>3.5</v>
      </c>
      <c r="G25" s="310"/>
      <c r="H25" s="70"/>
      <c r="I25" s="70"/>
      <c r="J25" s="70"/>
    </row>
    <row r="26" spans="1:10" s="68" customFormat="1" ht="17" customHeight="1" x14ac:dyDescent="0.35">
      <c r="A26" s="69"/>
      <c r="B26" s="70"/>
      <c r="C26" s="70"/>
      <c r="D26" s="308" t="s">
        <v>104</v>
      </c>
      <c r="E26" s="310"/>
      <c r="F26" s="308">
        <v>3</v>
      </c>
      <c r="G26" s="310"/>
      <c r="H26" s="70"/>
      <c r="I26" s="70"/>
      <c r="J26" s="70"/>
    </row>
    <row r="27" spans="1:10" s="68" customFormat="1" ht="17" customHeight="1" x14ac:dyDescent="0.35">
      <c r="A27" s="69"/>
      <c r="B27" s="70"/>
      <c r="C27" s="70"/>
      <c r="D27" s="308" t="s">
        <v>105</v>
      </c>
      <c r="E27" s="310"/>
      <c r="F27" s="308">
        <v>2.5</v>
      </c>
      <c r="G27" s="310"/>
      <c r="H27" s="70"/>
      <c r="I27" s="70"/>
      <c r="J27" s="70"/>
    </row>
    <row r="28" spans="1:10" s="68" customFormat="1" ht="17" customHeight="1" x14ac:dyDescent="0.35">
      <c r="A28" s="69"/>
      <c r="B28" s="70"/>
      <c r="C28" s="70"/>
      <c r="D28" s="308" t="s">
        <v>106</v>
      </c>
      <c r="E28" s="310"/>
      <c r="F28" s="308">
        <v>2</v>
      </c>
      <c r="G28" s="310"/>
      <c r="H28" s="70"/>
      <c r="I28" s="70"/>
      <c r="J28" s="70"/>
    </row>
    <row r="29" spans="1:10" s="68" customFormat="1" ht="17" customHeight="1" x14ac:dyDescent="0.35">
      <c r="A29" s="69"/>
      <c r="B29" s="70"/>
      <c r="C29" s="70"/>
      <c r="D29" s="308" t="s">
        <v>107</v>
      </c>
      <c r="E29" s="310"/>
      <c r="F29" s="308">
        <v>1.5</v>
      </c>
      <c r="G29" s="310"/>
      <c r="H29" s="70"/>
      <c r="I29" s="70"/>
      <c r="J29" s="70"/>
    </row>
    <row r="30" spans="1:10" s="68" customFormat="1" ht="17" customHeight="1" x14ac:dyDescent="0.35">
      <c r="A30" s="69"/>
      <c r="B30" s="70"/>
      <c r="C30" s="70"/>
      <c r="D30" s="306" t="s">
        <v>108</v>
      </c>
      <c r="E30" s="306"/>
      <c r="F30" s="306">
        <v>1</v>
      </c>
      <c r="G30" s="306"/>
      <c r="H30" s="70"/>
      <c r="I30" s="70"/>
      <c r="J30" s="70"/>
    </row>
    <row r="31" spans="1:10" s="68" customFormat="1" ht="17" customHeight="1" x14ac:dyDescent="0.35">
      <c r="A31" s="69"/>
      <c r="B31" s="70"/>
      <c r="C31" s="70"/>
      <c r="D31" s="306" t="s">
        <v>109</v>
      </c>
      <c r="E31" s="306"/>
      <c r="F31" s="306">
        <v>0</v>
      </c>
      <c r="G31" s="306"/>
      <c r="H31" s="70"/>
      <c r="I31" s="70"/>
      <c r="J31" s="70"/>
    </row>
    <row r="32" spans="1:10" s="68" customFormat="1" ht="17" customHeight="1" x14ac:dyDescent="0.35">
      <c r="A32" s="73">
        <v>6</v>
      </c>
      <c r="B32" s="74" t="s">
        <v>110</v>
      </c>
      <c r="C32" s="74"/>
      <c r="D32" s="74"/>
      <c r="E32" s="74"/>
      <c r="F32" s="74"/>
      <c r="G32" s="74"/>
      <c r="H32" s="74"/>
      <c r="I32" s="74"/>
      <c r="J32" s="70"/>
    </row>
    <row r="33" spans="1:10" s="70" customFormat="1" ht="17" customHeight="1" x14ac:dyDescent="0.3">
      <c r="A33" s="307" t="s">
        <v>111</v>
      </c>
      <c r="B33" s="307"/>
      <c r="C33" s="307"/>
      <c r="D33" s="307"/>
      <c r="E33" s="307"/>
    </row>
    <row r="34" spans="1:10" s="70" customFormat="1" ht="17" customHeight="1" x14ac:dyDescent="0.3">
      <c r="A34" s="69">
        <v>1</v>
      </c>
      <c r="B34" s="70" t="s">
        <v>112</v>
      </c>
    </row>
    <row r="35" spans="1:10" s="70" customFormat="1" ht="17" customHeight="1" x14ac:dyDescent="0.3">
      <c r="A35" s="69"/>
      <c r="B35" s="70" t="s">
        <v>220</v>
      </c>
    </row>
    <row r="36" spans="1:10" s="70" customFormat="1" ht="17" customHeight="1" x14ac:dyDescent="0.3">
      <c r="A36" s="69">
        <v>2</v>
      </c>
      <c r="B36" s="70" t="s">
        <v>221</v>
      </c>
    </row>
    <row r="37" spans="1:10" s="70" customFormat="1" ht="17" customHeight="1" x14ac:dyDescent="0.3">
      <c r="A37" s="69">
        <v>3</v>
      </c>
      <c r="B37" s="75" t="s">
        <v>113</v>
      </c>
    </row>
    <row r="38" spans="1:10" s="70" customFormat="1" ht="17" customHeight="1" x14ac:dyDescent="0.3">
      <c r="A38" s="69">
        <v>4</v>
      </c>
      <c r="B38" s="70" t="s">
        <v>114</v>
      </c>
    </row>
    <row r="39" spans="1:10" s="70" customFormat="1" ht="17" customHeight="1" x14ac:dyDescent="0.3">
      <c r="A39" s="69"/>
      <c r="B39" s="76"/>
      <c r="C39" s="77" t="s">
        <v>115</v>
      </c>
      <c r="D39" s="308" t="s">
        <v>116</v>
      </c>
      <c r="E39" s="309"/>
      <c r="F39" s="309"/>
      <c r="G39" s="309"/>
      <c r="H39" s="309"/>
      <c r="I39" s="310"/>
    </row>
    <row r="40" spans="1:10" s="70" customFormat="1" ht="17" customHeight="1" x14ac:dyDescent="0.3">
      <c r="A40" s="69"/>
      <c r="B40" s="76"/>
      <c r="C40" s="77">
        <v>3</v>
      </c>
      <c r="D40" s="305" t="s">
        <v>117</v>
      </c>
      <c r="E40" s="305"/>
      <c r="F40" s="305" t="s">
        <v>118</v>
      </c>
      <c r="G40" s="305"/>
      <c r="H40" s="305"/>
      <c r="I40" s="305"/>
    </row>
    <row r="41" spans="1:10" s="70" customFormat="1" ht="17" customHeight="1" x14ac:dyDescent="0.3">
      <c r="A41" s="69"/>
      <c r="B41" s="76"/>
      <c r="C41" s="77">
        <v>2</v>
      </c>
      <c r="D41" s="305" t="s">
        <v>119</v>
      </c>
      <c r="E41" s="305"/>
      <c r="F41" s="305" t="s">
        <v>120</v>
      </c>
      <c r="G41" s="305"/>
      <c r="H41" s="305"/>
      <c r="I41" s="305"/>
    </row>
    <row r="42" spans="1:10" s="70" customFormat="1" ht="17" customHeight="1" x14ac:dyDescent="0.3">
      <c r="A42" s="69"/>
      <c r="B42" s="76"/>
      <c r="C42" s="77">
        <v>1</v>
      </c>
      <c r="D42" s="70" t="s">
        <v>121</v>
      </c>
      <c r="F42" s="305" t="s">
        <v>122</v>
      </c>
      <c r="G42" s="305"/>
      <c r="H42" s="305"/>
      <c r="I42" s="305"/>
    </row>
    <row r="43" spans="1:10" s="70" customFormat="1" ht="16.5" customHeight="1" x14ac:dyDescent="0.3">
      <c r="A43" s="69"/>
      <c r="B43" s="76"/>
      <c r="C43" s="77">
        <v>0</v>
      </c>
      <c r="D43" s="305" t="s">
        <v>123</v>
      </c>
      <c r="E43" s="305"/>
      <c r="F43" s="305" t="s">
        <v>124</v>
      </c>
      <c r="G43" s="305"/>
      <c r="H43" s="305"/>
      <c r="I43" s="305"/>
    </row>
    <row r="44" spans="1:10" ht="21" customHeight="1" x14ac:dyDescent="0.35">
      <c r="A44" s="69">
        <v>5</v>
      </c>
      <c r="B44" s="70" t="s">
        <v>125</v>
      </c>
      <c r="C44" s="70"/>
      <c r="D44" s="70"/>
      <c r="E44" s="70"/>
      <c r="F44" s="70"/>
      <c r="G44" s="70"/>
      <c r="H44" s="70"/>
      <c r="I44" s="70"/>
      <c r="J44" s="70"/>
    </row>
    <row r="45" spans="1:10" ht="17" customHeight="1" x14ac:dyDescent="0.35">
      <c r="A45" s="69">
        <v>6</v>
      </c>
      <c r="B45" s="70" t="s">
        <v>126</v>
      </c>
      <c r="C45" s="70"/>
      <c r="D45" s="70"/>
      <c r="E45" s="70"/>
      <c r="F45" s="70"/>
      <c r="G45" s="70"/>
      <c r="H45" s="70"/>
      <c r="I45" s="70"/>
      <c r="J45" s="70"/>
    </row>
    <row r="46" spans="1:10" ht="17" customHeight="1" x14ac:dyDescent="0.35">
      <c r="A46" s="69">
        <v>7</v>
      </c>
      <c r="B46" s="70" t="s">
        <v>127</v>
      </c>
      <c r="C46" s="70"/>
      <c r="D46" s="70"/>
      <c r="E46" s="70"/>
      <c r="F46" s="70"/>
      <c r="G46" s="70"/>
      <c r="H46" s="70"/>
      <c r="I46" s="70"/>
      <c r="J46" s="70"/>
    </row>
    <row r="47" spans="1:10" ht="17" customHeight="1" x14ac:dyDescent="0.35"/>
    <row r="48" spans="1:10" ht="17" customHeight="1" x14ac:dyDescent="0.35"/>
    <row r="49" ht="17" customHeight="1" x14ac:dyDescent="0.35"/>
    <row r="50" ht="17" customHeight="1" x14ac:dyDescent="0.35"/>
    <row r="51" ht="17" customHeight="1" x14ac:dyDescent="0.35"/>
    <row r="52" ht="17" customHeight="1" x14ac:dyDescent="0.35"/>
    <row r="53" ht="17" customHeight="1" x14ac:dyDescent="0.35"/>
    <row r="54" ht="17" customHeight="1" x14ac:dyDescent="0.35"/>
    <row r="55" ht="17" customHeight="1" x14ac:dyDescent="0.35"/>
    <row r="56" ht="17" customHeight="1" x14ac:dyDescent="0.35"/>
    <row r="57" ht="17" customHeight="1" x14ac:dyDescent="0.35"/>
    <row r="58" ht="17" customHeight="1" x14ac:dyDescent="0.35"/>
    <row r="59" ht="17" customHeight="1" x14ac:dyDescent="0.35"/>
    <row r="60" ht="17" customHeight="1" x14ac:dyDescent="0.35"/>
    <row r="61" ht="17" customHeight="1" x14ac:dyDescent="0.35"/>
    <row r="62" ht="17" customHeight="1" x14ac:dyDescent="0.35"/>
    <row r="63" ht="17" customHeight="1" x14ac:dyDescent="0.35"/>
    <row r="64" ht="17" customHeight="1" x14ac:dyDescent="0.35"/>
    <row r="65" ht="17" customHeight="1" x14ac:dyDescent="0.35"/>
    <row r="66" ht="17" customHeight="1" x14ac:dyDescent="0.35"/>
    <row r="67" ht="17" customHeight="1" x14ac:dyDescent="0.35"/>
    <row r="68" ht="17" customHeight="1" x14ac:dyDescent="0.35"/>
    <row r="69" ht="17" customHeight="1" x14ac:dyDescent="0.35"/>
    <row r="70" ht="17" customHeight="1" x14ac:dyDescent="0.35"/>
    <row r="71" ht="17" customHeight="1" x14ac:dyDescent="0.35"/>
    <row r="72" ht="17" customHeight="1" x14ac:dyDescent="0.35"/>
    <row r="73" ht="17" customHeight="1" x14ac:dyDescent="0.35"/>
    <row r="74" ht="17" customHeight="1" x14ac:dyDescent="0.35"/>
    <row r="75" ht="17" customHeight="1" x14ac:dyDescent="0.35"/>
    <row r="76" ht="17" customHeight="1" x14ac:dyDescent="0.35"/>
    <row r="77" ht="17" customHeight="1" x14ac:dyDescent="0.35"/>
    <row r="78" ht="17" customHeight="1" x14ac:dyDescent="0.35"/>
    <row r="79" ht="17" customHeight="1" x14ac:dyDescent="0.35"/>
    <row r="80" ht="17" customHeight="1" x14ac:dyDescent="0.35"/>
    <row r="81" ht="17" customHeight="1" x14ac:dyDescent="0.35"/>
    <row r="82" ht="17" customHeight="1" x14ac:dyDescent="0.35"/>
    <row r="83" ht="17" customHeight="1" x14ac:dyDescent="0.35"/>
    <row r="84" ht="17" customHeight="1" x14ac:dyDescent="0.35"/>
    <row r="85" ht="17" customHeight="1" x14ac:dyDescent="0.35"/>
  </sheetData>
  <mergeCells count="30">
    <mergeCell ref="D24:E24"/>
    <mergeCell ref="F24:G24"/>
    <mergeCell ref="B1:J1"/>
    <mergeCell ref="A2:D2"/>
    <mergeCell ref="A11:E11"/>
    <mergeCell ref="D23:E23"/>
    <mergeCell ref="F23:G23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A33:E33"/>
    <mergeCell ref="D39:I39"/>
    <mergeCell ref="D40:E40"/>
    <mergeCell ref="F40:I40"/>
    <mergeCell ref="D41:E41"/>
    <mergeCell ref="F41:I41"/>
    <mergeCell ref="F42:I42"/>
    <mergeCell ref="D43:E43"/>
    <mergeCell ref="F43:I43"/>
  </mergeCells>
  <pageMargins left="0" right="0" top="0.35433070866141736" bottom="0.35433070866141736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L44"/>
  <sheetViews>
    <sheetView view="pageBreakPreview" zoomScale="130" zoomScaleNormal="100" zoomScaleSheetLayoutView="130" workbookViewId="0">
      <selection activeCell="F7" sqref="F7"/>
    </sheetView>
  </sheetViews>
  <sheetFormatPr baseColWidth="10" defaultColWidth="9.1640625" defaultRowHeight="17" customHeight="1" x14ac:dyDescent="0.3"/>
  <cols>
    <col min="1" max="1" width="3.6640625" style="70" customWidth="1"/>
    <col min="2" max="2" width="10.33203125" style="70" customWidth="1"/>
    <col min="3" max="3" width="9.1640625" style="70"/>
    <col min="4" max="4" width="12.1640625" style="70" customWidth="1"/>
    <col min="5" max="6" width="9.1640625" style="70"/>
    <col min="7" max="7" width="12.83203125" style="70" customWidth="1"/>
    <col min="8" max="9" width="9.1640625" style="70"/>
    <col min="10" max="10" width="5.1640625" style="70" customWidth="1"/>
    <col min="11" max="11" width="3.6640625" style="70" customWidth="1"/>
    <col min="12" max="16384" width="9.1640625" style="70"/>
  </cols>
  <sheetData>
    <row r="1" spans="1:12" ht="17" customHeight="1" x14ac:dyDescent="0.4">
      <c r="J1" s="119">
        <v>62</v>
      </c>
      <c r="L1" s="76"/>
    </row>
    <row r="2" spans="1:12" ht="17" customHeight="1" x14ac:dyDescent="0.3">
      <c r="A2" s="307" t="s">
        <v>173</v>
      </c>
      <c r="B2" s="307"/>
      <c r="C2" s="307"/>
      <c r="D2" s="307"/>
      <c r="E2" s="307"/>
      <c r="F2" s="307"/>
      <c r="G2" s="307"/>
    </row>
    <row r="3" spans="1:12" ht="17" customHeight="1" x14ac:dyDescent="0.3">
      <c r="A3" s="69">
        <v>1</v>
      </c>
      <c r="B3" s="70" t="s">
        <v>223</v>
      </c>
    </row>
    <row r="4" spans="1:12" ht="17" customHeight="1" x14ac:dyDescent="0.3">
      <c r="A4" s="69">
        <v>2</v>
      </c>
      <c r="B4" s="70" t="s">
        <v>172</v>
      </c>
    </row>
    <row r="5" spans="1:12" ht="17" customHeight="1" x14ac:dyDescent="0.3">
      <c r="A5" s="69"/>
      <c r="B5" s="70" t="s">
        <v>171</v>
      </c>
    </row>
    <row r="6" spans="1:12" ht="17" customHeight="1" x14ac:dyDescent="0.3">
      <c r="A6" s="69">
        <v>3</v>
      </c>
      <c r="B6" s="70" t="s">
        <v>222</v>
      </c>
    </row>
    <row r="7" spans="1:12" ht="17" customHeight="1" x14ac:dyDescent="0.3">
      <c r="A7" s="69">
        <v>4</v>
      </c>
      <c r="B7" s="70" t="s">
        <v>170</v>
      </c>
    </row>
    <row r="8" spans="1:12" ht="17" customHeight="1" x14ac:dyDescent="0.3">
      <c r="A8" s="69">
        <v>5</v>
      </c>
      <c r="B8" s="70" t="s">
        <v>114</v>
      </c>
    </row>
    <row r="9" spans="1:12" ht="17" customHeight="1" x14ac:dyDescent="0.3">
      <c r="A9" s="69"/>
      <c r="B9" s="76"/>
      <c r="C9" s="77" t="s">
        <v>115</v>
      </c>
      <c r="D9" s="308" t="s">
        <v>116</v>
      </c>
      <c r="E9" s="309"/>
      <c r="F9" s="309"/>
      <c r="G9" s="309"/>
      <c r="H9" s="309"/>
      <c r="I9" s="310"/>
    </row>
    <row r="10" spans="1:12" ht="17" customHeight="1" x14ac:dyDescent="0.3">
      <c r="A10" s="69"/>
      <c r="B10" s="76"/>
      <c r="C10" s="77">
        <v>3</v>
      </c>
      <c r="D10" s="305" t="s">
        <v>117</v>
      </c>
      <c r="E10" s="305"/>
      <c r="F10" s="305" t="s">
        <v>169</v>
      </c>
      <c r="G10" s="305"/>
      <c r="H10" s="305"/>
      <c r="I10" s="305"/>
    </row>
    <row r="11" spans="1:12" ht="17" customHeight="1" x14ac:dyDescent="0.3">
      <c r="A11" s="69"/>
      <c r="B11" s="76"/>
      <c r="C11" s="77">
        <v>2</v>
      </c>
      <c r="D11" s="305" t="s">
        <v>119</v>
      </c>
      <c r="E11" s="305"/>
      <c r="F11" s="305" t="s">
        <v>168</v>
      </c>
      <c r="G11" s="305"/>
      <c r="H11" s="305"/>
      <c r="I11" s="305"/>
    </row>
    <row r="12" spans="1:12" ht="17" customHeight="1" x14ac:dyDescent="0.3">
      <c r="A12" s="69"/>
      <c r="B12" s="76"/>
      <c r="C12" s="77">
        <v>1</v>
      </c>
      <c r="D12" s="70" t="s">
        <v>121</v>
      </c>
      <c r="F12" s="305" t="s">
        <v>167</v>
      </c>
      <c r="G12" s="305"/>
      <c r="H12" s="305"/>
      <c r="I12" s="305"/>
    </row>
    <row r="13" spans="1:12" ht="17" customHeight="1" x14ac:dyDescent="0.3">
      <c r="A13" s="69"/>
      <c r="B13" s="76"/>
      <c r="C13" s="77">
        <v>0</v>
      </c>
      <c r="D13" s="305" t="s">
        <v>123</v>
      </c>
      <c r="E13" s="305"/>
      <c r="F13" s="305" t="s">
        <v>166</v>
      </c>
      <c r="G13" s="305"/>
      <c r="H13" s="305"/>
      <c r="I13" s="305"/>
    </row>
    <row r="14" spans="1:12" ht="17" customHeight="1" x14ac:dyDescent="0.3">
      <c r="A14" s="69">
        <v>6</v>
      </c>
      <c r="B14" s="70" t="s">
        <v>165</v>
      </c>
    </row>
    <row r="15" spans="1:12" ht="17" customHeight="1" x14ac:dyDescent="0.3">
      <c r="A15" s="69">
        <v>7</v>
      </c>
      <c r="B15" s="70" t="s">
        <v>164</v>
      </c>
    </row>
    <row r="16" spans="1:12" ht="17" customHeight="1" x14ac:dyDescent="0.3">
      <c r="A16" s="69">
        <v>8</v>
      </c>
      <c r="B16" s="70" t="s">
        <v>163</v>
      </c>
    </row>
    <row r="17" spans="1:10" ht="26.25" customHeight="1" x14ac:dyDescent="0.35">
      <c r="A17" s="312" t="s">
        <v>162</v>
      </c>
      <c r="B17" s="312"/>
      <c r="C17" s="312"/>
      <c r="D17" s="312"/>
      <c r="E17" s="312"/>
      <c r="F17" s="312"/>
      <c r="G17" s="312"/>
      <c r="H17" s="312"/>
      <c r="I17" s="312"/>
      <c r="J17" s="312"/>
    </row>
    <row r="18" spans="1:10" ht="17" customHeight="1" x14ac:dyDescent="0.3">
      <c r="A18" s="69"/>
      <c r="B18" s="306" t="s">
        <v>161</v>
      </c>
      <c r="C18" s="306"/>
      <c r="D18" s="306" t="s">
        <v>160</v>
      </c>
      <c r="E18" s="306"/>
      <c r="F18" s="306"/>
      <c r="G18" s="306"/>
      <c r="H18" s="306"/>
      <c r="I18" s="306"/>
    </row>
    <row r="19" spans="1:10" ht="17" customHeight="1" x14ac:dyDescent="0.3">
      <c r="A19" s="69"/>
      <c r="B19" s="305" t="s">
        <v>159</v>
      </c>
      <c r="C19" s="305"/>
      <c r="D19" s="313" t="s">
        <v>158</v>
      </c>
      <c r="E19" s="313"/>
      <c r="F19" s="313"/>
      <c r="G19" s="313"/>
      <c r="H19" s="313"/>
      <c r="I19" s="313"/>
    </row>
    <row r="20" spans="1:10" ht="17" customHeight="1" x14ac:dyDescent="0.3">
      <c r="A20" s="69"/>
      <c r="B20" s="305"/>
      <c r="C20" s="305"/>
      <c r="D20" s="313" t="s">
        <v>157</v>
      </c>
      <c r="E20" s="313"/>
      <c r="F20" s="313"/>
      <c r="G20" s="313"/>
      <c r="H20" s="313"/>
      <c r="I20" s="313"/>
    </row>
    <row r="21" spans="1:10" ht="17" customHeight="1" x14ac:dyDescent="0.3">
      <c r="A21" s="69"/>
      <c r="B21" s="305"/>
      <c r="C21" s="305"/>
      <c r="D21" s="314" t="s">
        <v>156</v>
      </c>
      <c r="E21" s="315"/>
      <c r="F21" s="315"/>
      <c r="G21" s="315"/>
      <c r="H21" s="315"/>
      <c r="I21" s="316"/>
    </row>
    <row r="22" spans="1:10" ht="17" customHeight="1" x14ac:dyDescent="0.3">
      <c r="B22" s="305"/>
      <c r="C22" s="305"/>
      <c r="D22" s="314" t="s">
        <v>155</v>
      </c>
      <c r="E22" s="315"/>
      <c r="F22" s="315"/>
      <c r="G22" s="315"/>
      <c r="H22" s="315"/>
      <c r="I22" s="316"/>
    </row>
    <row r="23" spans="1:10" ht="17" customHeight="1" x14ac:dyDescent="0.3">
      <c r="B23" s="305" t="s">
        <v>154</v>
      </c>
      <c r="C23" s="305"/>
      <c r="D23" s="314" t="s">
        <v>153</v>
      </c>
      <c r="E23" s="315"/>
      <c r="F23" s="315"/>
      <c r="G23" s="315"/>
      <c r="H23" s="315"/>
      <c r="I23" s="316"/>
    </row>
    <row r="24" spans="1:10" ht="17" customHeight="1" x14ac:dyDescent="0.3">
      <c r="B24" s="305"/>
      <c r="C24" s="305"/>
      <c r="D24" s="314" t="s">
        <v>152</v>
      </c>
      <c r="E24" s="315"/>
      <c r="F24" s="315"/>
      <c r="G24" s="315"/>
      <c r="H24" s="315"/>
      <c r="I24" s="316"/>
    </row>
    <row r="25" spans="1:10" ht="17" customHeight="1" x14ac:dyDescent="0.3">
      <c r="B25" s="305" t="s">
        <v>151</v>
      </c>
      <c r="C25" s="305"/>
      <c r="D25" s="314" t="s">
        <v>150</v>
      </c>
      <c r="E25" s="315"/>
      <c r="F25" s="315"/>
      <c r="G25" s="315"/>
      <c r="H25" s="315"/>
      <c r="I25" s="316"/>
    </row>
    <row r="26" spans="1:10" ht="17" customHeight="1" x14ac:dyDescent="0.3">
      <c r="B26" s="305" t="s">
        <v>149</v>
      </c>
      <c r="C26" s="305"/>
      <c r="D26" s="314" t="s">
        <v>148</v>
      </c>
      <c r="E26" s="315"/>
      <c r="F26" s="315"/>
      <c r="G26" s="315"/>
      <c r="H26" s="315"/>
      <c r="I26" s="316"/>
    </row>
    <row r="27" spans="1:10" ht="17" customHeight="1" x14ac:dyDescent="0.3">
      <c r="B27" s="305"/>
      <c r="C27" s="305"/>
      <c r="D27" s="314" t="s">
        <v>147</v>
      </c>
      <c r="E27" s="315"/>
      <c r="F27" s="315"/>
      <c r="G27" s="315"/>
      <c r="H27" s="315"/>
      <c r="I27" s="316"/>
    </row>
    <row r="28" spans="1:10" ht="17" customHeight="1" x14ac:dyDescent="0.3">
      <c r="B28" s="305"/>
      <c r="C28" s="305"/>
      <c r="D28" s="314" t="s">
        <v>146</v>
      </c>
      <c r="E28" s="315"/>
      <c r="F28" s="315"/>
      <c r="G28" s="315"/>
      <c r="H28" s="315"/>
      <c r="I28" s="316"/>
    </row>
    <row r="29" spans="1:10" ht="17" customHeight="1" x14ac:dyDescent="0.3">
      <c r="B29" s="305" t="s">
        <v>145</v>
      </c>
      <c r="C29" s="305"/>
      <c r="D29" s="314" t="s">
        <v>144</v>
      </c>
      <c r="E29" s="315"/>
      <c r="F29" s="315"/>
      <c r="G29" s="315"/>
      <c r="H29" s="315"/>
      <c r="I29" s="316"/>
    </row>
    <row r="30" spans="1:10" ht="17" customHeight="1" x14ac:dyDescent="0.3">
      <c r="B30" s="305"/>
      <c r="C30" s="305"/>
      <c r="D30" s="314" t="s">
        <v>143</v>
      </c>
      <c r="E30" s="315"/>
      <c r="F30" s="315"/>
      <c r="G30" s="315"/>
      <c r="H30" s="315"/>
      <c r="I30" s="316"/>
    </row>
    <row r="31" spans="1:10" ht="17" customHeight="1" x14ac:dyDescent="0.3">
      <c r="B31" s="305" t="s">
        <v>142</v>
      </c>
      <c r="C31" s="305"/>
      <c r="D31" s="314" t="s">
        <v>141</v>
      </c>
      <c r="E31" s="315"/>
      <c r="F31" s="315"/>
      <c r="G31" s="315"/>
      <c r="H31" s="315"/>
      <c r="I31" s="316"/>
    </row>
    <row r="32" spans="1:10" ht="17" customHeight="1" x14ac:dyDescent="0.3">
      <c r="B32" s="305"/>
      <c r="C32" s="305"/>
      <c r="D32" s="314" t="s">
        <v>140</v>
      </c>
      <c r="E32" s="315"/>
      <c r="F32" s="315"/>
      <c r="G32" s="315"/>
      <c r="H32" s="315"/>
      <c r="I32" s="316"/>
    </row>
    <row r="33" spans="2:9" ht="17" customHeight="1" x14ac:dyDescent="0.3">
      <c r="B33" s="305" t="s">
        <v>139</v>
      </c>
      <c r="C33" s="305"/>
      <c r="D33" s="314" t="s">
        <v>138</v>
      </c>
      <c r="E33" s="315"/>
      <c r="F33" s="315"/>
      <c r="G33" s="315"/>
      <c r="H33" s="315"/>
      <c r="I33" s="316"/>
    </row>
    <row r="34" spans="2:9" ht="17" customHeight="1" x14ac:dyDescent="0.3">
      <c r="B34" s="305"/>
      <c r="C34" s="305"/>
      <c r="D34" s="314" t="s">
        <v>137</v>
      </c>
      <c r="E34" s="315"/>
      <c r="F34" s="315"/>
      <c r="G34" s="315"/>
      <c r="H34" s="315"/>
      <c r="I34" s="316"/>
    </row>
    <row r="35" spans="2:9" ht="17" customHeight="1" x14ac:dyDescent="0.3">
      <c r="B35" s="305"/>
      <c r="C35" s="305"/>
      <c r="D35" s="314" t="s">
        <v>136</v>
      </c>
      <c r="E35" s="315"/>
      <c r="F35" s="315"/>
      <c r="G35" s="315"/>
      <c r="H35" s="315"/>
      <c r="I35" s="316"/>
    </row>
    <row r="36" spans="2:9" ht="17" customHeight="1" x14ac:dyDescent="0.3">
      <c r="B36" s="305" t="s">
        <v>135</v>
      </c>
      <c r="C36" s="305"/>
      <c r="D36" s="314" t="s">
        <v>134</v>
      </c>
      <c r="E36" s="315"/>
      <c r="F36" s="315"/>
      <c r="G36" s="315"/>
      <c r="H36" s="315"/>
      <c r="I36" s="316"/>
    </row>
    <row r="37" spans="2:9" ht="17" customHeight="1" x14ac:dyDescent="0.3">
      <c r="B37" s="305"/>
      <c r="C37" s="305"/>
      <c r="D37" s="314" t="s">
        <v>133</v>
      </c>
      <c r="E37" s="315"/>
      <c r="F37" s="315"/>
      <c r="G37" s="315"/>
      <c r="H37" s="315"/>
      <c r="I37" s="316"/>
    </row>
    <row r="39" spans="2:9" ht="22.5" customHeight="1" x14ac:dyDescent="0.35">
      <c r="B39" s="79" t="s">
        <v>174</v>
      </c>
      <c r="C39" s="78"/>
    </row>
    <row r="40" spans="2:9" ht="17" customHeight="1" x14ac:dyDescent="0.3">
      <c r="B40" s="317" t="s">
        <v>132</v>
      </c>
      <c r="C40" s="317"/>
      <c r="D40" s="317"/>
      <c r="E40" s="317"/>
      <c r="F40" s="317"/>
      <c r="G40" s="317"/>
      <c r="H40" s="317"/>
      <c r="I40" s="317"/>
    </row>
    <row r="41" spans="2:9" ht="17" customHeight="1" x14ac:dyDescent="0.3">
      <c r="B41" s="317" t="s">
        <v>131</v>
      </c>
      <c r="C41" s="317"/>
      <c r="D41" s="317"/>
      <c r="E41" s="317"/>
      <c r="F41" s="317"/>
      <c r="G41" s="317"/>
      <c r="H41" s="317"/>
      <c r="I41" s="317"/>
    </row>
    <row r="42" spans="2:9" ht="17" customHeight="1" x14ac:dyDescent="0.3">
      <c r="B42" s="317" t="s">
        <v>130</v>
      </c>
      <c r="C42" s="317"/>
      <c r="D42" s="317"/>
      <c r="E42" s="317"/>
      <c r="F42" s="317"/>
      <c r="G42" s="317"/>
      <c r="H42" s="317"/>
      <c r="I42" s="317"/>
    </row>
    <row r="43" spans="2:9" ht="17" customHeight="1" x14ac:dyDescent="0.3">
      <c r="B43" s="317" t="s">
        <v>129</v>
      </c>
      <c r="C43" s="317"/>
      <c r="D43" s="317"/>
      <c r="E43" s="317"/>
      <c r="F43" s="317"/>
      <c r="G43" s="317"/>
      <c r="H43" s="317"/>
      <c r="I43" s="317"/>
    </row>
    <row r="44" spans="2:9" ht="17" customHeight="1" x14ac:dyDescent="0.3">
      <c r="B44" s="317" t="s">
        <v>128</v>
      </c>
      <c r="C44" s="317"/>
      <c r="D44" s="317"/>
      <c r="E44" s="317"/>
      <c r="F44" s="317"/>
      <c r="G44" s="317"/>
      <c r="H44" s="317"/>
      <c r="I44" s="317"/>
    </row>
  </sheetData>
  <mergeCells count="55">
    <mergeCell ref="B44:I44"/>
    <mergeCell ref="B37:C37"/>
    <mergeCell ref="D37:I37"/>
    <mergeCell ref="B40:I40"/>
    <mergeCell ref="B41:I41"/>
    <mergeCell ref="B42:I42"/>
    <mergeCell ref="B43:I43"/>
    <mergeCell ref="B34:C34"/>
    <mergeCell ref="D34:I34"/>
    <mergeCell ref="B35:C35"/>
    <mergeCell ref="D35:I35"/>
    <mergeCell ref="B36:C36"/>
    <mergeCell ref="D36:I36"/>
    <mergeCell ref="B31:C31"/>
    <mergeCell ref="D31:I31"/>
    <mergeCell ref="B32:C32"/>
    <mergeCell ref="D32:I32"/>
    <mergeCell ref="B33:C33"/>
    <mergeCell ref="D33:I33"/>
    <mergeCell ref="B28:C28"/>
    <mergeCell ref="D28:I28"/>
    <mergeCell ref="B29:C29"/>
    <mergeCell ref="D29:I29"/>
    <mergeCell ref="B30:C30"/>
    <mergeCell ref="D30:I30"/>
    <mergeCell ref="B25:C25"/>
    <mergeCell ref="D25:I25"/>
    <mergeCell ref="B26:C26"/>
    <mergeCell ref="D26:I26"/>
    <mergeCell ref="B27:C27"/>
    <mergeCell ref="D27:I27"/>
    <mergeCell ref="B22:C22"/>
    <mergeCell ref="D22:I22"/>
    <mergeCell ref="B23:C23"/>
    <mergeCell ref="D23:I23"/>
    <mergeCell ref="B24:C24"/>
    <mergeCell ref="D24:I24"/>
    <mergeCell ref="B19:C19"/>
    <mergeCell ref="D19:I19"/>
    <mergeCell ref="B20:C20"/>
    <mergeCell ref="D20:I20"/>
    <mergeCell ref="B21:C21"/>
    <mergeCell ref="D21:I21"/>
    <mergeCell ref="F12:I12"/>
    <mergeCell ref="D13:E13"/>
    <mergeCell ref="F13:I13"/>
    <mergeCell ref="A17:J17"/>
    <mergeCell ref="B18:C18"/>
    <mergeCell ref="D18:I18"/>
    <mergeCell ref="A2:G2"/>
    <mergeCell ref="D9:I9"/>
    <mergeCell ref="D10:E10"/>
    <mergeCell ref="F10:I10"/>
    <mergeCell ref="D11:E11"/>
    <mergeCell ref="F11:I11"/>
  </mergeCells>
  <pageMargins left="0.51181102362204722" right="0.11811023622047245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ปก</vt:lpstr>
      <vt:lpstr>ข้อมูลนร.2-3</vt:lpstr>
      <vt:lpstr>เวลาเรียน4-16</vt:lpstr>
      <vt:lpstr>ไทย17-20</vt:lpstr>
      <vt:lpstr>คณิต21-24</vt:lpstr>
      <vt:lpstr>วิทย์25-28</vt:lpstr>
      <vt:lpstr>สังคม29-32</vt:lpstr>
      <vt:lpstr>ประวัติ33-36</vt:lpstr>
      <vt:lpstr>สุขศึกษา37-40</vt:lpstr>
      <vt:lpstr>ศิลปะ41-44</vt:lpstr>
      <vt:lpstr>การงาน45-48</vt:lpstr>
      <vt:lpstr>อังกฤษ49-52</vt:lpstr>
      <vt:lpstr>ทุจริต53-56</vt:lpstr>
      <vt:lpstr>คอมฯ</vt:lpstr>
      <vt:lpstr>ดนตรี</vt:lpstr>
      <vt:lpstr>คุณลักษณะ อ่านฯ57</vt:lpstr>
      <vt:lpstr>พัฒนาผู้เรียน58</vt:lpstr>
      <vt:lpstr>เกรดรวม59-60</vt:lpstr>
      <vt:lpstr>คำอธิบายการใช้ 61</vt:lpstr>
      <vt:lpstr>คำอธิบายการใช้ 62</vt:lpstr>
      <vt:lpstr>'เวลาเรียน4-16'!Print_Titles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วรวุฒิ มุงธิสาร</cp:lastModifiedBy>
  <cp:lastPrinted>2025-03-28T03:51:17Z</cp:lastPrinted>
  <dcterms:created xsi:type="dcterms:W3CDTF">2021-04-09T12:31:09Z</dcterms:created>
  <dcterms:modified xsi:type="dcterms:W3CDTF">2026-03-27T08:04:04Z</dcterms:modified>
</cp:coreProperties>
</file>