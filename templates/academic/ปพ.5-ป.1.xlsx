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9\ปพ.5เทอม1\"/>
    </mc:Choice>
  </mc:AlternateContent>
  <xr:revisionPtr revIDLastSave="0" documentId="13_ncr:1_{DFE97FB0-CD08-4797-982A-96786D9B629B}" xr6:coauthVersionLast="47" xr6:coauthVersionMax="47" xr10:uidLastSave="{00000000-0000-0000-0000-000000000000}"/>
  <bookViews>
    <workbookView xWindow="-120" yWindow="-120" windowWidth="20730" windowHeight="11160" tabRatio="921" xr2:uid="{00000000-000D-0000-FFFF-FFFF00000000}"/>
  </bookViews>
  <sheets>
    <sheet name="ปก (1)" sheetId="1" r:id="rId1"/>
    <sheet name="เวลาเรียน (2)" sheetId="2" r:id="rId2"/>
    <sheet name="เวลาเรียน (3)" sheetId="16" r:id="rId3"/>
    <sheet name="เวลาเรียน (4)" sheetId="3" r:id="rId4"/>
    <sheet name="เวลาเรียน (5)" sheetId="19" r:id="rId5"/>
    <sheet name="เวลาเรียน (6)" sheetId="20" r:id="rId6"/>
    <sheet name="เวลาเรียน (7)" sheetId="22" r:id="rId7"/>
    <sheet name="ภาค1(8)" sheetId="4" r:id="rId8"/>
    <sheet name="ภาค2 (9)" sheetId="23" r:id="rId9"/>
    <sheet name="สรุปผลรวม (10)" sheetId="8" r:id="rId10"/>
    <sheet name="คุณลักษณะ -อ่าน -สมรรถนะ(11)" sheetId="18" r:id="rId11"/>
    <sheet name="ผลการเรียนรู้ (12)" sheetId="11" r:id="rId12"/>
    <sheet name="คำอธิบายการใช้ (13)" sheetId="13" r:id="rId13"/>
    <sheet name="คำอธิบายการใช้ (14)" sheetId="14" r:id="rId14"/>
    <sheet name="ผลการเรียน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7" l="1"/>
  <c r="F11" i="17"/>
  <c r="F12" i="17"/>
  <c r="F13" i="17"/>
  <c r="F14" i="17"/>
  <c r="F15" i="17"/>
  <c r="F16" i="17"/>
  <c r="F17" i="17"/>
  <c r="F9" i="17"/>
  <c r="N11" i="1"/>
  <c r="A1" i="17"/>
  <c r="A2" i="17"/>
  <c r="A3" i="11"/>
  <c r="K13" i="18"/>
  <c r="K12" i="18"/>
  <c r="K11" i="18"/>
  <c r="G15" i="17" s="1"/>
  <c r="K10" i="18"/>
  <c r="K9" i="18"/>
  <c r="K8" i="18"/>
  <c r="K7" i="18"/>
  <c r="C7" i="18" s="1"/>
  <c r="D7" i="18" s="1"/>
  <c r="E7" i="18" s="1"/>
  <c r="F7" i="18" s="1"/>
  <c r="G7" i="18" s="1"/>
  <c r="H7" i="18" s="1"/>
  <c r="I7" i="18" s="1"/>
  <c r="J7" i="18" s="1"/>
  <c r="K6" i="18"/>
  <c r="K5" i="18"/>
  <c r="C5" i="18" s="1"/>
  <c r="Y13" i="18"/>
  <c r="T13" i="18" s="1"/>
  <c r="U13" i="18" s="1"/>
  <c r="V13" i="18" s="1"/>
  <c r="W13" i="18" s="1"/>
  <c r="X13" i="18" s="1"/>
  <c r="R13" i="18"/>
  <c r="M13" i="18" s="1"/>
  <c r="N13" i="18" s="1"/>
  <c r="O13" i="18" s="1"/>
  <c r="P13" i="18" s="1"/>
  <c r="Q13" i="18" s="1"/>
  <c r="C13" i="18"/>
  <c r="D13" i="18" s="1"/>
  <c r="E13" i="18" s="1"/>
  <c r="F13" i="18" s="1"/>
  <c r="G13" i="18" s="1"/>
  <c r="H13" i="18" s="1"/>
  <c r="I13" i="18" s="1"/>
  <c r="J13" i="18" s="1"/>
  <c r="Y12" i="18"/>
  <c r="T12" i="18"/>
  <c r="U12" i="18" s="1"/>
  <c r="V12" i="18" s="1"/>
  <c r="W12" i="18" s="1"/>
  <c r="X12" i="18" s="1"/>
  <c r="R12" i="18"/>
  <c r="M12" i="18"/>
  <c r="N12" i="18" s="1"/>
  <c r="O12" i="18" s="1"/>
  <c r="P12" i="18" s="1"/>
  <c r="Q12" i="18" s="1"/>
  <c r="C12" i="18"/>
  <c r="D12" i="18" s="1"/>
  <c r="E12" i="18" s="1"/>
  <c r="F12" i="18" s="1"/>
  <c r="G12" i="18" s="1"/>
  <c r="H12" i="18" s="1"/>
  <c r="I12" i="18" s="1"/>
  <c r="J12" i="18" s="1"/>
  <c r="Y11" i="18"/>
  <c r="T11" i="18" s="1"/>
  <c r="U11" i="18" s="1"/>
  <c r="V11" i="18" s="1"/>
  <c r="W11" i="18" s="1"/>
  <c r="X11" i="18" s="1"/>
  <c r="R11" i="18"/>
  <c r="M11" i="18" s="1"/>
  <c r="N11" i="18" s="1"/>
  <c r="O11" i="18" s="1"/>
  <c r="P11" i="18" s="1"/>
  <c r="Q11" i="18" s="1"/>
  <c r="Y10" i="18"/>
  <c r="T10" i="18"/>
  <c r="U10" i="18" s="1"/>
  <c r="V10" i="18" s="1"/>
  <c r="W10" i="18" s="1"/>
  <c r="X10" i="18" s="1"/>
  <c r="R10" i="18"/>
  <c r="M10" i="18"/>
  <c r="N10" i="18" s="1"/>
  <c r="O10" i="18" s="1"/>
  <c r="P10" i="18" s="1"/>
  <c r="Q10" i="18" s="1"/>
  <c r="D10" i="18"/>
  <c r="E10" i="18" s="1"/>
  <c r="F10" i="18" s="1"/>
  <c r="G10" i="18" s="1"/>
  <c r="H10" i="18" s="1"/>
  <c r="I10" i="18" s="1"/>
  <c r="J10" i="18" s="1"/>
  <c r="C10" i="18"/>
  <c r="Y9" i="18"/>
  <c r="T9" i="18" s="1"/>
  <c r="U9" i="18" s="1"/>
  <c r="V9" i="18" s="1"/>
  <c r="W9" i="18" s="1"/>
  <c r="X9" i="18" s="1"/>
  <c r="R9" i="18"/>
  <c r="M9" i="18" s="1"/>
  <c r="N9" i="18" s="1"/>
  <c r="O9" i="18" s="1"/>
  <c r="P9" i="18" s="1"/>
  <c r="Q9" i="18" s="1"/>
  <c r="C9" i="18"/>
  <c r="D9" i="18" s="1"/>
  <c r="E9" i="18" s="1"/>
  <c r="F9" i="18" s="1"/>
  <c r="G9" i="18" s="1"/>
  <c r="H9" i="18" s="1"/>
  <c r="I9" i="18" s="1"/>
  <c r="J9" i="18" s="1"/>
  <c r="Y8" i="18"/>
  <c r="T8" i="18"/>
  <c r="U8" i="18" s="1"/>
  <c r="V8" i="18" s="1"/>
  <c r="W8" i="18" s="1"/>
  <c r="X8" i="18" s="1"/>
  <c r="R8" i="18"/>
  <c r="M8" i="18"/>
  <c r="N8" i="18" s="1"/>
  <c r="O8" i="18" s="1"/>
  <c r="P8" i="18" s="1"/>
  <c r="Q8" i="18" s="1"/>
  <c r="C8" i="18"/>
  <c r="D8" i="18" s="1"/>
  <c r="E8" i="18" s="1"/>
  <c r="F8" i="18" s="1"/>
  <c r="G8" i="18" s="1"/>
  <c r="H8" i="18" s="1"/>
  <c r="I8" i="18" s="1"/>
  <c r="J8" i="18" s="1"/>
  <c r="Y7" i="18"/>
  <c r="T7" i="18" s="1"/>
  <c r="U7" i="18" s="1"/>
  <c r="V7" i="18" s="1"/>
  <c r="W7" i="18" s="1"/>
  <c r="X7" i="18" s="1"/>
  <c r="R7" i="18"/>
  <c r="M7" i="18" s="1"/>
  <c r="N7" i="18" s="1"/>
  <c r="O7" i="18" s="1"/>
  <c r="P7" i="18" s="1"/>
  <c r="Q7" i="18" s="1"/>
  <c r="Y6" i="18"/>
  <c r="T6" i="18"/>
  <c r="U6" i="18" s="1"/>
  <c r="V6" i="18" s="1"/>
  <c r="W6" i="18" s="1"/>
  <c r="X6" i="18" s="1"/>
  <c r="R6" i="18"/>
  <c r="M6" i="18"/>
  <c r="N6" i="18" s="1"/>
  <c r="O6" i="18" s="1"/>
  <c r="P6" i="18" s="1"/>
  <c r="Q6" i="18" s="1"/>
  <c r="D6" i="18"/>
  <c r="E6" i="18" s="1"/>
  <c r="F6" i="18" s="1"/>
  <c r="G6" i="18" s="1"/>
  <c r="H6" i="18" s="1"/>
  <c r="I6" i="18" s="1"/>
  <c r="J6" i="18" s="1"/>
  <c r="C6" i="18"/>
  <c r="H15" i="17"/>
  <c r="V5" i="18"/>
  <c r="W5" i="18" s="1"/>
  <c r="X5" i="18" s="1"/>
  <c r="U5" i="18"/>
  <c r="T5" i="18"/>
  <c r="Y5" i="18"/>
  <c r="O5" i="18"/>
  <c r="P5" i="18" s="1"/>
  <c r="Q5" i="18" s="1"/>
  <c r="N5" i="18"/>
  <c r="I5" i="17"/>
  <c r="C15" i="17"/>
  <c r="D15" i="17"/>
  <c r="E15" i="17"/>
  <c r="C16" i="17"/>
  <c r="D16" i="17"/>
  <c r="E16" i="17"/>
  <c r="G16" i="17"/>
  <c r="H16" i="17"/>
  <c r="C17" i="17"/>
  <c r="D17" i="17"/>
  <c r="E17" i="17"/>
  <c r="H17" i="17"/>
  <c r="B11" i="18"/>
  <c r="B12" i="18"/>
  <c r="B13" i="18"/>
  <c r="B14" i="8"/>
  <c r="C14" i="8"/>
  <c r="D14" i="8"/>
  <c r="E14" i="8"/>
  <c r="F14" i="8"/>
  <c r="G14" i="8"/>
  <c r="I14" i="8"/>
  <c r="J14" i="8"/>
  <c r="K14" i="8"/>
  <c r="L14" i="8"/>
  <c r="M14" i="8"/>
  <c r="Q14" i="8"/>
  <c r="R14" i="8" s="1"/>
  <c r="B15" i="8"/>
  <c r="C15" i="8"/>
  <c r="D15" i="8"/>
  <c r="Q15" i="8" s="1"/>
  <c r="R15" i="8" s="1"/>
  <c r="E15" i="8"/>
  <c r="F15" i="8"/>
  <c r="G15" i="8"/>
  <c r="I15" i="8"/>
  <c r="J15" i="8"/>
  <c r="K15" i="8"/>
  <c r="L15" i="8"/>
  <c r="M15" i="8"/>
  <c r="B16" i="8"/>
  <c r="C16" i="8"/>
  <c r="Q16" i="8" s="1"/>
  <c r="R16" i="8" s="1"/>
  <c r="D16" i="8"/>
  <c r="E16" i="8"/>
  <c r="F16" i="8"/>
  <c r="G16" i="8"/>
  <c r="I16" i="8"/>
  <c r="J16" i="8"/>
  <c r="K16" i="8"/>
  <c r="L16" i="8"/>
  <c r="M16" i="8"/>
  <c r="F13" i="23"/>
  <c r="K13" i="23"/>
  <c r="P13" i="23"/>
  <c r="U13" i="23"/>
  <c r="Z13" i="23"/>
  <c r="F14" i="23"/>
  <c r="K14" i="23"/>
  <c r="P14" i="23"/>
  <c r="U14" i="23"/>
  <c r="Z14" i="23"/>
  <c r="F15" i="23"/>
  <c r="K15" i="23"/>
  <c r="P15" i="23"/>
  <c r="U15" i="23"/>
  <c r="Z15" i="23"/>
  <c r="B13" i="23"/>
  <c r="B14" i="23"/>
  <c r="B15" i="23"/>
  <c r="F13" i="4"/>
  <c r="K13" i="4"/>
  <c r="P13" i="4"/>
  <c r="U13" i="4"/>
  <c r="Z13" i="4"/>
  <c r="F14" i="4"/>
  <c r="K14" i="4"/>
  <c r="P14" i="4"/>
  <c r="U14" i="4"/>
  <c r="Z14" i="4"/>
  <c r="F15" i="4"/>
  <c r="K15" i="4"/>
  <c r="P15" i="4"/>
  <c r="U15" i="4"/>
  <c r="Z15" i="4"/>
  <c r="B13" i="4"/>
  <c r="B14" i="4"/>
  <c r="B15" i="4"/>
  <c r="AX12" i="22"/>
  <c r="AY12" i="22" s="1"/>
  <c r="AX13" i="22"/>
  <c r="AY13" i="22"/>
  <c r="AX14" i="22"/>
  <c r="AY14" i="22" s="1"/>
  <c r="B12" i="22"/>
  <c r="C12" i="22"/>
  <c r="B13" i="22"/>
  <c r="C13" i="22"/>
  <c r="B14" i="22"/>
  <c r="C14" i="22"/>
  <c r="B12" i="20"/>
  <c r="C12" i="20"/>
  <c r="B13" i="20"/>
  <c r="C13" i="20"/>
  <c r="B14" i="20"/>
  <c r="C14" i="20"/>
  <c r="B12" i="19"/>
  <c r="C12" i="19"/>
  <c r="B13" i="19"/>
  <c r="C13" i="19"/>
  <c r="B14" i="19"/>
  <c r="C14" i="19"/>
  <c r="AX12" i="3"/>
  <c r="AX13" i="3"/>
  <c r="AX14" i="3"/>
  <c r="AX15" i="3"/>
  <c r="B12" i="3"/>
  <c r="C12" i="3"/>
  <c r="B13" i="3"/>
  <c r="C13" i="3"/>
  <c r="B14" i="3"/>
  <c r="C14" i="3"/>
  <c r="B12" i="16"/>
  <c r="C12" i="16"/>
  <c r="B13" i="16"/>
  <c r="C13" i="16"/>
  <c r="B14" i="16"/>
  <c r="C14" i="16"/>
  <c r="C11" i="18" l="1"/>
  <c r="D11" i="18" s="1"/>
  <c r="E11" i="18" s="1"/>
  <c r="F11" i="18" s="1"/>
  <c r="G11" i="18" s="1"/>
  <c r="H11" i="18" s="1"/>
  <c r="I11" i="18" s="1"/>
  <c r="J11" i="18" s="1"/>
  <c r="I15" i="17"/>
  <c r="M13" i="8"/>
  <c r="L13" i="8"/>
  <c r="M12" i="8"/>
  <c r="L12" i="8"/>
  <c r="M11" i="8"/>
  <c r="L11" i="8"/>
  <c r="M10" i="8"/>
  <c r="L10" i="8"/>
  <c r="M9" i="8"/>
  <c r="L9" i="8"/>
  <c r="M8" i="8"/>
  <c r="L8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Z12" i="4"/>
  <c r="Z11" i="4"/>
  <c r="Z10" i="4"/>
  <c r="Z9" i="4"/>
  <c r="Z8" i="4"/>
  <c r="Z7" i="4"/>
  <c r="U12" i="4"/>
  <c r="U11" i="4"/>
  <c r="U10" i="4"/>
  <c r="U9" i="4"/>
  <c r="U8" i="4"/>
  <c r="U7" i="4"/>
  <c r="F6" i="4"/>
  <c r="AX11" i="3"/>
  <c r="AX10" i="3"/>
  <c r="AX9" i="3"/>
  <c r="AX8" i="3"/>
  <c r="AX7" i="3"/>
  <c r="AX11" i="22"/>
  <c r="AY11" i="22" s="1"/>
  <c r="AX10" i="22"/>
  <c r="AY10" i="22" s="1"/>
  <c r="AX9" i="22"/>
  <c r="AY9" i="22" s="1"/>
  <c r="AX8" i="22"/>
  <c r="AX7" i="22"/>
  <c r="AY7" i="22" s="1"/>
  <c r="AX6" i="22"/>
  <c r="AX6" i="3"/>
  <c r="AY6" i="22" s="1"/>
  <c r="Z12" i="23"/>
  <c r="Z11" i="23"/>
  <c r="Z10" i="23"/>
  <c r="Z9" i="23"/>
  <c r="Z8" i="23"/>
  <c r="Z7" i="23"/>
  <c r="U12" i="23"/>
  <c r="U11" i="23"/>
  <c r="U10" i="23"/>
  <c r="U9" i="23"/>
  <c r="U8" i="23"/>
  <c r="U7" i="23"/>
  <c r="P12" i="23"/>
  <c r="P11" i="23"/>
  <c r="P10" i="23"/>
  <c r="P9" i="23"/>
  <c r="P8" i="23"/>
  <c r="P7" i="23"/>
  <c r="K12" i="23"/>
  <c r="K11" i="23"/>
  <c r="K10" i="23"/>
  <c r="K9" i="23"/>
  <c r="K8" i="23"/>
  <c r="K7" i="23"/>
  <c r="F12" i="23"/>
  <c r="F11" i="23"/>
  <c r="F10" i="23"/>
  <c r="F9" i="23"/>
  <c r="F8" i="23"/>
  <c r="F7" i="23"/>
  <c r="P12" i="4"/>
  <c r="E13" i="8" s="1"/>
  <c r="P11" i="4"/>
  <c r="E12" i="8" s="1"/>
  <c r="P10" i="4"/>
  <c r="E11" i="8" s="1"/>
  <c r="P9" i="4"/>
  <c r="E10" i="8" s="1"/>
  <c r="P8" i="4"/>
  <c r="E9" i="8" s="1"/>
  <c r="P7" i="4"/>
  <c r="E8" i="8" s="1"/>
  <c r="K12" i="4"/>
  <c r="K11" i="4"/>
  <c r="K10" i="4"/>
  <c r="K9" i="4"/>
  <c r="K8" i="4"/>
  <c r="K7" i="4"/>
  <c r="F12" i="4"/>
  <c r="F11" i="4"/>
  <c r="F10" i="4"/>
  <c r="F9" i="4"/>
  <c r="F8" i="4"/>
  <c r="F7" i="4"/>
  <c r="I17" i="17" l="1"/>
  <c r="G17" i="17"/>
  <c r="I16" i="17"/>
  <c r="AY8" i="22"/>
  <c r="K13" i="8" l="1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D13" i="8"/>
  <c r="D12" i="8"/>
  <c r="D11" i="8"/>
  <c r="D10" i="8"/>
  <c r="D9" i="8"/>
  <c r="D8" i="8"/>
  <c r="D7" i="8"/>
  <c r="B12" i="23"/>
  <c r="B11" i="23"/>
  <c r="B10" i="23"/>
  <c r="B9" i="23"/>
  <c r="B8" i="23"/>
  <c r="B7" i="23"/>
  <c r="Z6" i="23"/>
  <c r="M7" i="8" s="1"/>
  <c r="U6" i="23"/>
  <c r="L7" i="8" s="1"/>
  <c r="Q7" i="8" s="1"/>
  <c r="P6" i="23"/>
  <c r="K7" i="8" s="1"/>
  <c r="K6" i="23"/>
  <c r="J7" i="8" s="1"/>
  <c r="F6" i="23"/>
  <c r="I7" i="8" s="1"/>
  <c r="Z6" i="4"/>
  <c r="U6" i="4"/>
  <c r="P6" i="4"/>
  <c r="E7" i="8" s="1"/>
  <c r="K6" i="4"/>
  <c r="C11" i="22"/>
  <c r="B11" i="22"/>
  <c r="C10" i="22"/>
  <c r="B10" i="22"/>
  <c r="C9" i="22"/>
  <c r="B9" i="22"/>
  <c r="C8" i="22"/>
  <c r="B8" i="22"/>
  <c r="C7" i="22"/>
  <c r="B7" i="22"/>
  <c r="C6" i="22"/>
  <c r="B6" i="22"/>
  <c r="AX4" i="22"/>
  <c r="AX5" i="22" s="1"/>
  <c r="C11" i="20"/>
  <c r="B11" i="20"/>
  <c r="C10" i="20"/>
  <c r="B10" i="20"/>
  <c r="C9" i="20"/>
  <c r="B9" i="20"/>
  <c r="C8" i="20"/>
  <c r="B8" i="20"/>
  <c r="C7" i="20"/>
  <c r="B7" i="20"/>
  <c r="C6" i="20"/>
  <c r="B6" i="20"/>
  <c r="C11" i="19"/>
  <c r="B11" i="19"/>
  <c r="C10" i="19"/>
  <c r="B10" i="19"/>
  <c r="C9" i="19"/>
  <c r="B9" i="19"/>
  <c r="C8" i="19"/>
  <c r="B8" i="19"/>
  <c r="C7" i="19"/>
  <c r="B7" i="19"/>
  <c r="C6" i="19"/>
  <c r="B6" i="19"/>
  <c r="B10" i="18" l="1"/>
  <c r="B9" i="18"/>
  <c r="B8" i="18"/>
  <c r="B7" i="18"/>
  <c r="B6" i="18"/>
  <c r="B5" i="18"/>
  <c r="C5" i="17" l="1"/>
  <c r="F5" i="17"/>
  <c r="D14" i="17" l="1"/>
  <c r="C14" i="17"/>
  <c r="D13" i="17"/>
  <c r="C13" i="17"/>
  <c r="D12" i="17"/>
  <c r="C12" i="17"/>
  <c r="D11" i="17"/>
  <c r="C11" i="17"/>
  <c r="D10" i="17"/>
  <c r="C10" i="17"/>
  <c r="D9" i="17"/>
  <c r="L9" i="17" s="1"/>
  <c r="C9" i="17"/>
  <c r="D37" i="17"/>
  <c r="K9" i="17" l="1"/>
  <c r="AX4" i="3"/>
  <c r="B8" i="16"/>
  <c r="C8" i="16"/>
  <c r="B9" i="16"/>
  <c r="C9" i="16"/>
  <c r="B10" i="16"/>
  <c r="C10" i="16"/>
  <c r="B11" i="16"/>
  <c r="C11" i="16"/>
  <c r="C7" i="16"/>
  <c r="B7" i="16"/>
  <c r="C6" i="16"/>
  <c r="B6" i="16"/>
  <c r="C10" i="8"/>
  <c r="C11" i="8"/>
  <c r="C12" i="8"/>
  <c r="C13" i="8"/>
  <c r="C9" i="8"/>
  <c r="C8" i="8"/>
  <c r="C7" i="8"/>
  <c r="C6" i="3"/>
  <c r="C7" i="3"/>
  <c r="C8" i="3"/>
  <c r="C9" i="3"/>
  <c r="C10" i="3"/>
  <c r="C11" i="3"/>
  <c r="B6" i="3"/>
  <c r="B7" i="3"/>
  <c r="B8" i="3"/>
  <c r="B9" i="3"/>
  <c r="B10" i="3"/>
  <c r="B11" i="3"/>
  <c r="B12" i="4"/>
  <c r="B11" i="4"/>
  <c r="B10" i="4"/>
  <c r="B9" i="4"/>
  <c r="B8" i="4"/>
  <c r="B7" i="4"/>
  <c r="B10" i="8"/>
  <c r="B11" i="8"/>
  <c r="B12" i="8"/>
  <c r="B13" i="8"/>
  <c r="B9" i="8"/>
  <c r="B8" i="8"/>
  <c r="M9" i="17" l="1"/>
  <c r="AX5" i="3"/>
  <c r="AY5" i="22" s="1"/>
  <c r="AY4" i="22"/>
  <c r="Q12" i="8"/>
  <c r="R12" i="8" s="1"/>
  <c r="Q11" i="8"/>
  <c r="E12" i="17" s="1"/>
  <c r="Q10" i="8"/>
  <c r="R10" i="8" s="1"/>
  <c r="Q13" i="8"/>
  <c r="R13" i="8" s="1"/>
  <c r="Q9" i="8"/>
  <c r="R9" i="8" s="1"/>
  <c r="Q8" i="8"/>
  <c r="E9" i="17" s="1"/>
  <c r="E11" i="17" l="1"/>
  <c r="E14" i="17"/>
  <c r="E13" i="17"/>
  <c r="R11" i="8"/>
  <c r="R5" i="18"/>
  <c r="E10" i="17"/>
  <c r="R8" i="8"/>
  <c r="H14" i="17" l="1"/>
  <c r="H11" i="17"/>
  <c r="H10" i="17"/>
  <c r="H12" i="17"/>
  <c r="H13" i="17"/>
  <c r="H9" i="17"/>
  <c r="M5" i="18"/>
  <c r="G18" i="1"/>
  <c r="K22" i="1"/>
  <c r="J22" i="1"/>
  <c r="I22" i="1"/>
  <c r="H22" i="1"/>
  <c r="P18" i="1"/>
  <c r="N18" i="1"/>
  <c r="F18" i="1"/>
  <c r="J18" i="1"/>
  <c r="E34" i="17"/>
  <c r="K18" i="1"/>
  <c r="E18" i="1"/>
  <c r="C18" i="1"/>
  <c r="M18" i="1"/>
  <c r="D18" i="1"/>
  <c r="H18" i="1"/>
  <c r="L18" i="1"/>
  <c r="I18" i="1"/>
  <c r="G10" i="17" l="1"/>
  <c r="I12" i="17"/>
  <c r="L34" i="17"/>
  <c r="M34" i="17" s="1"/>
  <c r="L33" i="17"/>
  <c r="M33" i="17" s="1"/>
  <c r="L35" i="17"/>
  <c r="M35" i="17" s="1"/>
  <c r="L36" i="17"/>
  <c r="M36" i="17" s="1"/>
  <c r="G14" i="17"/>
  <c r="G11" i="17"/>
  <c r="G9" i="17"/>
  <c r="D5" i="18"/>
  <c r="E5" i="18" s="1"/>
  <c r="F5" i="18" s="1"/>
  <c r="G5" i="18" s="1"/>
  <c r="H5" i="18" s="1"/>
  <c r="I5" i="18" s="1"/>
  <c r="J5" i="18" s="1"/>
  <c r="G13" i="17"/>
  <c r="L19" i="17"/>
  <c r="M19" i="17" s="1"/>
  <c r="L17" i="17"/>
  <c r="M17" i="17" s="1"/>
  <c r="L20" i="17"/>
  <c r="M20" i="17" s="1"/>
  <c r="L21" i="17"/>
  <c r="M21" i="17" s="1"/>
  <c r="L16" i="17"/>
  <c r="M16" i="17" s="1"/>
  <c r="L14" i="17"/>
  <c r="M14" i="17" s="1"/>
  <c r="G12" i="17"/>
  <c r="L15" i="17"/>
  <c r="M15" i="17" s="1"/>
  <c r="L22" i="17"/>
  <c r="M22" i="17" s="1"/>
  <c r="F34" i="17"/>
  <c r="L13" i="17"/>
  <c r="M13" i="17" s="1"/>
  <c r="L18" i="17"/>
  <c r="M18" i="17" s="1"/>
  <c r="A18" i="1"/>
  <c r="A22" i="1" s="1"/>
  <c r="L37" i="17" l="1"/>
  <c r="M37" i="17" s="1"/>
  <c r="I14" i="17"/>
  <c r="I13" i="17"/>
  <c r="L26" i="17"/>
  <c r="M26" i="17" s="1"/>
  <c r="I11" i="17"/>
  <c r="L28" i="17"/>
  <c r="M28" i="17" s="1"/>
  <c r="L29" i="17"/>
  <c r="M29" i="17" s="1"/>
  <c r="L27" i="17"/>
  <c r="M27" i="17" s="1"/>
  <c r="I9" i="17"/>
  <c r="G22" i="1"/>
  <c r="D22" i="1"/>
  <c r="E22" i="1"/>
  <c r="F22" i="1"/>
  <c r="L23" i="17"/>
  <c r="M23" i="17" s="1"/>
  <c r="O22" i="1" l="1"/>
  <c r="I10" i="17"/>
  <c r="L43" i="17" s="1"/>
  <c r="M43" i="17" s="1"/>
  <c r="L30" i="17"/>
  <c r="M30" i="17" s="1"/>
  <c r="L22" i="1"/>
  <c r="N22" i="1"/>
  <c r="M22" i="1"/>
  <c r="L40" i="17" l="1"/>
  <c r="M40" i="17" s="1"/>
  <c r="L41" i="17"/>
  <c r="M41" i="17" s="1"/>
  <c r="L42" i="17"/>
  <c r="M42" i="17" s="1"/>
  <c r="L44" i="17" l="1"/>
  <c r="M44" i="17" s="1"/>
</calcChain>
</file>

<file path=xl/sharedStrings.xml><?xml version="1.0" encoding="utf-8"?>
<sst xmlns="http://schemas.openxmlformats.org/spreadsheetml/2006/main" count="382" uniqueCount="249">
  <si>
    <t>สมุดบันทึกผลการพัฒนาคุณภาพผู้เรียนรายวิชา (ปพ.5)</t>
  </si>
  <si>
    <t>สำนักงานคณะกรรมการการศึกษาขั้นพื้นฐาน     กระทรวงศึกษาธิการ</t>
  </si>
  <si>
    <t>สรุปผลการเรียน</t>
  </si>
  <si>
    <t>จำนวนนักเรียนที่ได้ระดับผลการเรียน</t>
  </si>
  <si>
    <t xml:space="preserve">ค่าเบี่ยงเบนมาตรฐาน </t>
  </si>
  <si>
    <t>ร</t>
  </si>
  <si>
    <t>มก</t>
  </si>
  <si>
    <t>(X-bar)</t>
  </si>
  <si>
    <t>(SD)</t>
  </si>
  <si>
    <t>จำนวนนักเรียนทั้งหมด</t>
  </si>
  <si>
    <t>ผลการประเมินคุณลักษณะอันพึงประสงค์</t>
  </si>
  <si>
    <t>ผลการประเมินการอ่านคิดวิเคราะห์และเขียนสื่อความ</t>
  </si>
  <si>
    <t>อนุมัติผลการเรียน</t>
  </si>
  <si>
    <t>ลงชื่อ……………………………………..ครูผู้สอน</t>
  </si>
  <si>
    <t>ลงชื่อ……………………………………หัวหน้ากลุ่มสาระการเรียนรู้</t>
  </si>
  <si>
    <t>ลงชื่อ…………………………………...………เจ้าหน้าที่วัดผลและประเมินผล</t>
  </si>
  <si>
    <t>เรียนเสนอเพื่อพิจารณา</t>
  </si>
  <si>
    <t>ลงชื่อ……………………………………………..</t>
  </si>
  <si>
    <t>ไม่อนุมัติ</t>
  </si>
  <si>
    <t>………/…………/……….</t>
  </si>
  <si>
    <t xml:space="preserve">รายวิชา </t>
  </si>
  <si>
    <t>ครูผู้สอน</t>
  </si>
  <si>
    <t xml:space="preserve">ครูที่ปรึกษา </t>
  </si>
  <si>
    <t>เวลาเรียน</t>
  </si>
  <si>
    <t>ชั่วโมง / สัปดาห์</t>
  </si>
  <si>
    <t>จำนวนหน่วยการเรียน</t>
  </si>
  <si>
    <t>หน่วยกิต</t>
  </si>
  <si>
    <t>เลขที่</t>
  </si>
  <si>
    <t>เลขประจำตัว</t>
  </si>
  <si>
    <t>ชื่อ  - สกุล</t>
  </si>
  <si>
    <t>เดือน</t>
  </si>
  <si>
    <t>สัปดาห์ที่</t>
  </si>
  <si>
    <t>วันที่</t>
  </si>
  <si>
    <t>ชั่วโมงที่</t>
  </si>
  <si>
    <t>รวม</t>
  </si>
  <si>
    <t>ซ่อมเสริม</t>
  </si>
  <si>
    <t xml:space="preserve">แผน / ข้อที่ </t>
  </si>
  <si>
    <t>ชื่อ-สกุล            /เต็ม</t>
  </si>
  <si>
    <t>สรุปผลการประเมินคุณภาพผู้เรียน</t>
  </si>
  <si>
    <t>คะแนนรวม</t>
  </si>
  <si>
    <t>คะแนนหน่วยที่</t>
  </si>
  <si>
    <t>ผลการประเมิน</t>
  </si>
  <si>
    <t>หมายเหตุ</t>
  </si>
  <si>
    <t>หน่วยการเรียนรู้</t>
  </si>
  <si>
    <t>ระดับ</t>
  </si>
  <si>
    <t>ผล</t>
  </si>
  <si>
    <t>ชื่อ - สกุล</t>
  </si>
  <si>
    <t>การเรียน</t>
  </si>
  <si>
    <t>1. รักชาติศาสน์กษัตริย์</t>
  </si>
  <si>
    <t>2.ซื่อสัตย์สุจริต</t>
  </si>
  <si>
    <t>3. วินัย</t>
  </si>
  <si>
    <t>4.ใฝ่เรียนรู้</t>
  </si>
  <si>
    <t>5.อยู่อย่างพอเพียง</t>
  </si>
  <si>
    <t>6.มุ่งมั่นทำงาน</t>
  </si>
  <si>
    <t>7. รักความเป็นไทย</t>
  </si>
  <si>
    <t>8.มีจิตสาธารณะ</t>
  </si>
  <si>
    <t>1.  สามารถคัดสรรสื่อที่ต้องการอ่านเพื่อหาข้อมูลสารสนเทศได้ตามวัตถุประสงค์</t>
  </si>
  <si>
    <t>2.  สามารถจับประเด็นสำคัญและประเด็นสนับสนุน  โต้แย้ง</t>
  </si>
  <si>
    <t>3.  สามารถวิเคราะห์  วิจารณ์  ความสมเหตุสมผล  ความน่าเชื่อถือ  ลำดับความสำคัญและความเป็นไปได้ของเรื่อง</t>
  </si>
  <si>
    <t>4.  สามารถสรุปคุณค่า  แนวคิด  แง่คิดที่ได้จากการอ่าน</t>
  </si>
  <si>
    <t>5.  สามารถสรุป  อภิปราย  ขยายความ  แสดงความคิดเห็นโต้แย้ง  สนับสนุน  โน้มน้าว  โดยการเขียนสื่อสาร</t>
  </si>
  <si>
    <t>การบันทึกข้อมูลนักเรียน-เวลาเรียน</t>
  </si>
  <si>
    <t>ชั่วโมงที่  ให้เขียนชั่วโมงที่สอนโดยนับต่อเนื่องกันไป จนสิ้นภาคเรียน เช่น  1,2,3,...,40 หรือ  1-2,3,4-5,6,...,60</t>
  </si>
  <si>
    <t>การบันทึกเวลาเรียน  ให้บันทึกรายละเอียดดังนี้</t>
  </si>
  <si>
    <t>การบันทึกการพัฒนาคุณภาพผู้เรียน</t>
  </si>
  <si>
    <t>การบันทึกผลการประเมินคุณภาพผู้เรียนรายภาค    มีรายละเอียดดังนี้</t>
  </si>
  <si>
    <t>เปลี่ยนระดับคะแนนที่ได้เป็นผลการเรียน  โดยใช้ช่วงระดับคะแนนดังนี้</t>
  </si>
  <si>
    <t>ช่วงคะแนนเป็นร้อยละ</t>
  </si>
  <si>
    <t>ระดับผลการเรียน</t>
  </si>
  <si>
    <t>80 - 100</t>
  </si>
  <si>
    <t>75 - 79</t>
  </si>
  <si>
    <t>70 - 74</t>
  </si>
  <si>
    <t>65 - 69</t>
  </si>
  <si>
    <t>60 - 64</t>
  </si>
  <si>
    <t>55 - 59</t>
  </si>
  <si>
    <t>50 - 54</t>
  </si>
  <si>
    <t>0  -  49</t>
  </si>
  <si>
    <t>การบันทึกผลการประเมินคุณลักษณะอันพึงประสงค์</t>
  </si>
  <si>
    <t>ระดับของการประเมิน  มีความหมายดังนี้</t>
  </si>
  <si>
    <t>ความหมาย</t>
  </si>
  <si>
    <t xml:space="preserve"> ดีเยี่ยม   </t>
  </si>
  <si>
    <t>มีพฤติกรรมสูงกว่าเกณฑ์ในระดับดีเยี่ยม</t>
  </si>
  <si>
    <t xml:space="preserve"> ดี     </t>
  </si>
  <si>
    <t>มีพฤติกรรมสูงกว่าเกณฑ์ที่สถานศึกษากำหนด</t>
  </si>
  <si>
    <t>ผ่านเกณฑ์</t>
  </si>
  <si>
    <t>มีพฤติกรรมตามเกณฑ์ที่สถานศึกษากำหนด</t>
  </si>
  <si>
    <t xml:space="preserve"> ควรปรับปรุง   </t>
  </si>
  <si>
    <t xml:space="preserve"> มีพฤติกรรมบางประการที่ต้องปรับปรุง</t>
  </si>
  <si>
    <t>สรุปจำนวนนักเรียนที่มีผลการประเมิน  3,2,1,0  ไว้ในช่องผลการประเมินคุณลักษณะอันพึงประสงค์ (หน้าแรก)</t>
  </si>
  <si>
    <t>การบันทึกผลการประเมินการอ่าน   คิดวิเคราะห์  และเขียนสื่อความ</t>
  </si>
  <si>
    <t>มีความสามารถในระดับดีเยี่ยม</t>
  </si>
  <si>
    <t>มีความสามารถในระดับดี</t>
  </si>
  <si>
    <t>มีความสามารถตามเกณฑ์ที่สถานศึกษากำหนด</t>
  </si>
  <si>
    <t xml:space="preserve"> ควรปรับปรุง</t>
  </si>
  <si>
    <t>สรุปจำนวนนักเรียนที่มีผลการประเมิน 3,2,1,0   ไว้ในช่องผลการประเมินการอ่าน  คิดวิเคราะห์  และเขียนสื่อความ (หน้าแรก)</t>
  </si>
  <si>
    <t>คุณลักษณะอันพึงประสงค์  ตามหลักสูตรแกนกลางการศึกษาขั้นพื้นฐาน  พุทธศักราช  2551</t>
  </si>
  <si>
    <t>คุณลักษณะที่พึงประสงค์</t>
  </si>
  <si>
    <t>ตัวชี้วัด</t>
  </si>
  <si>
    <t>1.  รักชาติ  ศาสน์  กษัตริย์</t>
  </si>
  <si>
    <t>1.1  เป็นพลเมืองดีของชาติ</t>
  </si>
  <si>
    <t>1.2  ธำรงไว้ซึ่งความเป็นชาติไทย</t>
  </si>
  <si>
    <t>1.3  ศรัทธา  ยึดมั่น  และปฏิบัติตนตามหลักของศาสนา</t>
  </si>
  <si>
    <t>1.4  เคารพเทิดทูนพระมหากษัตริย์</t>
  </si>
  <si>
    <t>2.  ซื่อสัตย์สุจริต</t>
  </si>
  <si>
    <t>2.1  ประพฤติตนตามความเป็นจริงต่อตนเอง  ทั้งกาย  วาจา  ใจ</t>
  </si>
  <si>
    <t>2.2  ประพฤติตนตามความเป็นจริงต่อผู้อื่น  ทั้งกาย  วาจา  ใจ</t>
  </si>
  <si>
    <t>3.  มีวินัย</t>
  </si>
  <si>
    <t>3.1  ปฏิบัติตามข้อตกลง  กฎเกณฑ์  ระเบียบ  ข้อบังคับของครอบครัว  โรงเรียนและสังคม</t>
  </si>
  <si>
    <t>4.  ใฝ่เรียนรู้</t>
  </si>
  <si>
    <t>4.1  ตั้งใจ  เพียรพยายามในการเรียนและเข้าร่วมกิจกรรมการเรียนรู้</t>
  </si>
  <si>
    <t>5.  อยู่อย่างพอเพียง</t>
  </si>
  <si>
    <t>5.1  ดำเนินชีวิตอย่างพอประมาณ  มีเหตุผล  รอบคอบ  มีคุณธรรม</t>
  </si>
  <si>
    <t>5.2  มีภูมิคุ้มกันในตัวที่ดี  เพื่อปรับตัวอยู่ในสังคมได้อย่างมีความสุข</t>
  </si>
  <si>
    <t>6.  มุ่งมั่นในการทำงาน</t>
  </si>
  <si>
    <t>6.1  ตั้งใจและรับผิดชอบในการปฏิบัติหน้าที่การงาน</t>
  </si>
  <si>
    <t>6.2  ทำงานด้วยความเพียรพยายามและอดทนเพื่อให้งานสำเร็จตามเป้าหมาย</t>
  </si>
  <si>
    <t>7.  รักความเป็นไทย</t>
  </si>
  <si>
    <t>7.1  ภาคภูมิใจในขนบธรรมเนียมประเพณี  ศิลปะ  วัฒนธรรมไทย  มีความกตัญญูกตเวที</t>
  </si>
  <si>
    <t>7.2  เห็นคุณค่าและใช้ภาษาไทยในการสื่อสารได้อย่างถูกต้อง  เหมาะสม</t>
  </si>
  <si>
    <t>7.3  อนุรักษ์และสืบทอดภูมิปัญญาไทย</t>
  </si>
  <si>
    <t>8.  มีจิตสาธารณะ</t>
  </si>
  <si>
    <t>8.1  ช่วยเหลือผู้อื่นด้วยความเต็มใจและพึงพอใจ  โดยไม่หวังผลตอบแทน</t>
  </si>
  <si>
    <t>8.2  เข้าร่วมกิจกรรมที่เป็นประโยน์ต่อโรงเรียน  ชุมชน  และสังคม</t>
  </si>
  <si>
    <t>รหัสวิชา</t>
  </si>
  <si>
    <t>ชื่อ-สกุล</t>
  </si>
  <si>
    <t>หน่วย</t>
  </si>
  <si>
    <t>นักเรียนที่มีผลการเรียน</t>
  </si>
  <si>
    <t>ผลการเรียนเฉลี่ย</t>
  </si>
  <si>
    <t>หน่วยการเรียนรู้ที่</t>
  </si>
  <si>
    <t>คุณลักษณะอันพึงประสงค์</t>
  </si>
  <si>
    <t>ผลการประเมินคุณภาพผู้เรียน</t>
  </si>
  <si>
    <t xml:space="preserve">การอ่าน การคิดวิเคราะห์ และเขียนสื่อความ </t>
  </si>
  <si>
    <t>สรุปผลรวม</t>
  </si>
  <si>
    <t>1. การคัดสรรสื่อ</t>
  </si>
  <si>
    <t>2. จับประเด็นสำคัญ</t>
  </si>
  <si>
    <t>3. วิเคราะห์ วิจารณ์</t>
  </si>
  <si>
    <t>4. สรุปคุณค่า แง่คิดที่ดี</t>
  </si>
  <si>
    <t>5. สรุปอภิปรายขยายความ</t>
  </si>
  <si>
    <r>
      <t xml:space="preserve">สรุปจำนวนนักเรียนที่ได้ผลการเรียน  </t>
    </r>
    <r>
      <rPr>
        <b/>
        <sz val="11"/>
        <rFont val="TH SarabunPSK"/>
        <family val="2"/>
      </rPr>
      <t xml:space="preserve">4, 3.5, 3, 2.5, 2, 1.5, 1, 0 </t>
    </r>
    <r>
      <rPr>
        <sz val="11"/>
        <rFont val="TH SarabunPSK"/>
        <family val="2"/>
      </rPr>
      <t xml:space="preserve"> หรือ "</t>
    </r>
    <r>
      <rPr>
        <b/>
        <sz val="11"/>
        <rFont val="TH SarabunPSK"/>
        <family val="2"/>
      </rPr>
      <t>ร</t>
    </r>
    <r>
      <rPr>
        <sz val="11"/>
        <rFont val="TH SarabunPSK"/>
        <family val="2"/>
      </rPr>
      <t>" , "</t>
    </r>
    <r>
      <rPr>
        <b/>
        <sz val="11"/>
        <rFont val="TH SarabunPSK"/>
        <family val="2"/>
      </rPr>
      <t>มส</t>
    </r>
    <r>
      <rPr>
        <sz val="11"/>
        <rFont val="TH SarabunPSK"/>
        <family val="2"/>
      </rPr>
      <t>" ,"</t>
    </r>
    <r>
      <rPr>
        <b/>
        <sz val="11"/>
        <rFont val="TH SarabunPSK"/>
        <family val="2"/>
      </rPr>
      <t>มก</t>
    </r>
    <r>
      <rPr>
        <sz val="11"/>
        <rFont val="TH SarabunPSK"/>
        <family val="2"/>
      </rPr>
      <t>" ไว้ในช่องสรุปผลการเรียน (หน้าแรก)</t>
    </r>
  </si>
  <si>
    <r>
      <t xml:space="preserve">2.1  ผู้มาเรียน  ให้เขียนเครื่องหมาย  </t>
    </r>
    <r>
      <rPr>
        <b/>
        <sz val="11"/>
        <rFont val="TH SarabunPSK"/>
        <family val="2"/>
      </rPr>
      <t>/</t>
    </r>
    <r>
      <rPr>
        <sz val="11"/>
        <rFont val="TH SarabunPSK"/>
        <family val="2"/>
      </rPr>
      <t xml:space="preserve">   ส่วนผู้ไม่มาเรียนให้ทำเครื่องหมาย 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ด้วยหมึกสีแดง  และระบุสาเหตุที่ไม่เข้า เช่น  ลาป่วย "ป" ลากิจ "ล"  ด้วยหมึกสีน้ำเงินหรือสีดำ </t>
    </r>
  </si>
  <si>
    <r>
      <t xml:space="preserve">ลงใน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แล้วแต่กรณี  ถ้าขาดหรือไม่ทราบสาเหตุให้ทำเครื่องหมาย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</t>
    </r>
  </si>
  <si>
    <t xml:space="preserve">2.2  ถ้านักเรียนถูกพักการเรียนหรือย้ายหรือออกกลางคัน  ให้ขีดเส้นแดงทับช่องตรงรายชื่อแล้วระบุสาเหตุไว้ที่ช่องหมายเหตุ ยกเว้นถูกสั่งพักการเรียนชั่วคราว </t>
  </si>
  <si>
    <t>(3,5,7 วัน โดยยังไม่ลาออก)  ให้ปฏิบัติเหมือนกับการขาดเรียน</t>
  </si>
  <si>
    <t>ในแต่ละข้อ ตามแผนการจัดการเรียนรู้</t>
  </si>
  <si>
    <t>คือ  ร้อยละ  60  ของคะแนนเต็ม</t>
  </si>
  <si>
    <t>3.2  ให้กรอกคะแนนตามที่นักเรียนได้จริง  ถ้าคะแนนไม่ผ่านเกณฑ์ (ต่ำกว่าร้อยละ 60) ให้ลงด้วยดินสอไว้ก่อนเมื่อซ่อมเสริมเสร็จ และผ่านเกณฑ์การประเมินจึงลงคะแนนด้วยปากกา</t>
  </si>
  <si>
    <t>กำหนด (ไม่น้อยกว่าร้อยละ 60)</t>
  </si>
  <si>
    <r>
      <t>การสรุปผลการประเมิน ให้นำช่องสรุปของทุกข้อมาหา</t>
    </r>
    <r>
      <rPr>
        <b/>
        <sz val="11"/>
        <rFont val="TH SarabunPSK"/>
        <family val="2"/>
      </rPr>
      <t>ฐานนิยม</t>
    </r>
    <r>
      <rPr>
        <sz val="11"/>
        <rFont val="TH SarabunPSK"/>
        <family val="2"/>
      </rPr>
      <t>และกรอกลงในช่องสรุปผล</t>
    </r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</si>
  <si>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 xml:space="preserve">ให้ดำเนินการปรับปรุงพฤติกรรมของผู้เรียนให้ผ่าน  และแก้ไขให้ได้ระดับไม่เกิน  1 </t>
    </r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</si>
  <si>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ให้ดำเนินการปรับปรุงพฤติกรรมของผู้เรียนให้ผ่านในภาคเรียนถัดไป</t>
    </r>
  </si>
  <si>
    <t>การประเมินคุณลักษณะอันพึงประสงค์ให้ประเมินควบคู่ไปกับการประเมินผลการเรียนในแต่ละกิจกรรมในหน่วยการเรียนรู้ประเมินตามคุณลักษณะอันพึงประสงค์ตามที่</t>
  </si>
  <si>
    <t>การสรุปผลการประเมิน ให้นำช่องสรุปของทุกข้อมาหาฐานนิยมและกรอกลงในช่องสรุปผล</t>
  </si>
  <si>
    <t>การประเมินการอ่าน  คิดวิเคราะห์  และเขียนสื่อความ ให้ประเมินด้วยวิธีการที่หลากหลายที่สะท้อนถึงการอ่าน  คิดวิเคราะห์ และเขียนสื่อความ  โดยประเมินควบคู่ไปกับ</t>
  </si>
  <si>
    <t xml:space="preserve">การประเมินผลการเรียนในแต่ละกิจกรรมในหน่วยการเรียนรู้  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</si>
  <si>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 </t>
    </r>
    <r>
      <rPr>
        <sz val="11"/>
        <rFont val="TH SarabunPSK"/>
        <family val="2"/>
      </rPr>
      <t xml:space="preserve"> ให้ดำเนินการปรับปรุงพัฒนาทักษะการอ่าน  คิดวิเคราะห์และเขียนสื่อความของผู้เรียนให้ผ่านเกณฑ์และแก้ไขได้ระดับไม่เกิน  1</t>
    </r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</si>
  <si>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ให้ดำเนินการปรับปรุงพัฒนาทักษะการอ่าน  คิดวิเคราะห์และเขียนสื่อความของผู้เรียน ให้ผ่านเกณฑ์ในภาคเรียนถัดไป</t>
    </r>
  </si>
  <si>
    <t xml:space="preserve">4.2  แสวงหาความรู้จากแหล่งเรียนรู้ต่างๆ ทั้งภายในและภายนอกโรงเรียน  ด้วยการเลือกสื่ออย่างเหมาะสม  บันทึกความรู้  </t>
  </si>
  <si>
    <t xml:space="preserve">       วิเคราะห์  สรุปเป็นองค์ความรู้ สามารถนำไปใช้นีวิตประจำวันได้</t>
  </si>
  <si>
    <t>รายวิชา</t>
  </si>
  <si>
    <t>ลงชื่อ………………………..…………...….…หัวหน้างานวัดผลและประเมินผล</t>
  </si>
  <si>
    <t>หัวหน้ากลุ่มงานวิชาการ</t>
  </si>
  <si>
    <t xml:space="preserve">2.3  เมื่อสิ้นสุดสัปดาห์ที่ 5,10,15,18 และสิ้นสุดภาคเรียน  ให้สรุปเวลามาเรียนไว้ในช่องรวมเวลารายภาค  ถ้านักเรียนคนใดมีเวลาเรียนน้อยกว่าร้อยละ  80  ของรายวิชานั้นๆ </t>
  </si>
  <si>
    <t>ให้เขียนเวลาเรียนรวมด้วยหมึกสีแดง</t>
  </si>
  <si>
    <t>(   )</t>
  </si>
  <si>
    <t>อนุมัติ</t>
  </si>
  <si>
    <t>โรงเรียนบ้านขัวก่าย  อำเภอวานรนิวาส  จังหวัดสกลนคร</t>
  </si>
  <si>
    <t>สังกัด  สำนักงานเขตพื้นที่การศึกษาประถมศึกษาสกลนคร  เขต  3</t>
  </si>
  <si>
    <t>คำอธิบายการใช้   ปพ.5    โรงเรียนบ้านขัวก่าย</t>
  </si>
  <si>
    <t xml:space="preserve">                      การอ่าน คิดวิเคราะห์และเขียนสื่อความ  โรงเรียนบ้านขัวก่าย</t>
  </si>
  <si>
    <t>ผู้อำนวยการโรงเรียนบ้านขัวก่าย</t>
  </si>
  <si>
    <t xml:space="preserve">ปีการศึกษา </t>
  </si>
  <si>
    <t>มิ.ย.</t>
  </si>
  <si>
    <t>ก.ค.</t>
  </si>
  <si>
    <t>ส.ค.</t>
  </si>
  <si>
    <t>ก.ย.</t>
  </si>
  <si>
    <t>มส</t>
  </si>
  <si>
    <t>พ.ค.</t>
  </si>
  <si>
    <t>ให้ประเมินทักษะการอ่าน   คิดวิเคราะห์   และเขียนสื่อความ    ตามที่สำนักงานคณะกรรมการการศึกษาขั้นพื้นฐานกำหนดไว้ จำนวน 5  ข้อ (อยู่ในหน้า 9)</t>
  </si>
  <si>
    <t>ให้เขียนระดับการประเมินในแต่ละข้อ ลงในหน้า  9</t>
  </si>
  <si>
    <t>ให้เขียนผลการเรียนรู้ไว้ในหน้าที่  10  โดยแยกเป็นหน่วยและระบุมาตรฐานการเรียนรู้กลุ่มสาระหรือตัวชี้วัดให้ชัดเจน</t>
  </si>
  <si>
    <t>ให้เขียนมาตรฐานการเรียนรู้กลุ่มสาระ ตัวชี้วัดหรือผลการเรียนรู้โดยแยกเป็นหน่วยให้ชัดเจน  ไว้ในหน้า  10  และกำหนดรายละเอียดการประเมินผล เป็นคะแนนในช่องวิธีการวัดผล</t>
  </si>
  <si>
    <t>3.1  เขียนหมายเลขข้อผลการเรียนรู้หรือตัวชี้วัดและน้ำหนักคะแนนรวมในแต่ละข้อ (หน้า 5-7) และในช่องรวมให้เขียนคะแนนเต็ม สำหรับช่องซ่อมเสริมให้เขียนคะแนนตามเกณฑ์ผ่าน</t>
  </si>
  <si>
    <t>3.3 ถ้าผลการประเมินไม่ผ่านให้สอนซ่อมเสริม เพื่อให้นักเรียนมีความรู้ความสามารถตามเกณฑ์ของแต่ละผลการเรียนรู้ เมื่อสอบแก้ตัวเสร็จแล้วให้กรอกคะแนนตามเกณฑ์ที่สถานศึกษา</t>
  </si>
  <si>
    <t xml:space="preserve">การสรุปผลการประเมินคุณภาพผู้เรียนในหน้า  8  ให้นำคะแนนแต่ละหน่วยจากหน้า 5-7  บันทึกลงในช่องรายหน่วย แล้วรวมกับคะแนนสอบกลางภาคและคะแนนสอบปลายภาค  </t>
  </si>
  <si>
    <t>สำนักงานคณะกรรมการการศึกษาขั้นพื้นฐานกำหนดไว้ จำนวน  8  ข้อ (อยู่ในหน้า 9)</t>
  </si>
  <si>
    <t>ให้เขียนระดับการประเมินในแต่ละข้อ ลงในหน้า 9   โดยยึดการประเมินตามหลักสูตรแกนกลางการศึกษาขั้นพื้นฐาน พุทธศักราช 2551 (หน้า12)</t>
  </si>
  <si>
    <t>ก.ค.-ส.ค.</t>
  </si>
  <si>
    <t>พ.ค.-มิ.ย.</t>
  </si>
  <si>
    <t>มิ.ย.-ก.ค.</t>
  </si>
  <si>
    <t>โรงเรียนบ้านขัวก่าย  สำนักงานเขตพื้นที่การศึกษาประถมศึกษาสกลนคร เขต 3</t>
  </si>
  <si>
    <t>ชื่อ-นามสกุล</t>
  </si>
  <si>
    <t>คะแนน</t>
  </si>
  <si>
    <t>ผลการเรียน</t>
  </si>
  <si>
    <t>จำนวนนักเรียน</t>
  </si>
  <si>
    <t>ลักษณะอันพึงประสงค์</t>
  </si>
  <si>
    <t>การอ่าน คิดวิเคราะห์ฯ</t>
  </si>
  <si>
    <t>ชาย</t>
  </si>
  <si>
    <t>หญิง</t>
  </si>
  <si>
    <t>เกรด</t>
  </si>
  <si>
    <t>จำนวน</t>
  </si>
  <si>
    <t>ร้อยละ</t>
  </si>
  <si>
    <t>(ลงชื่อ).....................................................ครูผู้สอน</t>
  </si>
  <si>
    <t>การอ่าน คิดวิเคราห์ฯ</t>
  </si>
  <si>
    <t>...../............../.......</t>
  </si>
  <si>
    <t>(ลงชื่อ).....................................................งานวัดผล</t>
  </si>
  <si>
    <t>(ลงชื่อ).....................................................ผู้อำนวยการโรงเรียน</t>
  </si>
  <si>
    <t xml:space="preserve">         (นายอภัย  ปังอุทา)</t>
  </si>
  <si>
    <t>สมรรถนะสำคัญของผู้เรียน</t>
  </si>
  <si>
    <t>1. การสื่อสาร</t>
  </si>
  <si>
    <t>2. การคิด</t>
  </si>
  <si>
    <t>3. การแก้ปัญหา</t>
  </si>
  <si>
    <t>4. การใช้ทักษะชีวิต</t>
  </si>
  <si>
    <t>5. การใช้เทคโนโลยี</t>
  </si>
  <si>
    <t>ผลการประเมินสมรรถนะสำคัญของผู้เรียน</t>
  </si>
  <si>
    <t>ระดับชั้นประถมศึกษาปีที่</t>
  </si>
  <si>
    <t>ปลายปี</t>
  </si>
  <si>
    <t>กลางปี</t>
  </si>
  <si>
    <t>พ.ย.</t>
  </si>
  <si>
    <t>พ.ย.-ธ.ค.</t>
  </si>
  <si>
    <t>ธ.ค.</t>
  </si>
  <si>
    <t>ธ.ค.-ม.ค.</t>
  </si>
  <si>
    <t>ม.ค.</t>
  </si>
  <si>
    <t>ก.พ.</t>
  </si>
  <si>
    <t>มี.ค.</t>
  </si>
  <si>
    <t>ทั้งปี</t>
  </si>
  <si>
    <t>มาตรฐานและตัวชี้วัด /ผลการเรียนรู้</t>
  </si>
  <si>
    <t>ภาคเรียนที่ 1</t>
  </si>
  <si>
    <t>ภาคเรียนที่ 2</t>
  </si>
  <si>
    <t>สอบกลางปี</t>
  </si>
  <si>
    <t>สอบปลายปี</t>
  </si>
  <si>
    <t>สมรรถนะสำคัญฯ</t>
  </si>
  <si>
    <t xml:space="preserve">     (นางขวัญจิต  สุวรรณคุณ)</t>
  </si>
  <si>
    <t>ภาษาไทย</t>
  </si>
  <si>
    <t>ท11101</t>
  </si>
  <si>
    <t>2q</t>
  </si>
  <si>
    <t>ม.ค.-ก.พ.</t>
  </si>
  <si>
    <t>ก.พ.-มี.ค.</t>
  </si>
  <si>
    <t>ส.ค.-ก.ย.</t>
  </si>
  <si>
    <t>ก.ย.-ต.ค.</t>
  </si>
  <si>
    <t>เด็กชายธนาธร    กิติกาแดง</t>
  </si>
  <si>
    <t>เด็กชายนิรวุฒิ  วันทอง</t>
  </si>
  <si>
    <t>เด็กชายศรันยู  รัตนมงคล</t>
  </si>
  <si>
    <t>เด็กชายสิรธีร์  เวียงอินทร์</t>
  </si>
  <si>
    <t>เด็กหญิงจิรภิญญา  เขื่อนพงษ์</t>
  </si>
  <si>
    <t>เด็กหญิงภคพร  วงค์สา</t>
  </si>
  <si>
    <t>เด็กหญิงศิริณภา  สุวรรณจันทร์</t>
  </si>
  <si>
    <t>เด็กหญิงศุภิสรา  โม้แซง</t>
  </si>
  <si>
    <t>เด็กหญิงสุพิชชา  ชาวนาฮี</t>
  </si>
  <si>
    <t>นางสุพรรณี  สุวะศรี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</si>
</sst>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47" x14ac:knownFonts="1">
    <font>
      <sz val="11"/>
      <color theme="1"/>
      <name val="Tahoma"/>
      <family val="2"/>
      <scheme val="minor"/>
    </font>
    <font>
      <sz val="14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12"/>
      <name val="TH SarabunPSK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10"/>
      <name val="Arial"/>
      <family val="2"/>
      <charset val="222"/>
    </font>
    <font>
      <sz val="10"/>
      <name val="Arial"/>
      <family val="2"/>
    </font>
    <font>
      <b/>
      <sz val="11"/>
      <name val="TH SarabunPSK"/>
      <family val="2"/>
    </font>
    <font>
      <b/>
      <sz val="10"/>
      <name val="TH SarabunPSK"/>
      <family val="2"/>
    </font>
    <font>
      <b/>
      <sz val="9"/>
      <name val="TH SarabunPSK"/>
      <family val="2"/>
    </font>
    <font>
      <sz val="8"/>
      <name val="TH SarabunPSK"/>
      <family val="2"/>
    </font>
    <font>
      <b/>
      <sz val="14"/>
      <name val="TH SarabunPSK"/>
      <family val="2"/>
      <charset val="238"/>
    </font>
    <font>
      <b/>
      <sz val="11"/>
      <name val="TH SarabunPSK"/>
      <family val="2"/>
      <charset val="238"/>
    </font>
    <font>
      <b/>
      <sz val="16"/>
      <name val="TH SarabunPSK"/>
      <family val="2"/>
      <charset val="238"/>
    </font>
    <font>
      <sz val="14"/>
      <name val="TH SarabunPSK"/>
      <family val="2"/>
      <charset val="238"/>
    </font>
    <font>
      <sz val="12"/>
      <name val="TH SarabunPSK"/>
      <family val="2"/>
      <charset val="238"/>
    </font>
    <font>
      <sz val="16"/>
      <name val="TH SarabunPSK"/>
      <family val="2"/>
      <charset val="238"/>
    </font>
    <font>
      <sz val="10"/>
      <name val="TH SarabunPSK"/>
      <family val="2"/>
      <charset val="238"/>
    </font>
    <font>
      <sz val="11"/>
      <name val="TH SarabunPSK"/>
      <family val="2"/>
      <charset val="238"/>
    </font>
    <font>
      <b/>
      <sz val="20"/>
      <name val="TH SarabunPSK"/>
      <family val="2"/>
      <charset val="238"/>
    </font>
    <font>
      <sz val="13"/>
      <name val="TH SarabunPSK"/>
      <family val="2"/>
      <charset val="238"/>
    </font>
    <font>
      <sz val="14"/>
      <name val="Cordia New"/>
      <family val="2"/>
    </font>
    <font>
      <sz val="16"/>
      <name val="TH SarabunPSK"/>
      <family val="2"/>
    </font>
    <font>
      <sz val="12"/>
      <color rgb="FF0070C0"/>
      <name val="TH SarabunPSK"/>
      <family val="2"/>
    </font>
    <font>
      <sz val="12"/>
      <color theme="1"/>
      <name val="TH SarabunPSK"/>
      <family val="2"/>
    </font>
    <font>
      <sz val="12"/>
      <color theme="8" tint="-0.249977111117893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  <charset val="238"/>
    </font>
    <font>
      <sz val="11"/>
      <color theme="1"/>
      <name val="TH SarabunPSK"/>
      <family val="2"/>
      <charset val="238"/>
    </font>
    <font>
      <sz val="14"/>
      <color rgb="FF000000"/>
      <name val="TH SarabunPSK"/>
      <family val="2"/>
    </font>
    <font>
      <sz val="14"/>
      <color rgb="FFFF0000"/>
      <name val="TH SarabunPSK"/>
      <family val="2"/>
    </font>
    <font>
      <sz val="14"/>
      <color rgb="FF000000"/>
      <name val="TH SarabunPSK"/>
      <family val="2"/>
      <charset val="238"/>
    </font>
    <font>
      <sz val="14"/>
      <color theme="1"/>
      <name val="TH SarabunPSK"/>
      <family val="2"/>
    </font>
    <font>
      <sz val="11"/>
      <color rgb="FF000000"/>
      <name val="TH SarabunPSK"/>
      <family val="2"/>
    </font>
    <font>
      <sz val="12"/>
      <color rgb="FF000000"/>
      <name val="TH SarabunPSK"/>
      <family val="2"/>
    </font>
    <font>
      <sz val="16"/>
      <color rgb="FF000000"/>
      <name val="TH SarabunPSK"/>
      <family val="2"/>
      <charset val="238"/>
    </font>
    <font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8"/>
      <name val="TH SarabunPSK"/>
      <family val="2"/>
    </font>
    <font>
      <b/>
      <sz val="14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6"/>
      <color rgb="FFFF0000"/>
      <name val="TH SarabunPSK"/>
      <family val="2"/>
      <charset val="238"/>
    </font>
    <font>
      <b/>
      <sz val="14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0" fontId="8" fillId="0" borderId="0"/>
    <xf numFmtId="0" fontId="23" fillId="0" borderId="0"/>
  </cellStyleXfs>
  <cellXfs count="587">
    <xf numFmtId="0" fontId="0" fillId="0" borderId="0" xfId="0"/>
    <xf numFmtId="0" fontId="1" fillId="0" borderId="0" xfId="0" applyFont="1"/>
    <xf numFmtId="0" fontId="4" fillId="0" borderId="0" xfId="0" applyFont="1"/>
    <xf numFmtId="0" fontId="9" fillId="0" borderId="2" xfId="0" applyFont="1" applyBorder="1" applyAlignment="1">
      <alignment horizontal="center" vertical="center"/>
    </xf>
    <xf numFmtId="0" fontId="5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3" fillId="0" borderId="0" xfId="0" applyFont="1"/>
    <xf numFmtId="0" fontId="11" fillId="0" borderId="5" xfId="0" applyFont="1" applyBorder="1" applyAlignment="1">
      <alignment horizontal="center" vertical="center" textRotation="90"/>
    </xf>
    <xf numFmtId="0" fontId="25" fillId="0" borderId="5" xfId="0" applyFont="1" applyBorder="1"/>
    <xf numFmtId="0" fontId="25" fillId="0" borderId="7" xfId="0" applyFont="1" applyBorder="1"/>
    <xf numFmtId="0" fontId="25" fillId="0" borderId="8" xfId="0" applyFont="1" applyBorder="1"/>
    <xf numFmtId="0" fontId="25" fillId="0" borderId="8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10" xfId="1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4" fillId="0" borderId="12" xfId="1" applyFont="1" applyBorder="1" applyAlignment="1">
      <alignment vertical="center"/>
    </xf>
    <xf numFmtId="0" fontId="26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7" fillId="0" borderId="8" xfId="0" applyFont="1" applyBorder="1" applyAlignment="1">
      <alignment horizontal="center"/>
    </xf>
    <xf numFmtId="0" fontId="5" fillId="0" borderId="13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4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4" fillId="0" borderId="0" xfId="0" applyFont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12" xfId="2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/>
    <xf numFmtId="0" fontId="19" fillId="0" borderId="0" xfId="0" applyFont="1"/>
    <xf numFmtId="0" fontId="16" fillId="0" borderId="0" xfId="0" applyFont="1" applyAlignment="1">
      <alignment horizontal="center"/>
    </xf>
    <xf numFmtId="0" fontId="25" fillId="0" borderId="15" xfId="0" applyFont="1" applyBorder="1"/>
    <xf numFmtId="0" fontId="25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9" fillId="0" borderId="10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13" xfId="0" applyFont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30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0" fontId="18" fillId="0" borderId="0" xfId="0" applyFont="1"/>
    <xf numFmtId="0" fontId="15" fillId="0" borderId="0" xfId="0" applyFont="1" applyAlignment="1">
      <alignment horizontal="left"/>
    </xf>
    <xf numFmtId="0" fontId="13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" fillId="0" borderId="14" xfId="0" applyFont="1" applyBorder="1"/>
    <xf numFmtId="0" fontId="1" fillId="0" borderId="1" xfId="0" applyFont="1" applyBorder="1" applyAlignment="1">
      <alignment vertical="center"/>
    </xf>
    <xf numFmtId="0" fontId="18" fillId="0" borderId="0" xfId="0" applyFont="1" applyAlignment="1">
      <alignment horizontal="right"/>
    </xf>
    <xf numFmtId="0" fontId="1" fillId="0" borderId="12" xfId="1" applyFont="1" applyBorder="1" applyAlignment="1">
      <alignment vertical="center"/>
    </xf>
    <xf numFmtId="0" fontId="13" fillId="3" borderId="0" xfId="0" applyFont="1" applyFill="1" applyAlignment="1">
      <alignment horizontal="left"/>
    </xf>
    <xf numFmtId="0" fontId="1" fillId="3" borderId="0" xfId="0" applyFont="1" applyFill="1"/>
    <xf numFmtId="0" fontId="6" fillId="3" borderId="30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" fillId="3" borderId="31" xfId="0" applyFont="1" applyFill="1" applyBorder="1"/>
    <xf numFmtId="0" fontId="5" fillId="3" borderId="0" xfId="0" applyFont="1" applyFill="1"/>
    <xf numFmtId="0" fontId="9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4" fillId="3" borderId="25" xfId="0" applyFont="1" applyFill="1" applyBorder="1"/>
    <xf numFmtId="0" fontId="4" fillId="3" borderId="32" xfId="0" applyFont="1" applyFill="1" applyBorder="1"/>
    <xf numFmtId="0" fontId="2" fillId="3" borderId="0" xfId="0" applyFont="1" applyFill="1"/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39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3" borderId="5" xfId="0" applyFont="1" applyFill="1" applyBorder="1" applyAlignment="1">
      <alignment horizontal="center" vertical="center" textRotation="90"/>
    </xf>
    <xf numFmtId="0" fontId="3" fillId="3" borderId="2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4" fillId="0" borderId="5" xfId="0" applyFont="1" applyBorder="1"/>
    <xf numFmtId="0" fontId="4" fillId="0" borderId="7" xfId="0" applyFont="1" applyBorder="1" applyAlignment="1">
      <alignment horizontal="center"/>
    </xf>
    <xf numFmtId="0" fontId="6" fillId="3" borderId="41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26" fillId="3" borderId="37" xfId="0" applyFont="1" applyFill="1" applyBorder="1"/>
    <xf numFmtId="0" fontId="6" fillId="3" borderId="33" xfId="0" applyFont="1" applyFill="1" applyBorder="1" applyAlignment="1">
      <alignment horizontal="center" vertical="center"/>
    </xf>
    <xf numFmtId="0" fontId="26" fillId="3" borderId="22" xfId="0" applyFont="1" applyFill="1" applyBorder="1"/>
    <xf numFmtId="0" fontId="6" fillId="3" borderId="2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1" fillId="3" borderId="39" xfId="0" applyFont="1" applyFill="1" applyBorder="1"/>
    <xf numFmtId="0" fontId="1" fillId="3" borderId="13" xfId="0" applyFont="1" applyFill="1" applyBorder="1"/>
    <xf numFmtId="0" fontId="32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33" fillId="3" borderId="33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center" vertical="center"/>
    </xf>
    <xf numFmtId="0" fontId="34" fillId="3" borderId="3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8" fillId="0" borderId="7" xfId="0" applyFont="1" applyBorder="1" applyProtection="1">
      <protection locked="0"/>
    </xf>
    <xf numFmtId="0" fontId="35" fillId="0" borderId="5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49" fontId="35" fillId="0" borderId="15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49" fontId="36" fillId="0" borderId="1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textRotation="90"/>
    </xf>
    <xf numFmtId="0" fontId="11" fillId="3" borderId="6" xfId="0" applyFont="1" applyFill="1" applyBorder="1" applyAlignment="1">
      <alignment horizontal="center" vertical="center" textRotation="90"/>
    </xf>
    <xf numFmtId="0" fontId="11" fillId="2" borderId="43" xfId="0" applyFont="1" applyFill="1" applyBorder="1" applyAlignment="1">
      <alignment horizontal="center" vertical="center" textRotation="90"/>
    </xf>
    <xf numFmtId="0" fontId="25" fillId="2" borderId="43" xfId="0" applyFont="1" applyFill="1" applyBorder="1"/>
    <xf numFmtId="0" fontId="25" fillId="2" borderId="33" xfId="0" applyFont="1" applyFill="1" applyBorder="1"/>
    <xf numFmtId="0" fontId="25" fillId="2" borderId="36" xfId="0" applyFont="1" applyFill="1" applyBorder="1"/>
    <xf numFmtId="0" fontId="25" fillId="2" borderId="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textRotation="90"/>
    </xf>
    <xf numFmtId="0" fontId="25" fillId="2" borderId="44" xfId="0" applyFont="1" applyFill="1" applyBorder="1"/>
    <xf numFmtId="0" fontId="25" fillId="2" borderId="6" xfId="0" applyFont="1" applyFill="1" applyBorder="1"/>
    <xf numFmtId="0" fontId="25" fillId="2" borderId="22" xfId="0" applyFont="1" applyFill="1" applyBorder="1"/>
    <xf numFmtId="0" fontId="25" fillId="2" borderId="8" xfId="0" applyFont="1" applyFill="1" applyBorder="1"/>
    <xf numFmtId="0" fontId="25" fillId="2" borderId="37" xfId="0" applyFont="1" applyFill="1" applyBorder="1"/>
    <xf numFmtId="0" fontId="25" fillId="2" borderId="16" xfId="0" applyFont="1" applyFill="1" applyBorder="1"/>
    <xf numFmtId="0" fontId="25" fillId="2" borderId="9" xfId="0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/>
    </xf>
    <xf numFmtId="0" fontId="25" fillId="2" borderId="9" xfId="0" applyFont="1" applyFill="1" applyBorder="1"/>
    <xf numFmtId="0" fontId="25" fillId="2" borderId="34" xfId="0" applyFont="1" applyFill="1" applyBorder="1"/>
    <xf numFmtId="0" fontId="25" fillId="2" borderId="22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 textRotation="90"/>
    </xf>
    <xf numFmtId="0" fontId="25" fillId="2" borderId="6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7" xfId="0" applyFont="1" applyFill="1" applyBorder="1"/>
    <xf numFmtId="0" fontId="24" fillId="0" borderId="0" xfId="0" applyFont="1" applyAlignment="1">
      <alignment horizontal="center"/>
    </xf>
    <xf numFmtId="0" fontId="24" fillId="3" borderId="0" xfId="0" applyFont="1" applyFill="1"/>
    <xf numFmtId="0" fontId="24" fillId="3" borderId="46" xfId="0" applyFont="1" applyFill="1" applyBorder="1" applyAlignment="1">
      <alignment horizontal="center"/>
    </xf>
    <xf numFmtId="0" fontId="24" fillId="3" borderId="4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24" fillId="2" borderId="4" xfId="3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7" fillId="3" borderId="36" xfId="0" applyFont="1" applyFill="1" applyBorder="1" applyAlignment="1">
      <alignment horizontal="center" vertical="center"/>
    </xf>
    <xf numFmtId="0" fontId="37" fillId="3" borderId="37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/>
    </xf>
    <xf numFmtId="0" fontId="15" fillId="0" borderId="37" xfId="3" applyFont="1" applyBorder="1" applyAlignment="1">
      <alignment horizontal="center"/>
    </xf>
    <xf numFmtId="0" fontId="37" fillId="3" borderId="33" xfId="0" applyFont="1" applyFill="1" applyBorder="1" applyAlignment="1">
      <alignment horizontal="center" vertical="center"/>
    </xf>
    <xf numFmtId="0" fontId="37" fillId="3" borderId="2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38" fillId="3" borderId="43" xfId="0" applyFont="1" applyFill="1" applyBorder="1" applyAlignment="1">
      <alignment horizontal="center" vertical="center"/>
    </xf>
    <xf numFmtId="1" fontId="24" fillId="3" borderId="5" xfId="0" applyNumberFormat="1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38" fillId="3" borderId="33" xfId="0" applyFont="1" applyFill="1" applyBorder="1" applyAlignment="1">
      <alignment horizontal="center" vertical="center"/>
    </xf>
    <xf numFmtId="1" fontId="24" fillId="3" borderId="7" xfId="0" applyNumberFormat="1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38" fillId="3" borderId="36" xfId="0" applyFont="1" applyFill="1" applyBorder="1" applyAlignment="1">
      <alignment horizontal="center" vertical="center"/>
    </xf>
    <xf numFmtId="1" fontId="24" fillId="3" borderId="15" xfId="0" applyNumberFormat="1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 vertical="center" textRotation="90"/>
    </xf>
    <xf numFmtId="0" fontId="25" fillId="2" borderId="43" xfId="0" applyFont="1" applyFill="1" applyBorder="1" applyAlignment="1">
      <alignment horizontal="center"/>
    </xf>
    <xf numFmtId="0" fontId="27" fillId="2" borderId="33" xfId="0" applyFont="1" applyFill="1" applyBorder="1" applyAlignment="1">
      <alignment horizontal="center"/>
    </xf>
    <xf numFmtId="0" fontId="27" fillId="2" borderId="41" xfId="0" applyFont="1" applyFill="1" applyBorder="1" applyAlignment="1">
      <alignment horizontal="center"/>
    </xf>
    <xf numFmtId="0" fontId="27" fillId="0" borderId="56" xfId="0" applyFont="1" applyBorder="1" applyAlignment="1">
      <alignment horizontal="center"/>
    </xf>
    <xf numFmtId="0" fontId="4" fillId="0" borderId="21" xfId="0" applyFont="1" applyBorder="1"/>
    <xf numFmtId="0" fontId="25" fillId="0" borderId="21" xfId="0" applyFont="1" applyBorder="1" applyAlignment="1">
      <alignment horizontal="center"/>
    </xf>
    <xf numFmtId="0" fontId="25" fillId="2" borderId="42" xfId="0" applyFont="1" applyFill="1" applyBorder="1" applyAlignment="1">
      <alignment horizontal="center"/>
    </xf>
    <xf numFmtId="0" fontId="25" fillId="2" borderId="41" xfId="0" applyFont="1" applyFill="1" applyBorder="1" applyAlignment="1">
      <alignment horizontal="center"/>
    </xf>
    <xf numFmtId="0" fontId="25" fillId="2" borderId="57" xfId="0" applyFont="1" applyFill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2" borderId="56" xfId="0" applyFont="1" applyFill="1" applyBorder="1" applyAlignment="1">
      <alignment horizontal="center"/>
    </xf>
    <xf numFmtId="0" fontId="25" fillId="2" borderId="57" xfId="0" applyFont="1" applyFill="1" applyBorder="1"/>
    <xf numFmtId="0" fontId="25" fillId="2" borderId="41" xfId="0" applyFont="1" applyFill="1" applyBorder="1"/>
    <xf numFmtId="0" fontId="25" fillId="0" borderId="56" xfId="0" applyFont="1" applyBorder="1"/>
    <xf numFmtId="0" fontId="25" fillId="0" borderId="21" xfId="0" applyFont="1" applyBorder="1"/>
    <xf numFmtId="0" fontId="25" fillId="2" borderId="42" xfId="0" applyFont="1" applyFill="1" applyBorder="1"/>
    <xf numFmtId="0" fontId="25" fillId="2" borderId="56" xfId="0" applyFont="1" applyFill="1" applyBorder="1"/>
    <xf numFmtId="49" fontId="12" fillId="2" borderId="51" xfId="0" applyNumberFormat="1" applyFont="1" applyFill="1" applyBorder="1" applyAlignment="1">
      <alignment horizontal="center" vertical="center" textRotation="90"/>
    </xf>
    <xf numFmtId="49" fontId="12" fillId="0" borderId="52" xfId="0" applyNumberFormat="1" applyFont="1" applyBorder="1" applyAlignment="1">
      <alignment horizontal="center" vertical="center" textRotation="90"/>
    </xf>
    <xf numFmtId="49" fontId="12" fillId="2" borderId="23" xfId="0" applyNumberFormat="1" applyFont="1" applyFill="1" applyBorder="1" applyAlignment="1">
      <alignment horizontal="center" vertical="center" textRotation="90"/>
    </xf>
    <xf numFmtId="49" fontId="12" fillId="2" borderId="41" xfId="0" applyNumberFormat="1" applyFont="1" applyFill="1" applyBorder="1" applyAlignment="1">
      <alignment horizontal="center" vertical="center" textRotation="90"/>
    </xf>
    <xf numFmtId="49" fontId="12" fillId="0" borderId="56" xfId="0" applyNumberFormat="1" applyFont="1" applyBorder="1" applyAlignment="1">
      <alignment horizontal="center" vertical="center" textRotation="90"/>
    </xf>
    <xf numFmtId="49" fontId="12" fillId="0" borderId="21" xfId="0" applyNumberFormat="1" applyFont="1" applyBorder="1" applyAlignment="1">
      <alignment horizontal="center" vertical="center" textRotation="90"/>
    </xf>
    <xf numFmtId="49" fontId="12" fillId="2" borderId="42" xfId="0" applyNumberFormat="1" applyFont="1" applyFill="1" applyBorder="1" applyAlignment="1">
      <alignment horizontal="center" vertical="center" textRotation="90"/>
    </xf>
    <xf numFmtId="49" fontId="12" fillId="2" borderId="56" xfId="0" applyNumberFormat="1" applyFont="1" applyFill="1" applyBorder="1" applyAlignment="1">
      <alignment horizontal="center" vertical="center" textRotation="90"/>
    </xf>
    <xf numFmtId="49" fontId="12" fillId="2" borderId="57" xfId="0" applyNumberFormat="1" applyFont="1" applyFill="1" applyBorder="1" applyAlignment="1">
      <alignment horizontal="center" vertical="center" textRotation="90"/>
    </xf>
    <xf numFmtId="49" fontId="12" fillId="3" borderId="21" xfId="0" applyNumberFormat="1" applyFont="1" applyFill="1" applyBorder="1" applyAlignment="1">
      <alignment horizontal="center" vertical="center" textRotation="90"/>
    </xf>
    <xf numFmtId="49" fontId="12" fillId="3" borderId="58" xfId="0" applyNumberFormat="1" applyFont="1" applyFill="1" applyBorder="1" applyAlignment="1">
      <alignment horizontal="center" vertical="center" textRotation="90"/>
    </xf>
    <xf numFmtId="49" fontId="12" fillId="3" borderId="52" xfId="0" applyNumberFormat="1" applyFont="1" applyFill="1" applyBorder="1" applyAlignment="1">
      <alignment horizontal="center" vertical="center" textRotation="90"/>
    </xf>
    <xf numFmtId="49" fontId="12" fillId="3" borderId="23" xfId="0" applyNumberFormat="1" applyFont="1" applyFill="1" applyBorder="1" applyAlignment="1">
      <alignment horizontal="center" vertical="center" textRotation="90"/>
    </xf>
    <xf numFmtId="49" fontId="12" fillId="2" borderId="53" xfId="0" applyNumberFormat="1" applyFont="1" applyFill="1" applyBorder="1" applyAlignment="1">
      <alignment horizontal="center" vertical="center" textRotation="90"/>
    </xf>
    <xf numFmtId="0" fontId="2" fillId="3" borderId="41" xfId="0" applyFont="1" applyFill="1" applyBorder="1" applyAlignment="1">
      <alignment horizontal="center" vertical="center"/>
    </xf>
    <xf numFmtId="0" fontId="40" fillId="0" borderId="0" xfId="0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right"/>
    </xf>
    <xf numFmtId="0" fontId="39" fillId="0" borderId="55" xfId="0" applyFont="1" applyBorder="1"/>
    <xf numFmtId="0" fontId="39" fillId="0" borderId="0" xfId="0" applyFont="1"/>
    <xf numFmtId="0" fontId="40" fillId="0" borderId="5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0" fillId="0" borderId="33" xfId="0" applyFont="1" applyBorder="1" applyAlignment="1">
      <alignment horizontal="center" wrapText="1"/>
    </xf>
    <xf numFmtId="0" fontId="40" fillId="0" borderId="7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40" fillId="0" borderId="36" xfId="0" applyFont="1" applyBorder="1" applyAlignment="1">
      <alignment horizontal="center"/>
    </xf>
    <xf numFmtId="0" fontId="38" fillId="0" borderId="5" xfId="0" applyFont="1" applyBorder="1" applyAlignment="1">
      <alignment horizontal="center" vertical="center"/>
    </xf>
    <xf numFmtId="0" fontId="40" fillId="0" borderId="7" xfId="0" applyFont="1" applyBorder="1" applyProtection="1">
      <protection locked="0"/>
    </xf>
    <xf numFmtId="0" fontId="40" fillId="0" borderId="34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41" xfId="0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3" xfId="0" applyFont="1" applyBorder="1" applyAlignment="1">
      <alignment horizontal="center"/>
    </xf>
    <xf numFmtId="0" fontId="38" fillId="0" borderId="15" xfId="0" applyFont="1" applyBorder="1" applyAlignment="1">
      <alignment horizontal="center" vertical="center"/>
    </xf>
    <xf numFmtId="2" fontId="40" fillId="0" borderId="22" xfId="0" applyNumberFormat="1" applyFont="1" applyBorder="1" applyAlignment="1">
      <alignment horizontal="center"/>
    </xf>
    <xf numFmtId="49" fontId="38" fillId="0" borderId="15" xfId="0" applyNumberFormat="1" applyFont="1" applyBorder="1" applyAlignment="1">
      <alignment horizontal="center" vertical="center"/>
    </xf>
    <xf numFmtId="0" fontId="40" fillId="0" borderId="78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1" fontId="40" fillId="0" borderId="21" xfId="0" applyNumberFormat="1" applyFont="1" applyBorder="1" applyAlignment="1">
      <alignment horizontal="center" vertical="center"/>
    </xf>
    <xf numFmtId="0" fontId="40" fillId="0" borderId="21" xfId="0" applyFont="1" applyBorder="1"/>
    <xf numFmtId="0" fontId="41" fillId="0" borderId="21" xfId="0" applyFont="1" applyBorder="1" applyAlignment="1">
      <alignment horizontal="center"/>
    </xf>
    <xf numFmtId="0" fontId="41" fillId="0" borderId="42" xfId="0" applyFont="1" applyBorder="1" applyAlignment="1">
      <alignment horizontal="center"/>
    </xf>
    <xf numFmtId="0" fontId="39" fillId="0" borderId="29" xfId="0" applyFont="1" applyBorder="1" applyAlignment="1">
      <alignment horizontal="center"/>
    </xf>
    <xf numFmtId="2" fontId="39" fillId="0" borderId="70" xfId="0" applyNumberFormat="1" applyFont="1" applyBorder="1" applyAlignment="1">
      <alignment horizontal="center"/>
    </xf>
    <xf numFmtId="2" fontId="40" fillId="0" borderId="0" xfId="0" applyNumberFormat="1" applyFont="1" applyAlignment="1">
      <alignment horizontal="center"/>
    </xf>
    <xf numFmtId="0" fontId="38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0" fillId="3" borderId="27" xfId="0" applyFont="1" applyFill="1" applyBorder="1" applyAlignment="1">
      <alignment horizontal="center" textRotation="90"/>
    </xf>
    <xf numFmtId="0" fontId="10" fillId="3" borderId="28" xfId="0" applyFont="1" applyFill="1" applyBorder="1" applyAlignment="1">
      <alignment horizontal="center" textRotation="90"/>
    </xf>
    <xf numFmtId="0" fontId="10" fillId="3" borderId="35" xfId="0" applyFont="1" applyFill="1" applyBorder="1" applyAlignment="1">
      <alignment horizontal="center" textRotation="90"/>
    </xf>
    <xf numFmtId="0" fontId="3" fillId="3" borderId="24" xfId="0" applyFont="1" applyFill="1" applyBorder="1" applyAlignment="1">
      <alignment horizontal="center" textRotation="90"/>
    </xf>
    <xf numFmtId="0" fontId="10" fillId="3" borderId="27" xfId="0" applyFont="1" applyFill="1" applyBorder="1" applyAlignment="1">
      <alignment textRotation="90"/>
    </xf>
    <xf numFmtId="0" fontId="10" fillId="3" borderId="28" xfId="0" applyFont="1" applyFill="1" applyBorder="1" applyAlignment="1">
      <alignment textRotation="90"/>
    </xf>
    <xf numFmtId="0" fontId="10" fillId="3" borderId="35" xfId="0" applyFont="1" applyFill="1" applyBorder="1" applyAlignment="1">
      <alignment textRotation="90"/>
    </xf>
    <xf numFmtId="0" fontId="3" fillId="3" borderId="24" xfId="0" applyFont="1" applyFill="1" applyBorder="1" applyAlignment="1">
      <alignment textRotation="90"/>
    </xf>
    <xf numFmtId="0" fontId="13" fillId="0" borderId="3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41" xfId="0" applyFont="1" applyBorder="1" applyAlignment="1">
      <alignment horizontal="center" wrapText="1"/>
    </xf>
    <xf numFmtId="0" fontId="16" fillId="0" borderId="42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3" fillId="3" borderId="29" xfId="0" applyFont="1" applyFill="1" applyBorder="1" applyAlignment="1">
      <alignment horizontal="center" vertical="center"/>
    </xf>
    <xf numFmtId="0" fontId="24" fillId="0" borderId="15" xfId="3" applyFont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65" xfId="0" applyFont="1" applyFill="1" applyBorder="1" applyAlignment="1">
      <alignment horizontal="center" vertical="center" wrapText="1"/>
    </xf>
    <xf numFmtId="0" fontId="42" fillId="3" borderId="26" xfId="0" applyFont="1" applyFill="1" applyBorder="1" applyAlignment="1">
      <alignment horizontal="center" vertical="center"/>
    </xf>
    <xf numFmtId="0" fontId="42" fillId="3" borderId="71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26" fillId="0" borderId="62" xfId="0" applyFont="1" applyBorder="1" applyAlignment="1">
      <alignment horizontal="center"/>
    </xf>
    <xf numFmtId="0" fontId="26" fillId="0" borderId="54" xfId="0" applyFont="1" applyBorder="1"/>
    <xf numFmtId="0" fontId="26" fillId="0" borderId="31" xfId="0" applyFont="1" applyBorder="1"/>
    <xf numFmtId="0" fontId="34" fillId="0" borderId="63" xfId="0" applyFont="1" applyBorder="1" applyAlignment="1">
      <alignment horizontal="center" vertical="center" wrapText="1"/>
    </xf>
    <xf numFmtId="0" fontId="34" fillId="0" borderId="79" xfId="0" applyFont="1" applyBorder="1"/>
    <xf numFmtId="0" fontId="26" fillId="0" borderId="63" xfId="0" applyFont="1" applyBorder="1" applyAlignment="1">
      <alignment horizontal="center"/>
    </xf>
    <xf numFmtId="0" fontId="26" fillId="0" borderId="0" xfId="0" applyFont="1"/>
    <xf numFmtId="0" fontId="26" fillId="0" borderId="79" xfId="0" applyFont="1" applyBorder="1"/>
    <xf numFmtId="0" fontId="3" fillId="3" borderId="5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40" fillId="0" borderId="55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1" fillId="0" borderId="57" xfId="0" applyFont="1" applyBorder="1" applyAlignment="1">
      <alignment horizontal="center"/>
    </xf>
    <xf numFmtId="0" fontId="34" fillId="0" borderId="33" xfId="0" applyFont="1" applyBorder="1" applyAlignment="1">
      <alignment horizontal="center"/>
    </xf>
    <xf numFmtId="0" fontId="34" fillId="0" borderId="7" xfId="0" applyFont="1" applyBorder="1"/>
    <xf numFmtId="0" fontId="34" fillId="0" borderId="22" xfId="0" applyFont="1" applyBorder="1"/>
    <xf numFmtId="49" fontId="9" fillId="3" borderId="27" xfId="0" applyNumberFormat="1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49" fontId="6" fillId="3" borderId="27" xfId="0" applyNumberFormat="1" applyFont="1" applyFill="1" applyBorder="1" applyAlignment="1">
      <alignment horizontal="center" vertical="center"/>
    </xf>
    <xf numFmtId="0" fontId="26" fillId="0" borderId="5" xfId="0" applyFont="1" applyBorder="1"/>
    <xf numFmtId="0" fontId="26" fillId="2" borderId="44" xfId="0" applyFont="1" applyFill="1" applyBorder="1"/>
    <xf numFmtId="0" fontId="26" fillId="2" borderId="43" xfId="0" applyFont="1" applyFill="1" applyBorder="1"/>
    <xf numFmtId="0" fontId="26" fillId="2" borderId="6" xfId="0" applyFont="1" applyFill="1" applyBorder="1" applyAlignment="1">
      <alignment horizontal="center"/>
    </xf>
    <xf numFmtId="0" fontId="26" fillId="2" borderId="22" xfId="0" applyFont="1" applyFill="1" applyBorder="1" applyAlignment="1">
      <alignment horizontal="center"/>
    </xf>
    <xf numFmtId="0" fontId="26" fillId="2" borderId="43" xfId="0" applyFont="1" applyFill="1" applyBorder="1" applyAlignment="1">
      <alignment horizontal="center"/>
    </xf>
    <xf numFmtId="0" fontId="26" fillId="0" borderId="7" xfId="0" applyFont="1" applyBorder="1"/>
    <xf numFmtId="0" fontId="26" fillId="2" borderId="22" xfId="0" applyFont="1" applyFill="1" applyBorder="1"/>
    <xf numFmtId="0" fontId="26" fillId="2" borderId="33" xfId="0" applyFont="1" applyFill="1" applyBorder="1"/>
    <xf numFmtId="0" fontId="26" fillId="2" borderId="8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34" fillId="0" borderId="0" xfId="0" applyFont="1"/>
    <xf numFmtId="0" fontId="26" fillId="2" borderId="5" xfId="0" applyFont="1" applyFill="1" applyBorder="1"/>
    <xf numFmtId="0" fontId="26" fillId="2" borderId="7" xfId="0" applyFont="1" applyFill="1" applyBorder="1"/>
    <xf numFmtId="0" fontId="26" fillId="2" borderId="19" xfId="0" applyFont="1" applyFill="1" applyBorder="1"/>
    <xf numFmtId="0" fontId="26" fillId="2" borderId="6" xfId="0" applyFont="1" applyFill="1" applyBorder="1"/>
    <xf numFmtId="0" fontId="26" fillId="2" borderId="9" xfId="0" applyFont="1" applyFill="1" applyBorder="1"/>
    <xf numFmtId="0" fontId="26" fillId="2" borderId="8" xfId="0" applyFont="1" applyFill="1" applyBorder="1"/>
    <xf numFmtId="0" fontId="26" fillId="0" borderId="8" xfId="0" applyFont="1" applyBorder="1"/>
    <xf numFmtId="49" fontId="11" fillId="3" borderId="27" xfId="0" applyNumberFormat="1" applyFont="1" applyFill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26" fillId="0" borderId="7" xfId="0" applyFont="1" applyBorder="1" applyAlignment="1">
      <alignment vertical="top"/>
    </xf>
    <xf numFmtId="0" fontId="35" fillId="0" borderId="7" xfId="0" applyFont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6" fillId="0" borderId="0" xfId="0" applyFont="1" applyAlignment="1">
      <alignment horizontal="center"/>
    </xf>
    <xf numFmtId="187" fontId="39" fillId="0" borderId="0" xfId="0" applyNumberFormat="1" applyFont="1" applyAlignment="1">
      <alignment horizontal="center"/>
    </xf>
    <xf numFmtId="0" fontId="46" fillId="3" borderId="27" xfId="0" applyFont="1" applyFill="1" applyBorder="1" applyAlignment="1">
      <alignment horizontal="center" vertical="center"/>
    </xf>
    <xf numFmtId="0" fontId="46" fillId="3" borderId="56" xfId="0" applyFont="1" applyFill="1" applyBorder="1" applyAlignment="1">
      <alignment horizontal="center" vertical="center"/>
    </xf>
    <xf numFmtId="0" fontId="46" fillId="3" borderId="42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59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2" fontId="16" fillId="0" borderId="60" xfId="0" applyNumberFormat="1" applyFont="1" applyBorder="1" applyAlignment="1">
      <alignment horizontal="center" vertical="center"/>
    </xf>
    <xf numFmtId="2" fontId="16" fillId="0" borderId="56" xfId="0" applyNumberFormat="1" applyFont="1" applyBorder="1" applyAlignment="1">
      <alignment horizontal="center" vertical="center"/>
    </xf>
    <xf numFmtId="2" fontId="16" fillId="0" borderId="57" xfId="0" applyNumberFormat="1" applyFont="1" applyBorder="1" applyAlignment="1">
      <alignment horizontal="center" vertical="center"/>
    </xf>
    <xf numFmtId="2" fontId="16" fillId="0" borderId="61" xfId="0" applyNumberFormat="1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17" fillId="0" borderId="62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26" xfId="0" applyFont="1" applyBorder="1" applyAlignment="1">
      <alignment horizontal="center" vertical="center" textRotation="90"/>
    </xf>
    <xf numFmtId="0" fontId="4" fillId="0" borderId="2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2" fillId="0" borderId="45" xfId="0" applyFont="1" applyBorder="1"/>
    <xf numFmtId="0" fontId="3" fillId="3" borderId="30" xfId="0" applyFont="1" applyFill="1" applyBorder="1" applyAlignment="1">
      <alignment horizontal="center"/>
    </xf>
    <xf numFmtId="0" fontId="3" fillId="3" borderId="69" xfId="0" applyFont="1" applyFill="1" applyBorder="1" applyAlignment="1">
      <alignment horizontal="center"/>
    </xf>
    <xf numFmtId="0" fontId="3" fillId="3" borderId="70" xfId="0" applyFont="1" applyFill="1" applyBorder="1" applyAlignment="1">
      <alignment horizontal="center"/>
    </xf>
    <xf numFmtId="0" fontId="4" fillId="0" borderId="26" xfId="0" applyFont="1" applyBorder="1" applyAlignment="1">
      <alignment horizontal="center" vertical="center" textRotation="90" wrapText="1"/>
    </xf>
    <xf numFmtId="0" fontId="3" fillId="3" borderId="5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 textRotation="90"/>
    </xf>
    <xf numFmtId="0" fontId="4" fillId="0" borderId="26" xfId="0" applyFont="1" applyBorder="1" applyAlignment="1">
      <alignment horizontal="center" vertical="center" textRotation="90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3" fillId="3" borderId="9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6" fillId="3" borderId="7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2" xfId="0" applyFont="1" applyFill="1" applyBorder="1" applyAlignment="1">
      <alignment horizontal="center" vertical="center" textRotation="90"/>
    </xf>
    <xf numFmtId="0" fontId="6" fillId="3" borderId="24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44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6" fillId="3" borderId="7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textRotation="90"/>
    </xf>
    <xf numFmtId="0" fontId="3" fillId="3" borderId="26" xfId="0" applyFont="1" applyFill="1" applyBorder="1" applyAlignment="1">
      <alignment horizontal="center" vertical="center" textRotation="90"/>
    </xf>
    <xf numFmtId="0" fontId="6" fillId="3" borderId="30" xfId="0" applyFont="1" applyFill="1" applyBorder="1" applyAlignment="1">
      <alignment horizontal="center"/>
    </xf>
    <xf numFmtId="0" fontId="6" fillId="3" borderId="70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center" vertical="center"/>
    </xf>
    <xf numFmtId="0" fontId="42" fillId="3" borderId="69" xfId="0" applyFont="1" applyFill="1" applyBorder="1" applyAlignment="1">
      <alignment horizontal="center" vertical="center"/>
    </xf>
    <xf numFmtId="0" fontId="42" fillId="3" borderId="7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textRotation="90"/>
    </xf>
    <xf numFmtId="0" fontId="9" fillId="3" borderId="26" xfId="0" applyFont="1" applyFill="1" applyBorder="1" applyAlignment="1">
      <alignment horizontal="center" vertical="center" textRotation="90"/>
    </xf>
    <xf numFmtId="0" fontId="26" fillId="0" borderId="71" xfId="0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0" fontId="26" fillId="0" borderId="76" xfId="0" applyFont="1" applyBorder="1" applyAlignment="1">
      <alignment horizontal="center"/>
    </xf>
    <xf numFmtId="0" fontId="43" fillId="0" borderId="62" xfId="0" applyFont="1" applyBorder="1" applyAlignment="1">
      <alignment horizontal="center"/>
    </xf>
    <xf numFmtId="0" fontId="43" fillId="0" borderId="54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43" fillId="0" borderId="63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79" xfId="0" applyFont="1" applyBorder="1" applyAlignment="1">
      <alignment horizontal="center"/>
    </xf>
    <xf numFmtId="0" fontId="34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center"/>
    </xf>
    <xf numFmtId="0" fontId="5" fillId="0" borderId="9" xfId="0" applyFont="1" applyBorder="1"/>
    <xf numFmtId="0" fontId="5" fillId="0" borderId="12" xfId="0" applyFont="1" applyBorder="1"/>
    <xf numFmtId="0" fontId="5" fillId="0" borderId="8" xfId="0" applyFont="1" applyBorder="1"/>
    <xf numFmtId="0" fontId="6" fillId="0" borderId="0" xfId="0" applyFont="1" applyAlignment="1">
      <alignment horizontal="center"/>
    </xf>
    <xf numFmtId="0" fontId="5" fillId="0" borderId="7" xfId="0" applyFont="1" applyBorder="1"/>
    <xf numFmtId="0" fontId="20" fillId="0" borderId="7" xfId="0" applyFont="1" applyBorder="1" applyAlignment="1">
      <alignment horizontal="left" vertical="center"/>
    </xf>
    <xf numFmtId="0" fontId="39" fillId="0" borderId="66" xfId="0" applyFont="1" applyBorder="1" applyAlignment="1">
      <alignment horizontal="center"/>
    </xf>
    <xf numFmtId="0" fontId="39" fillId="0" borderId="75" xfId="0" applyFont="1" applyBorder="1" applyAlignment="1">
      <alignment horizontal="center"/>
    </xf>
    <xf numFmtId="0" fontId="39" fillId="0" borderId="67" xfId="0" applyFont="1" applyBorder="1" applyAlignment="1">
      <alignment horizontal="center"/>
    </xf>
    <xf numFmtId="0" fontId="39" fillId="0" borderId="77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64" xfId="0" applyFont="1" applyBorder="1" applyAlignment="1">
      <alignment horizontal="center"/>
    </xf>
    <xf numFmtId="0" fontId="39" fillId="0" borderId="34" xfId="0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40" fillId="0" borderId="72" xfId="0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34" fillId="0" borderId="72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40" fillId="0" borderId="30" xfId="0" applyFont="1" applyBorder="1" applyAlignment="1">
      <alignment horizontal="center"/>
    </xf>
    <xf numFmtId="0" fontId="40" fillId="0" borderId="69" xfId="0" applyFont="1" applyBorder="1" applyAlignment="1">
      <alignment horizontal="center"/>
    </xf>
    <xf numFmtId="0" fontId="40" fillId="0" borderId="43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</cellXfs>
  <cellStyles count="4">
    <cellStyle name="Normal 2" xfId="1" xr:uid="{00000000-0005-0000-0000-000000000000}"/>
    <cellStyle name="ปกติ" xfId="0" builtinId="0"/>
    <cellStyle name="ปกติ 2" xfId="2" xr:uid="{00000000-0005-0000-0000-000002000000}"/>
    <cellStyle name="ปกติ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9</xdr:row>
      <xdr:rowOff>249237</xdr:rowOff>
    </xdr:from>
    <xdr:to>
      <xdr:col>9</xdr:col>
      <xdr:colOff>3175</xdr:colOff>
      <xdr:row>9</xdr:row>
      <xdr:rowOff>249237</xdr:rowOff>
    </xdr:to>
    <xdr:cxnSp macro="">
      <xdr:nvCxnSpPr>
        <xdr:cNvPr id="8" name="ตัวเชื่อมต่อตร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238250" y="2652712"/>
          <a:ext cx="219868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9</xdr:row>
      <xdr:rowOff>247650</xdr:rowOff>
    </xdr:from>
    <xdr:to>
      <xdr:col>14</xdr:col>
      <xdr:colOff>1652</xdr:colOff>
      <xdr:row>9</xdr:row>
      <xdr:rowOff>247650</xdr:rowOff>
    </xdr:to>
    <xdr:cxnSp macro="">
      <xdr:nvCxnSpPr>
        <xdr:cNvPr id="10" name="ตัวเชื่อมต่อตร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994150" y="2651125"/>
          <a:ext cx="140493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260349</xdr:colOff>
      <xdr:row>10</xdr:row>
      <xdr:rowOff>233364</xdr:rowOff>
    </xdr:from>
    <xdr:to>
      <xdr:col>5</xdr:col>
      <xdr:colOff>32940</xdr:colOff>
      <xdr:row>10</xdr:row>
      <xdr:rowOff>233364</xdr:rowOff>
    </xdr:to>
    <xdr:cxnSp macro="">
      <xdr:nvCxnSpPr>
        <xdr:cNvPr id="13" name="ตัวเชื่อมต่อตร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350962" y="2938464"/>
          <a:ext cx="57943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10</xdr:row>
      <xdr:rowOff>234949</xdr:rowOff>
    </xdr:from>
    <xdr:to>
      <xdr:col>13</xdr:col>
      <xdr:colOff>380922</xdr:colOff>
      <xdr:row>10</xdr:row>
      <xdr:rowOff>234949</xdr:rowOff>
    </xdr:to>
    <xdr:cxnSp macro="">
      <xdr:nvCxnSpPr>
        <xdr:cNvPr id="15" name="ตัวเชื่อมต่อตร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781550" y="2695574"/>
          <a:ext cx="60793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11113</xdr:colOff>
      <xdr:row>12</xdr:row>
      <xdr:rowOff>6350</xdr:rowOff>
    </xdr:from>
    <xdr:to>
      <xdr:col>10</xdr:col>
      <xdr:colOff>384175</xdr:colOff>
      <xdr:row>12</xdr:row>
      <xdr:rowOff>6351</xdr:rowOff>
    </xdr:to>
    <xdr:cxnSp macro="">
      <xdr:nvCxnSpPr>
        <xdr:cNvPr id="16" name="ตัวเชื่อมต่อตร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519238" y="3006725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0</xdr:rowOff>
    </xdr:from>
    <xdr:to>
      <xdr:col>10</xdr:col>
      <xdr:colOff>373062</xdr:colOff>
      <xdr:row>13</xdr:row>
      <xdr:rowOff>1</xdr:rowOff>
    </xdr:to>
    <xdr:cxnSp macro="">
      <xdr:nvCxnSpPr>
        <xdr:cNvPr id="9" name="ตัวเชื่อมต่อตร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508125" y="3270250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13</xdr:row>
      <xdr:rowOff>239713</xdr:rowOff>
    </xdr:from>
    <xdr:to>
      <xdr:col>11</xdr:col>
      <xdr:colOff>9524</xdr:colOff>
      <xdr:row>13</xdr:row>
      <xdr:rowOff>239714</xdr:rowOff>
    </xdr:to>
    <xdr:cxnSp macro="">
      <xdr:nvCxnSpPr>
        <xdr:cNvPr id="11" name="ตัวเชื่อมต่อตร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533525" y="3509963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369887</xdr:colOff>
      <xdr:row>8</xdr:row>
      <xdr:rowOff>280989</xdr:rowOff>
    </xdr:from>
    <xdr:to>
      <xdr:col>7</xdr:col>
      <xdr:colOff>142478</xdr:colOff>
      <xdr:row>8</xdr:row>
      <xdr:rowOff>280989</xdr:rowOff>
    </xdr:to>
    <xdr:cxnSp macro="">
      <xdr:nvCxnSpPr>
        <xdr:cNvPr id="14" name="ตัวเชื่อมต่อตร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265362" y="2405064"/>
          <a:ext cx="553641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158749</xdr:colOff>
      <xdr:row>0</xdr:row>
      <xdr:rowOff>71438</xdr:rowOff>
    </xdr:from>
    <xdr:to>
      <xdr:col>9</xdr:col>
      <xdr:colOff>381000</xdr:colOff>
      <xdr:row>3</xdr:row>
      <xdr:rowOff>232539</xdr:rowOff>
    </xdr:to>
    <xdr:pic>
      <xdr:nvPicPr>
        <xdr:cNvPr id="12" name="รูปภาพ 11" descr="ขก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82" t="28479" r="16025" b="26031"/>
        <a:stretch>
          <a:fillRect/>
        </a:stretch>
      </xdr:blipFill>
      <xdr:spPr bwMode="auto">
        <a:xfrm>
          <a:off x="2833687" y="71438"/>
          <a:ext cx="1000126" cy="90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38"/>
  <sheetViews>
    <sheetView tabSelected="1" view="pageBreakPreview" zoomScale="120" zoomScaleNormal="100" zoomScaleSheetLayoutView="120" workbookViewId="0">
      <selection activeCell="E14" sqref="E14"/>
    </sheetView>
  </sheetViews>
  <sheetFormatPr defaultColWidth="9.125" defaultRowHeight="18.75" x14ac:dyDescent="0.3"/>
  <cols>
    <col min="1" max="2" width="4.75" style="41" customWidth="1"/>
    <col min="3" max="15" width="5.125" style="41" customWidth="1"/>
    <col min="16" max="17" width="5.625" style="41" customWidth="1"/>
    <col min="18" max="16384" width="9.125" style="41"/>
  </cols>
  <sheetData>
    <row r="1" spans="1:22" ht="21" x14ac:dyDescent="0.35">
      <c r="P1" s="40"/>
    </row>
    <row r="2" spans="1:22" x14ac:dyDescent="0.3">
      <c r="M2" s="62"/>
      <c r="P2" s="63"/>
    </row>
    <row r="3" spans="1:22" x14ac:dyDescent="0.3">
      <c r="M3" s="62"/>
      <c r="P3" s="63"/>
    </row>
    <row r="4" spans="1:22" ht="19.5" customHeight="1" x14ac:dyDescent="0.3"/>
    <row r="5" spans="1:22" ht="26.25" x14ac:dyDescent="0.4">
      <c r="A5" s="409" t="s">
        <v>0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V5" s="62"/>
    </row>
    <row r="6" spans="1:22" ht="21" x14ac:dyDescent="0.35">
      <c r="A6" s="386" t="s">
        <v>165</v>
      </c>
      <c r="B6" s="386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</row>
    <row r="7" spans="1:22" ht="21" x14ac:dyDescent="0.35">
      <c r="A7" s="386" t="s">
        <v>166</v>
      </c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</row>
    <row r="8" spans="1:22" ht="21" x14ac:dyDescent="0.35">
      <c r="A8" s="386" t="s">
        <v>1</v>
      </c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</row>
    <row r="9" spans="1:22" ht="23.25" customHeight="1" x14ac:dyDescent="0.35">
      <c r="A9" s="64"/>
      <c r="B9" s="64"/>
      <c r="C9" s="64" t="s">
        <v>214</v>
      </c>
      <c r="D9" s="64"/>
      <c r="E9" s="64"/>
      <c r="F9" s="64"/>
      <c r="G9" s="40">
        <v>1</v>
      </c>
      <c r="H9" s="64"/>
      <c r="I9" s="64"/>
      <c r="J9" s="64"/>
      <c r="K9" s="64"/>
      <c r="L9" s="64"/>
      <c r="M9" s="64" t="s">
        <v>170</v>
      </c>
      <c r="N9" s="64"/>
      <c r="O9" s="64">
        <v>2569</v>
      </c>
      <c r="P9" s="64"/>
      <c r="Q9" s="64"/>
    </row>
    <row r="10" spans="1:22" ht="21" x14ac:dyDescent="0.35">
      <c r="B10" s="64"/>
      <c r="C10" s="64" t="s">
        <v>158</v>
      </c>
      <c r="D10" s="64"/>
      <c r="E10" s="377" t="s">
        <v>232</v>
      </c>
      <c r="F10" s="34"/>
      <c r="G10" s="34"/>
      <c r="H10" s="34"/>
      <c r="I10" s="65"/>
      <c r="J10" s="64" t="s">
        <v>123</v>
      </c>
      <c r="K10" s="65"/>
      <c r="L10" s="378" t="s">
        <v>233</v>
      </c>
      <c r="M10" s="64"/>
      <c r="N10" s="64"/>
    </row>
    <row r="11" spans="1:22" ht="21" x14ac:dyDescent="0.35">
      <c r="C11" s="64" t="s">
        <v>23</v>
      </c>
      <c r="E11" s="379">
        <v>5</v>
      </c>
      <c r="F11" s="64" t="s">
        <v>24</v>
      </c>
      <c r="G11" s="65"/>
      <c r="H11" s="65"/>
      <c r="I11" s="65"/>
      <c r="J11" s="64" t="s">
        <v>25</v>
      </c>
      <c r="K11" s="65"/>
      <c r="L11" s="65"/>
      <c r="M11" s="65"/>
      <c r="N11" s="380">
        <f>E11/2</f>
        <v>2.5</v>
      </c>
      <c r="O11" s="9" t="s">
        <v>26</v>
      </c>
    </row>
    <row r="12" spans="1:22" ht="21" x14ac:dyDescent="0.35">
      <c r="C12" s="64" t="s">
        <v>21</v>
      </c>
      <c r="E12" s="385" t="s">
        <v>248</v>
      </c>
      <c r="F12" s="385"/>
      <c r="G12" s="385"/>
      <c r="H12" s="385"/>
      <c r="I12" s="385"/>
      <c r="J12" s="385"/>
      <c r="K12" s="65"/>
      <c r="L12" s="65"/>
      <c r="M12" s="65"/>
    </row>
    <row r="13" spans="1:22" ht="21" x14ac:dyDescent="0.35">
      <c r="C13" s="64" t="s">
        <v>22</v>
      </c>
      <c r="E13" s="64" t="s">
        <v>248</v>
      </c>
      <c r="G13" s="65"/>
      <c r="H13" s="65"/>
      <c r="I13" s="65"/>
      <c r="J13" s="65"/>
      <c r="K13" s="65"/>
      <c r="L13" s="65"/>
      <c r="M13" s="65"/>
    </row>
    <row r="14" spans="1:22" ht="21.75" thickBot="1" x14ac:dyDescent="0.4">
      <c r="C14" s="64" t="s">
        <v>22</v>
      </c>
      <c r="E14" s="66"/>
      <c r="G14" s="65"/>
      <c r="H14" s="65"/>
      <c r="I14" s="65"/>
      <c r="J14" s="65"/>
      <c r="K14" s="65"/>
      <c r="L14" s="65"/>
      <c r="M14" s="65"/>
    </row>
    <row r="15" spans="1:22" ht="21" x14ac:dyDescent="0.3">
      <c r="A15" s="410" t="s">
        <v>9</v>
      </c>
      <c r="B15" s="411"/>
      <c r="C15" s="416" t="s">
        <v>2</v>
      </c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7"/>
      <c r="O15" s="417"/>
      <c r="P15" s="417"/>
      <c r="Q15" s="418"/>
    </row>
    <row r="16" spans="1:22" x14ac:dyDescent="0.3">
      <c r="A16" s="412"/>
      <c r="B16" s="413"/>
      <c r="C16" s="419" t="s">
        <v>3</v>
      </c>
      <c r="D16" s="420"/>
      <c r="E16" s="420"/>
      <c r="F16" s="420"/>
      <c r="G16" s="420"/>
      <c r="H16" s="420"/>
      <c r="I16" s="420"/>
      <c r="J16" s="421"/>
      <c r="K16" s="422" t="s">
        <v>126</v>
      </c>
      <c r="L16" s="422"/>
      <c r="M16" s="422"/>
      <c r="N16" s="423" t="s">
        <v>127</v>
      </c>
      <c r="O16" s="424"/>
      <c r="P16" s="425" t="s">
        <v>4</v>
      </c>
      <c r="Q16" s="426"/>
    </row>
    <row r="17" spans="1:17" x14ac:dyDescent="0.3">
      <c r="A17" s="414"/>
      <c r="B17" s="415"/>
      <c r="C17" s="63">
        <v>4</v>
      </c>
      <c r="D17" s="67">
        <v>3.5</v>
      </c>
      <c r="E17" s="67">
        <v>3</v>
      </c>
      <c r="F17" s="67">
        <v>2.5</v>
      </c>
      <c r="G17" s="67">
        <v>2</v>
      </c>
      <c r="H17" s="67">
        <v>1.5</v>
      </c>
      <c r="I17" s="67">
        <v>1</v>
      </c>
      <c r="J17" s="67">
        <v>0</v>
      </c>
      <c r="K17" s="67" t="s">
        <v>5</v>
      </c>
      <c r="L17" s="67" t="s">
        <v>175</v>
      </c>
      <c r="M17" s="67" t="s">
        <v>6</v>
      </c>
      <c r="N17" s="427" t="s">
        <v>7</v>
      </c>
      <c r="O17" s="428"/>
      <c r="P17" s="429" t="s">
        <v>8</v>
      </c>
      <c r="Q17" s="430"/>
    </row>
    <row r="18" spans="1:17" ht="19.5" thickBot="1" x14ac:dyDescent="0.35">
      <c r="A18" s="388">
        <f>SUM(C18:M18)</f>
        <v>9</v>
      </c>
      <c r="B18" s="389"/>
      <c r="C18" s="68">
        <f>COUNTIF('สรุปผลรวม (10)'!$R$8:$R$42,'ปก (1)'!C17)</f>
        <v>0</v>
      </c>
      <c r="D18" s="68">
        <f>COUNTIF('สรุปผลรวม (10)'!$R$8:$R$42,'ปก (1)'!D17)</f>
        <v>0</v>
      </c>
      <c r="E18" s="68">
        <f>COUNTIF('สรุปผลรวม (10)'!$R$8:$R$42,'ปก (1)'!E17)</f>
        <v>0</v>
      </c>
      <c r="F18" s="68">
        <f>COUNTIF('สรุปผลรวม (10)'!$R$8:$R$42,'ปก (1)'!F17)</f>
        <v>0</v>
      </c>
      <c r="G18" s="68">
        <f>COUNTIF('สรุปผลรวม (10)'!$R$8:$R$42,'ปก (1)'!G17)</f>
        <v>0</v>
      </c>
      <c r="H18" s="68">
        <f>COUNTIF('สรุปผลรวม (10)'!$R$8:$R$42,'ปก (1)'!H17)</f>
        <v>0</v>
      </c>
      <c r="I18" s="68">
        <f>COUNTIF('สรุปผลรวม (10)'!$R$8:$R$42,'ปก (1)'!I17)</f>
        <v>0</v>
      </c>
      <c r="J18" s="68">
        <f>COUNTIF('สรุปผลรวม (10)'!$R$8:$R$42,'ปก (1)'!J17)</f>
        <v>9</v>
      </c>
      <c r="K18" s="68">
        <f>COUNTIF('สรุปผลรวม (10)'!$R$8:$R$42,'ปก (1)'!K17)</f>
        <v>0</v>
      </c>
      <c r="L18" s="68">
        <f>COUNTIF('สรุปผลรวม (10)'!$R$8:$R$42,'ปก (1)'!L17)</f>
        <v>0</v>
      </c>
      <c r="M18" s="68">
        <f>COUNTIF('สรุปผลรวม (10)'!$R$8:$R$42,'ปก (1)'!M17)</f>
        <v>0</v>
      </c>
      <c r="N18" s="396">
        <f>AVERAGE('สรุปผลรวม (10)'!R8:R42)</f>
        <v>0</v>
      </c>
      <c r="O18" s="397"/>
      <c r="P18" s="398">
        <f>STDEV('สรุปผลรวม (10)'!R8:R42)</f>
        <v>0</v>
      </c>
      <c r="Q18" s="399"/>
    </row>
    <row r="19" spans="1:17" ht="12" customHeight="1" thickBot="1" x14ac:dyDescent="0.35"/>
    <row r="20" spans="1:17" ht="27.75" customHeight="1" x14ac:dyDescent="0.3">
      <c r="A20" s="390" t="s">
        <v>9</v>
      </c>
      <c r="B20" s="391"/>
      <c r="C20" s="392"/>
      <c r="D20" s="400" t="s">
        <v>10</v>
      </c>
      <c r="E20" s="401"/>
      <c r="F20" s="401"/>
      <c r="G20" s="402"/>
      <c r="H20" s="403" t="s">
        <v>11</v>
      </c>
      <c r="I20" s="404"/>
      <c r="J20" s="404"/>
      <c r="K20" s="405"/>
      <c r="L20" s="406" t="s">
        <v>213</v>
      </c>
      <c r="M20" s="407"/>
      <c r="N20" s="407"/>
      <c r="O20" s="408"/>
      <c r="P20" s="316"/>
      <c r="Q20" s="316"/>
    </row>
    <row r="21" spans="1:17" x14ac:dyDescent="0.3">
      <c r="A21" s="393"/>
      <c r="B21" s="394"/>
      <c r="C21" s="395"/>
      <c r="D21" s="310">
        <v>3</v>
      </c>
      <c r="E21" s="299">
        <v>2</v>
      </c>
      <c r="F21" s="301">
        <v>1</v>
      </c>
      <c r="G21" s="69">
        <v>0</v>
      </c>
      <c r="H21" s="300">
        <v>3</v>
      </c>
      <c r="I21" s="301">
        <v>2</v>
      </c>
      <c r="J21" s="301">
        <v>1</v>
      </c>
      <c r="K21" s="69">
        <v>0</v>
      </c>
      <c r="L21" s="311">
        <v>3</v>
      </c>
      <c r="M21" s="301">
        <v>2</v>
      </c>
      <c r="N21" s="312">
        <v>1</v>
      </c>
      <c r="O21" s="69">
        <v>0</v>
      </c>
      <c r="P21" s="63"/>
      <c r="Q21" s="63"/>
    </row>
    <row r="22" spans="1:17" ht="19.5" thickBot="1" x14ac:dyDescent="0.35">
      <c r="A22" s="388">
        <f>A18</f>
        <v>9</v>
      </c>
      <c r="B22" s="389"/>
      <c r="C22" s="389"/>
      <c r="D22" s="313">
        <f>COUNTIF('คุณลักษณะ -อ่าน -สมรรถนะ(11)'!$K$5:$K$22,'ปก (1)'!D21)</f>
        <v>0</v>
      </c>
      <c r="E22" s="68">
        <f>COUNTIF('คุณลักษณะ -อ่าน -สมรรถนะ(11)'!$K$5:$K$22,'ปก (1)'!E21)</f>
        <v>0</v>
      </c>
      <c r="F22" s="68">
        <f>COUNTIF('คุณลักษณะ -อ่าน -สมรรถนะ(11)'!$K$5:$K$22,'ปก (1)'!F21)</f>
        <v>0</v>
      </c>
      <c r="G22" s="314">
        <f>COUNTIF('คุณลักษณะ -อ่าน -สมรรถนะ(11)'!$K$5:$K$22,'ปก (1)'!G21)</f>
        <v>9</v>
      </c>
      <c r="H22" s="315">
        <f>COUNTIF('คุณลักษณะ -อ่าน -สมรรถนะ(11)'!$R$5:$R$22,'ปก (1)'!H21)</f>
        <v>0</v>
      </c>
      <c r="I22" s="68">
        <f>COUNTIF('คุณลักษณะ -อ่าน -สมรรถนะ(11)'!$R$5:$R$22,'ปก (1)'!I21)</f>
        <v>0</v>
      </c>
      <c r="J22" s="68">
        <f>COUNTIF('คุณลักษณะ -อ่าน -สมรรถนะ(11)'!$R$5:$R$22,'ปก (1)'!J21)</f>
        <v>0</v>
      </c>
      <c r="K22" s="314">
        <f>COUNTIF('คุณลักษณะ -อ่าน -สมรรถนะ(11)'!$R$5:$R$22,'ปก (1)'!K21)</f>
        <v>9</v>
      </c>
      <c r="L22" s="315">
        <f>COUNTIF('คุณลักษณะ -อ่าน -สมรรถนะ(11)'!$Y$5:$Y$22,'ปก (1)'!L21)</f>
        <v>0</v>
      </c>
      <c r="M22" s="68">
        <f>COUNTIF('คุณลักษณะ -อ่าน -สมรรถนะ(11)'!$Y$5:$Y$22,'ปก (1)'!M21)</f>
        <v>0</v>
      </c>
      <c r="N22" s="68">
        <f>COUNTIF('คุณลักษณะ -อ่าน -สมรรถนะ(11)'!$Y$5:$Y$22,'ปก (1)'!N21)</f>
        <v>0</v>
      </c>
      <c r="O22" s="314">
        <f>COUNTIF('คุณลักษณะ -อ่าน -สมรรถนะ(11)'!$Y$5:$Y$22,'ปก (1)'!O21)</f>
        <v>9</v>
      </c>
      <c r="P22" s="35"/>
      <c r="Q22" s="35"/>
    </row>
    <row r="23" spans="1:17" ht="9.75" customHeight="1" x14ac:dyDescent="0.35">
      <c r="A23" s="70"/>
      <c r="B23" s="70"/>
      <c r="C23" s="70"/>
      <c r="D23" s="35"/>
      <c r="E23" s="35"/>
      <c r="F23" s="35"/>
      <c r="G23" s="35"/>
      <c r="H23" s="35"/>
      <c r="I23" s="35"/>
      <c r="J23" s="35"/>
      <c r="K23" s="35"/>
      <c r="L23" s="65"/>
      <c r="M23" s="65"/>
      <c r="N23" s="35"/>
      <c r="O23" s="35"/>
      <c r="P23" s="35"/>
    </row>
    <row r="24" spans="1:17" s="65" customFormat="1" ht="21" customHeight="1" x14ac:dyDescent="0.35">
      <c r="A24" s="387" t="s">
        <v>12</v>
      </c>
      <c r="B24" s="387"/>
      <c r="C24" s="387"/>
      <c r="D24" s="387"/>
      <c r="E24" s="66"/>
    </row>
    <row r="25" spans="1:17" s="65" customFormat="1" ht="38.1" customHeight="1" x14ac:dyDescent="0.35">
      <c r="A25" s="65" t="s">
        <v>13</v>
      </c>
      <c r="I25" s="65" t="s">
        <v>14</v>
      </c>
    </row>
    <row r="26" spans="1:17" s="65" customFormat="1" ht="21" customHeight="1" x14ac:dyDescent="0.35"/>
    <row r="27" spans="1:17" s="65" customFormat="1" ht="21" customHeight="1" x14ac:dyDescent="0.35">
      <c r="F27" s="65" t="s">
        <v>15</v>
      </c>
    </row>
    <row r="28" spans="1:17" s="65" customFormat="1" ht="21" customHeight="1" x14ac:dyDescent="0.35"/>
    <row r="29" spans="1:17" s="65" customFormat="1" ht="21" customHeight="1" x14ac:dyDescent="0.35">
      <c r="F29" s="65" t="s">
        <v>159</v>
      </c>
    </row>
    <row r="30" spans="1:17" s="65" customFormat="1" ht="21" customHeight="1" x14ac:dyDescent="0.35">
      <c r="A30" s="386" t="s">
        <v>16</v>
      </c>
      <c r="B30" s="386"/>
      <c r="C30" s="386"/>
      <c r="D30" s="386"/>
      <c r="E30" s="386"/>
    </row>
    <row r="31" spans="1:17" s="65" customFormat="1" ht="9.75" customHeight="1" x14ac:dyDescent="0.35">
      <c r="A31" s="40"/>
      <c r="B31" s="40"/>
      <c r="C31" s="40"/>
      <c r="D31" s="40"/>
      <c r="E31" s="40"/>
      <c r="M31" s="72"/>
    </row>
    <row r="32" spans="1:17" s="65" customFormat="1" ht="21" customHeight="1" x14ac:dyDescent="0.35">
      <c r="D32" s="71"/>
      <c r="F32" s="71" t="s">
        <v>17</v>
      </c>
      <c r="G32" s="72"/>
      <c r="H32" s="72"/>
      <c r="I32" s="72"/>
      <c r="J32" s="72"/>
      <c r="K32" s="71" t="s">
        <v>160</v>
      </c>
      <c r="L32" s="72"/>
      <c r="M32" s="72"/>
      <c r="N32" s="72"/>
    </row>
    <row r="33" spans="4:14" s="65" customFormat="1" ht="21" customHeight="1" x14ac:dyDescent="0.35">
      <c r="G33" s="72"/>
      <c r="H33" s="72"/>
      <c r="I33" s="72"/>
      <c r="J33" s="72"/>
      <c r="K33" s="72"/>
      <c r="L33" s="72"/>
      <c r="M33" s="72"/>
      <c r="N33" s="72"/>
    </row>
    <row r="34" spans="4:14" s="65" customFormat="1" ht="21" customHeight="1" x14ac:dyDescent="0.35">
      <c r="E34" s="75" t="s">
        <v>163</v>
      </c>
      <c r="F34" s="65" t="s">
        <v>164</v>
      </c>
      <c r="G34" s="72"/>
      <c r="H34" s="72"/>
      <c r="I34" s="75" t="s">
        <v>163</v>
      </c>
      <c r="J34" s="71" t="s">
        <v>18</v>
      </c>
      <c r="K34" s="72"/>
      <c r="L34" s="72"/>
      <c r="M34" s="72"/>
      <c r="N34" s="72"/>
    </row>
    <row r="35" spans="4:14" s="65" customFormat="1" ht="21" customHeight="1" x14ac:dyDescent="0.35">
      <c r="L35" s="72"/>
      <c r="M35" s="72"/>
      <c r="N35" s="72"/>
    </row>
    <row r="36" spans="4:14" s="65" customFormat="1" ht="21" customHeight="1" x14ac:dyDescent="0.35">
      <c r="D36" s="71"/>
      <c r="F36" s="71" t="s">
        <v>17</v>
      </c>
      <c r="G36" s="72"/>
      <c r="H36" s="72"/>
      <c r="I36" s="72"/>
      <c r="J36" s="72"/>
      <c r="K36" s="72"/>
      <c r="L36" s="72"/>
      <c r="M36" s="72"/>
      <c r="N36" s="72"/>
    </row>
    <row r="37" spans="4:14" s="65" customFormat="1" ht="21" customHeight="1" x14ac:dyDescent="0.35">
      <c r="E37" s="384" t="s">
        <v>169</v>
      </c>
      <c r="F37" s="384"/>
      <c r="G37" s="384"/>
      <c r="H37" s="384"/>
      <c r="I37" s="384"/>
      <c r="J37" s="384"/>
      <c r="K37" s="384"/>
      <c r="L37" s="72"/>
      <c r="M37" s="72"/>
      <c r="N37" s="72"/>
    </row>
    <row r="38" spans="4:14" s="65" customFormat="1" ht="21" customHeight="1" x14ac:dyDescent="0.35">
      <c r="E38" s="384" t="s">
        <v>19</v>
      </c>
      <c r="F38" s="384"/>
      <c r="G38" s="384"/>
      <c r="H38" s="384"/>
      <c r="I38" s="384"/>
      <c r="J38" s="384"/>
      <c r="K38" s="384"/>
      <c r="L38" s="41"/>
      <c r="M38" s="41"/>
      <c r="N38" s="72"/>
    </row>
  </sheetData>
  <mergeCells count="25">
    <mergeCell ref="A5:Q5"/>
    <mergeCell ref="A6:Q6"/>
    <mergeCell ref="A7:Q7"/>
    <mergeCell ref="A8:Q8"/>
    <mergeCell ref="A15:B17"/>
    <mergeCell ref="C15:Q15"/>
    <mergeCell ref="C16:J16"/>
    <mergeCell ref="K16:M16"/>
    <mergeCell ref="N16:O16"/>
    <mergeCell ref="P16:Q16"/>
    <mergeCell ref="N17:O17"/>
    <mergeCell ref="P17:Q17"/>
    <mergeCell ref="N18:O18"/>
    <mergeCell ref="P18:Q18"/>
    <mergeCell ref="D20:G20"/>
    <mergeCell ref="H20:K20"/>
    <mergeCell ref="L20:O20"/>
    <mergeCell ref="E37:K37"/>
    <mergeCell ref="E38:K38"/>
    <mergeCell ref="E12:J12"/>
    <mergeCell ref="A30:E30"/>
    <mergeCell ref="A24:D24"/>
    <mergeCell ref="A22:C22"/>
    <mergeCell ref="A20:C21"/>
    <mergeCell ref="A18:B18"/>
  </mergeCells>
  <pageMargins left="0.62992125984251968" right="3.937007874015748E-2" top="0.15748031496062992" bottom="0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P40"/>
  <sheetViews>
    <sheetView view="pageBreakPreview" zoomScale="140" zoomScaleNormal="150" zoomScaleSheetLayoutView="140" workbookViewId="0">
      <selection activeCell="C17" sqref="C17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69" max="16384" width="9.125" style="1"/>
  </cols>
  <sheetData>
    <row r="1" spans="1:55" ht="18" customHeight="1" thickBot="1" x14ac:dyDescent="0.35">
      <c r="A1" s="53"/>
      <c r="BB1" s="448">
        <v>2</v>
      </c>
      <c r="BC1" s="448"/>
    </row>
    <row r="2" spans="1:55" ht="18" customHeight="1" thickBot="1" x14ac:dyDescent="0.35">
      <c r="A2" s="431" t="s">
        <v>27</v>
      </c>
      <c r="B2" s="434" t="s">
        <v>28</v>
      </c>
      <c r="C2" s="436" t="s">
        <v>29</v>
      </c>
      <c r="D2" s="439" t="s">
        <v>30</v>
      </c>
      <c r="E2" s="440"/>
      <c r="F2" s="441"/>
      <c r="G2" s="452" t="s">
        <v>176</v>
      </c>
      <c r="H2" s="453"/>
      <c r="I2" s="453"/>
      <c r="J2" s="453"/>
      <c r="K2" s="453"/>
      <c r="L2" s="453"/>
      <c r="M2" s="454"/>
      <c r="N2" s="452" t="s">
        <v>176</v>
      </c>
      <c r="O2" s="453"/>
      <c r="P2" s="453"/>
      <c r="Q2" s="453"/>
      <c r="R2" s="453"/>
      <c r="S2" s="453"/>
      <c r="T2" s="454"/>
      <c r="U2" s="452" t="s">
        <v>187</v>
      </c>
      <c r="V2" s="453"/>
      <c r="W2" s="453"/>
      <c r="X2" s="453"/>
      <c r="Y2" s="453"/>
      <c r="Z2" s="453"/>
      <c r="AA2" s="454"/>
      <c r="AB2" s="452" t="s">
        <v>171</v>
      </c>
      <c r="AC2" s="453"/>
      <c r="AD2" s="453"/>
      <c r="AE2" s="453"/>
      <c r="AF2" s="453"/>
      <c r="AG2" s="453"/>
      <c r="AH2" s="454"/>
      <c r="AI2" s="452" t="s">
        <v>171</v>
      </c>
      <c r="AJ2" s="453"/>
      <c r="AK2" s="453"/>
      <c r="AL2" s="453"/>
      <c r="AM2" s="453"/>
      <c r="AN2" s="453"/>
      <c r="AO2" s="454"/>
      <c r="AP2" s="452" t="s">
        <v>171</v>
      </c>
      <c r="AQ2" s="453"/>
      <c r="AR2" s="453"/>
      <c r="AS2" s="453"/>
      <c r="AT2" s="453"/>
      <c r="AU2" s="453"/>
      <c r="AV2" s="454"/>
      <c r="AW2" s="452" t="s">
        <v>188</v>
      </c>
      <c r="AX2" s="453"/>
      <c r="AY2" s="453"/>
      <c r="AZ2" s="453"/>
      <c r="BA2" s="453"/>
      <c r="BB2" s="453"/>
      <c r="BC2" s="454"/>
    </row>
    <row r="3" spans="1:55" ht="18" customHeight="1" thickBot="1" x14ac:dyDescent="0.35">
      <c r="A3" s="432"/>
      <c r="B3" s="435"/>
      <c r="C3" s="437"/>
      <c r="D3" s="442" t="s">
        <v>31</v>
      </c>
      <c r="E3" s="443"/>
      <c r="F3" s="444"/>
      <c r="G3" s="449">
        <v>1</v>
      </c>
      <c r="H3" s="450"/>
      <c r="I3" s="450"/>
      <c r="J3" s="450"/>
      <c r="K3" s="450"/>
      <c r="L3" s="450"/>
      <c r="M3" s="451"/>
      <c r="N3" s="449">
        <v>2</v>
      </c>
      <c r="O3" s="450"/>
      <c r="P3" s="450"/>
      <c r="Q3" s="450"/>
      <c r="R3" s="450"/>
      <c r="S3" s="450"/>
      <c r="T3" s="451"/>
      <c r="U3" s="449">
        <v>3</v>
      </c>
      <c r="V3" s="450"/>
      <c r="W3" s="450"/>
      <c r="X3" s="450"/>
      <c r="Y3" s="450"/>
      <c r="Z3" s="450"/>
      <c r="AA3" s="451"/>
      <c r="AB3" s="449">
        <v>4</v>
      </c>
      <c r="AC3" s="450"/>
      <c r="AD3" s="450"/>
      <c r="AE3" s="450"/>
      <c r="AF3" s="450"/>
      <c r="AG3" s="450"/>
      <c r="AH3" s="451"/>
      <c r="AI3" s="449">
        <v>5</v>
      </c>
      <c r="AJ3" s="450"/>
      <c r="AK3" s="450"/>
      <c r="AL3" s="450"/>
      <c r="AM3" s="450"/>
      <c r="AN3" s="450"/>
      <c r="AO3" s="451"/>
      <c r="AP3" s="449">
        <v>6</v>
      </c>
      <c r="AQ3" s="450"/>
      <c r="AR3" s="450"/>
      <c r="AS3" s="450"/>
      <c r="AT3" s="450"/>
      <c r="AU3" s="450"/>
      <c r="AV3" s="451"/>
      <c r="AW3" s="449">
        <v>7</v>
      </c>
      <c r="AX3" s="450"/>
      <c r="AY3" s="450"/>
      <c r="AZ3" s="450"/>
      <c r="BA3" s="450"/>
      <c r="BB3" s="450"/>
      <c r="BC3" s="451"/>
    </row>
    <row r="4" spans="1:55" ht="18" customHeight="1" x14ac:dyDescent="0.3">
      <c r="A4" s="432"/>
      <c r="B4" s="435"/>
      <c r="C4" s="437"/>
      <c r="D4" s="442" t="s">
        <v>32</v>
      </c>
      <c r="E4" s="443"/>
      <c r="F4" s="444"/>
      <c r="G4" s="157">
        <v>17</v>
      </c>
      <c r="H4" s="10">
        <v>18</v>
      </c>
      <c r="I4" s="10">
        <v>19</v>
      </c>
      <c r="J4" s="10">
        <v>20</v>
      </c>
      <c r="K4" s="10">
        <v>21</v>
      </c>
      <c r="L4" s="10">
        <v>22</v>
      </c>
      <c r="M4" s="162">
        <v>23</v>
      </c>
      <c r="N4" s="157">
        <v>24</v>
      </c>
      <c r="O4" s="155">
        <v>25</v>
      </c>
      <c r="P4" s="155">
        <v>26</v>
      </c>
      <c r="Q4" s="155">
        <v>27</v>
      </c>
      <c r="R4" s="155">
        <v>28</v>
      </c>
      <c r="S4" s="155">
        <v>29</v>
      </c>
      <c r="T4" s="162">
        <v>30</v>
      </c>
      <c r="U4" s="157">
        <v>31</v>
      </c>
      <c r="V4" s="155">
        <v>1</v>
      </c>
      <c r="W4" s="155">
        <v>2</v>
      </c>
      <c r="X4" s="10">
        <v>3</v>
      </c>
      <c r="Y4" s="10">
        <v>4</v>
      </c>
      <c r="Z4" s="10">
        <v>5</v>
      </c>
      <c r="AA4" s="162">
        <v>6</v>
      </c>
      <c r="AB4" s="157">
        <v>7</v>
      </c>
      <c r="AC4" s="155">
        <v>8</v>
      </c>
      <c r="AD4" s="155">
        <v>9</v>
      </c>
      <c r="AE4" s="10">
        <v>10</v>
      </c>
      <c r="AF4" s="10">
        <v>11</v>
      </c>
      <c r="AG4" s="10">
        <v>12</v>
      </c>
      <c r="AH4" s="162">
        <v>13</v>
      </c>
      <c r="AI4" s="157">
        <v>14</v>
      </c>
      <c r="AJ4" s="155">
        <v>15</v>
      </c>
      <c r="AK4" s="155">
        <v>16</v>
      </c>
      <c r="AL4" s="10">
        <v>17</v>
      </c>
      <c r="AM4" s="10">
        <v>18</v>
      </c>
      <c r="AN4" s="10">
        <v>19</v>
      </c>
      <c r="AO4" s="174">
        <v>20</v>
      </c>
      <c r="AP4" s="157">
        <v>21</v>
      </c>
      <c r="AQ4" s="155">
        <v>22</v>
      </c>
      <c r="AR4" s="155">
        <v>23</v>
      </c>
      <c r="AS4" s="10">
        <v>24</v>
      </c>
      <c r="AT4" s="10">
        <v>25</v>
      </c>
      <c r="AU4" s="10">
        <v>26</v>
      </c>
      <c r="AV4" s="162">
        <v>27</v>
      </c>
      <c r="AW4" s="157">
        <v>28</v>
      </c>
      <c r="AX4" s="155">
        <v>29</v>
      </c>
      <c r="AY4" s="155">
        <v>30</v>
      </c>
      <c r="AZ4" s="10">
        <v>1</v>
      </c>
      <c r="BA4" s="123">
        <v>2</v>
      </c>
      <c r="BB4" s="10">
        <v>3</v>
      </c>
      <c r="BC4" s="228">
        <v>4</v>
      </c>
    </row>
    <row r="5" spans="1:55" ht="18" customHeight="1" thickBot="1" x14ac:dyDescent="0.35">
      <c r="A5" s="433"/>
      <c r="B5" s="435"/>
      <c r="C5" s="438"/>
      <c r="D5" s="445" t="s">
        <v>33</v>
      </c>
      <c r="E5" s="446"/>
      <c r="F5" s="447"/>
      <c r="G5" s="246"/>
      <c r="H5" s="247"/>
      <c r="I5" s="247"/>
      <c r="J5" s="247"/>
      <c r="K5" s="247"/>
      <c r="L5" s="247"/>
      <c r="M5" s="248"/>
      <c r="N5" s="249"/>
      <c r="O5" s="250"/>
      <c r="P5" s="250"/>
      <c r="Q5" s="251"/>
      <c r="R5" s="251"/>
      <c r="S5" s="251"/>
      <c r="T5" s="252"/>
      <c r="U5" s="253"/>
      <c r="V5" s="250"/>
      <c r="W5" s="250"/>
      <c r="X5" s="251"/>
      <c r="Y5" s="251"/>
      <c r="Z5" s="251"/>
      <c r="AA5" s="254"/>
      <c r="AB5" s="249"/>
      <c r="AC5" s="250"/>
      <c r="AD5" s="250"/>
      <c r="AE5" s="251"/>
      <c r="AF5" s="251"/>
      <c r="AG5" s="251"/>
      <c r="AH5" s="252"/>
      <c r="AI5" s="253"/>
      <c r="AJ5" s="250"/>
      <c r="AK5" s="250"/>
      <c r="AL5" s="251"/>
      <c r="AM5" s="251"/>
      <c r="AN5" s="251"/>
      <c r="AO5" s="254"/>
      <c r="AP5" s="249"/>
      <c r="AQ5" s="250"/>
      <c r="AR5" s="250"/>
      <c r="AS5" s="251"/>
      <c r="AT5" s="251"/>
      <c r="AU5" s="251"/>
      <c r="AV5" s="252"/>
      <c r="AW5" s="253"/>
      <c r="AX5" s="250"/>
      <c r="AY5" s="250"/>
      <c r="AZ5" s="251"/>
      <c r="BA5" s="255"/>
      <c r="BB5" s="251"/>
      <c r="BC5" s="252"/>
    </row>
    <row r="6" spans="1:55" ht="18" customHeight="1" x14ac:dyDescent="0.3">
      <c r="A6" s="373">
        <v>1</v>
      </c>
      <c r="B6" s="375">
        <v>4997</v>
      </c>
      <c r="C6" s="149" t="s">
        <v>239</v>
      </c>
      <c r="D6" s="55"/>
      <c r="E6" s="55"/>
      <c r="F6" s="56"/>
      <c r="G6" s="158"/>
      <c r="H6" s="11"/>
      <c r="I6" s="11"/>
      <c r="J6" s="11"/>
      <c r="K6" s="11"/>
      <c r="L6" s="127"/>
      <c r="M6" s="163"/>
      <c r="N6" s="164"/>
      <c r="O6" s="351"/>
      <c r="P6" s="351"/>
      <c r="Q6" s="351"/>
      <c r="R6" s="351"/>
      <c r="S6" s="351"/>
      <c r="T6" s="367"/>
      <c r="U6" s="353"/>
      <c r="V6" s="351"/>
      <c r="W6" s="351"/>
      <c r="X6" s="351"/>
      <c r="Y6" s="351"/>
      <c r="Z6" s="351"/>
      <c r="AA6" s="352"/>
      <c r="AB6" s="368"/>
      <c r="AC6" s="351"/>
      <c r="AD6" s="351"/>
      <c r="AE6" s="351"/>
      <c r="AF6" s="351"/>
      <c r="AG6" s="351"/>
      <c r="AH6" s="367"/>
      <c r="AI6" s="353"/>
      <c r="AJ6" s="351"/>
      <c r="AK6" s="351"/>
      <c r="AL6" s="351"/>
      <c r="AM6" s="351"/>
      <c r="AN6" s="351"/>
      <c r="AO6" s="367"/>
      <c r="AP6" s="353"/>
      <c r="AQ6" s="351"/>
      <c r="AR6" s="351"/>
      <c r="AS6" s="351"/>
      <c r="AT6" s="351"/>
      <c r="AU6" s="351"/>
      <c r="AV6" s="352"/>
      <c r="AW6" s="353"/>
      <c r="AX6" s="351"/>
      <c r="AY6" s="351"/>
      <c r="AZ6" s="351"/>
      <c r="BA6" s="351"/>
      <c r="BB6" s="351"/>
      <c r="BC6" s="352"/>
    </row>
    <row r="7" spans="1:55" ht="18" customHeight="1" x14ac:dyDescent="0.3">
      <c r="A7" s="374">
        <v>2</v>
      </c>
      <c r="B7" s="375">
        <v>4998</v>
      </c>
      <c r="C7" s="149" t="s">
        <v>240</v>
      </c>
      <c r="D7" s="57"/>
      <c r="E7" s="57"/>
      <c r="F7" s="58"/>
      <c r="G7" s="159"/>
      <c r="H7" s="12"/>
      <c r="I7" s="12"/>
      <c r="J7" s="12"/>
      <c r="K7" s="12"/>
      <c r="L7" s="27"/>
      <c r="M7" s="165"/>
      <c r="N7" s="166"/>
      <c r="O7" s="357"/>
      <c r="P7" s="357"/>
      <c r="Q7" s="357"/>
      <c r="R7" s="357"/>
      <c r="S7" s="357"/>
      <c r="T7" s="369"/>
      <c r="U7" s="359"/>
      <c r="V7" s="357"/>
      <c r="W7" s="357"/>
      <c r="X7" s="357"/>
      <c r="Y7" s="357"/>
      <c r="Z7" s="357"/>
      <c r="AA7" s="358"/>
      <c r="AB7" s="370"/>
      <c r="AC7" s="357"/>
      <c r="AD7" s="357"/>
      <c r="AE7" s="357"/>
      <c r="AF7" s="357"/>
      <c r="AG7" s="357"/>
      <c r="AH7" s="369"/>
      <c r="AI7" s="359"/>
      <c r="AJ7" s="357"/>
      <c r="AK7" s="357"/>
      <c r="AL7" s="357"/>
      <c r="AM7" s="357"/>
      <c r="AN7" s="357"/>
      <c r="AO7" s="369"/>
      <c r="AP7" s="359"/>
      <c r="AQ7" s="357"/>
      <c r="AR7" s="357"/>
      <c r="AS7" s="357"/>
      <c r="AT7" s="357"/>
      <c r="AU7" s="357"/>
      <c r="AV7" s="358"/>
      <c r="AW7" s="359"/>
      <c r="AX7" s="357"/>
      <c r="AY7" s="357"/>
      <c r="AZ7" s="357"/>
      <c r="BA7" s="357"/>
      <c r="BB7" s="357"/>
      <c r="BC7" s="358"/>
    </row>
    <row r="8" spans="1:55" ht="18" customHeight="1" x14ac:dyDescent="0.3">
      <c r="A8" s="374">
        <v>3</v>
      </c>
      <c r="B8" s="375">
        <v>4999</v>
      </c>
      <c r="C8" s="149" t="s">
        <v>241</v>
      </c>
      <c r="D8" s="57"/>
      <c r="E8" s="57"/>
      <c r="F8" s="58"/>
      <c r="G8" s="159"/>
      <c r="H8" s="12"/>
      <c r="I8" s="12"/>
      <c r="J8" s="12"/>
      <c r="K8" s="12"/>
      <c r="L8" s="27"/>
      <c r="M8" s="165"/>
      <c r="N8" s="166"/>
      <c r="O8" s="357"/>
      <c r="P8" s="357"/>
      <c r="Q8" s="357"/>
      <c r="R8" s="357"/>
      <c r="S8" s="357"/>
      <c r="T8" s="369"/>
      <c r="U8" s="359"/>
      <c r="V8" s="357"/>
      <c r="W8" s="357"/>
      <c r="X8" s="357"/>
      <c r="Y8" s="357"/>
      <c r="Z8" s="357"/>
      <c r="AA8" s="358"/>
      <c r="AB8" s="370"/>
      <c r="AC8" s="357"/>
      <c r="AD8" s="357"/>
      <c r="AE8" s="357"/>
      <c r="AF8" s="357"/>
      <c r="AG8" s="357"/>
      <c r="AH8" s="369"/>
      <c r="AI8" s="359"/>
      <c r="AJ8" s="357"/>
      <c r="AK8" s="357"/>
      <c r="AL8" s="357"/>
      <c r="AM8" s="357"/>
      <c r="AN8" s="357"/>
      <c r="AO8" s="369"/>
      <c r="AP8" s="359"/>
      <c r="AQ8" s="357"/>
      <c r="AR8" s="357"/>
      <c r="AS8" s="357"/>
      <c r="AT8" s="357"/>
      <c r="AU8" s="357"/>
      <c r="AV8" s="358"/>
      <c r="AW8" s="359"/>
      <c r="AX8" s="357"/>
      <c r="AY8" s="357"/>
      <c r="AZ8" s="357"/>
      <c r="BA8" s="357"/>
      <c r="BB8" s="357"/>
      <c r="BC8" s="358"/>
    </row>
    <row r="9" spans="1:55" ht="18" customHeight="1" x14ac:dyDescent="0.3">
      <c r="A9" s="374">
        <v>4</v>
      </c>
      <c r="B9" s="375">
        <v>5000</v>
      </c>
      <c r="C9" s="149" t="s">
        <v>242</v>
      </c>
      <c r="D9" s="57"/>
      <c r="E9" s="57"/>
      <c r="F9" s="58"/>
      <c r="G9" s="159"/>
      <c r="H9" s="12"/>
      <c r="I9" s="12"/>
      <c r="J9" s="12"/>
      <c r="K9" s="12"/>
      <c r="L9" s="27"/>
      <c r="M9" s="165"/>
      <c r="N9" s="166"/>
      <c r="O9" s="357"/>
      <c r="P9" s="357"/>
      <c r="Q9" s="357"/>
      <c r="R9" s="357"/>
      <c r="S9" s="357"/>
      <c r="T9" s="369"/>
      <c r="U9" s="359"/>
      <c r="V9" s="357"/>
      <c r="W9" s="357"/>
      <c r="X9" s="357"/>
      <c r="Y9" s="357"/>
      <c r="Z9" s="357"/>
      <c r="AA9" s="358"/>
      <c r="AB9" s="370"/>
      <c r="AC9" s="357"/>
      <c r="AD9" s="357"/>
      <c r="AE9" s="357"/>
      <c r="AF9" s="357"/>
      <c r="AG9" s="357"/>
      <c r="AH9" s="369"/>
      <c r="AI9" s="359"/>
      <c r="AJ9" s="357"/>
      <c r="AK9" s="357"/>
      <c r="AL9" s="357"/>
      <c r="AM9" s="357"/>
      <c r="AN9" s="357"/>
      <c r="AO9" s="369"/>
      <c r="AP9" s="359"/>
      <c r="AQ9" s="357"/>
      <c r="AR9" s="357"/>
      <c r="AS9" s="357"/>
      <c r="AT9" s="357"/>
      <c r="AU9" s="357"/>
      <c r="AV9" s="358"/>
      <c r="AW9" s="359"/>
      <c r="AX9" s="357"/>
      <c r="AY9" s="357"/>
      <c r="AZ9" s="357"/>
      <c r="BA9" s="357"/>
      <c r="BB9" s="357"/>
      <c r="BC9" s="358"/>
    </row>
    <row r="10" spans="1:55" ht="18" customHeight="1" x14ac:dyDescent="0.3">
      <c r="A10" s="374">
        <v>5</v>
      </c>
      <c r="B10" s="375">
        <v>5001</v>
      </c>
      <c r="C10" s="149" t="s">
        <v>243</v>
      </c>
      <c r="D10" s="57"/>
      <c r="E10" s="57"/>
      <c r="F10" s="58"/>
      <c r="G10" s="159"/>
      <c r="H10" s="12"/>
      <c r="I10" s="12"/>
      <c r="J10" s="12"/>
      <c r="K10" s="12"/>
      <c r="L10" s="27"/>
      <c r="M10" s="165"/>
      <c r="N10" s="166"/>
      <c r="O10" s="357"/>
      <c r="P10" s="357"/>
      <c r="Q10" s="357"/>
      <c r="R10" s="357"/>
      <c r="S10" s="357"/>
      <c r="T10" s="369"/>
      <c r="U10" s="359"/>
      <c r="V10" s="357"/>
      <c r="W10" s="357"/>
      <c r="X10" s="357"/>
      <c r="Y10" s="357"/>
      <c r="Z10" s="357"/>
      <c r="AA10" s="358"/>
      <c r="AB10" s="370"/>
      <c r="AC10" s="357"/>
      <c r="AD10" s="357"/>
      <c r="AE10" s="357"/>
      <c r="AF10" s="357"/>
      <c r="AG10" s="357"/>
      <c r="AH10" s="369"/>
      <c r="AI10" s="359"/>
      <c r="AJ10" s="357"/>
      <c r="AK10" s="357"/>
      <c r="AL10" s="357"/>
      <c r="AM10" s="357"/>
      <c r="AN10" s="357"/>
      <c r="AO10" s="369"/>
      <c r="AP10" s="359"/>
      <c r="AQ10" s="357"/>
      <c r="AR10" s="357"/>
      <c r="AS10" s="357"/>
      <c r="AT10" s="357"/>
      <c r="AU10" s="357"/>
      <c r="AV10" s="358"/>
      <c r="AW10" s="359"/>
      <c r="AX10" s="357"/>
      <c r="AY10" s="357"/>
      <c r="AZ10" s="357"/>
      <c r="BA10" s="357"/>
      <c r="BB10" s="357"/>
      <c r="BC10" s="358"/>
    </row>
    <row r="11" spans="1:55" ht="18" customHeight="1" x14ac:dyDescent="0.3">
      <c r="A11" s="374">
        <v>6</v>
      </c>
      <c r="B11" s="376">
        <v>5002</v>
      </c>
      <c r="C11" s="149" t="s">
        <v>244</v>
      </c>
      <c r="D11" s="57"/>
      <c r="E11" s="57"/>
      <c r="F11" s="58"/>
      <c r="G11" s="159"/>
      <c r="H11" s="12"/>
      <c r="I11" s="12"/>
      <c r="J11" s="12"/>
      <c r="K11" s="12"/>
      <c r="L11" s="27"/>
      <c r="M11" s="165"/>
      <c r="N11" s="166"/>
      <c r="O11" s="357"/>
      <c r="P11" s="357"/>
      <c r="Q11" s="357"/>
      <c r="R11" s="357"/>
      <c r="S11" s="357"/>
      <c r="T11" s="369"/>
      <c r="U11" s="359"/>
      <c r="V11" s="357"/>
      <c r="W11" s="357"/>
      <c r="X11" s="357"/>
      <c r="Y11" s="357"/>
      <c r="Z11" s="357"/>
      <c r="AA11" s="358"/>
      <c r="AB11" s="370"/>
      <c r="AC11" s="357"/>
      <c r="AD11" s="357"/>
      <c r="AE11" s="357"/>
      <c r="AF11" s="357"/>
      <c r="AG11" s="357"/>
      <c r="AH11" s="369"/>
      <c r="AI11" s="359"/>
      <c r="AJ11" s="357"/>
      <c r="AK11" s="357"/>
      <c r="AL11" s="357"/>
      <c r="AM11" s="357"/>
      <c r="AN11" s="357"/>
      <c r="AO11" s="369"/>
      <c r="AP11" s="359"/>
      <c r="AQ11" s="357"/>
      <c r="AR11" s="357"/>
      <c r="AS11" s="357"/>
      <c r="AT11" s="357"/>
      <c r="AU11" s="357"/>
      <c r="AV11" s="358"/>
      <c r="AW11" s="359"/>
      <c r="AX11" s="357"/>
      <c r="AY11" s="357"/>
      <c r="AZ11" s="357"/>
      <c r="BA11" s="357"/>
      <c r="BB11" s="357"/>
      <c r="BC11" s="358"/>
    </row>
    <row r="12" spans="1:55" ht="18" customHeight="1" x14ac:dyDescent="0.3">
      <c r="A12" s="5">
        <v>7</v>
      </c>
      <c r="B12" s="151">
        <v>5003</v>
      </c>
      <c r="C12" s="149" t="s">
        <v>245</v>
      </c>
      <c r="D12" s="57"/>
      <c r="E12" s="57"/>
      <c r="F12" s="58"/>
      <c r="G12" s="159"/>
      <c r="H12" s="12"/>
      <c r="I12" s="12"/>
      <c r="J12" s="12"/>
      <c r="K12" s="12"/>
      <c r="L12" s="27"/>
      <c r="M12" s="165"/>
      <c r="N12" s="166"/>
      <c r="O12" s="357"/>
      <c r="P12" s="357"/>
      <c r="Q12" s="357"/>
      <c r="R12" s="357"/>
      <c r="S12" s="357"/>
      <c r="T12" s="369"/>
      <c r="U12" s="359"/>
      <c r="V12" s="357"/>
      <c r="W12" s="357"/>
      <c r="X12" s="357"/>
      <c r="Y12" s="357"/>
      <c r="Z12" s="357"/>
      <c r="AA12" s="358"/>
      <c r="AB12" s="370"/>
      <c r="AC12" s="357"/>
      <c r="AD12" s="357"/>
      <c r="AE12" s="357"/>
      <c r="AF12" s="357"/>
      <c r="AG12" s="357"/>
      <c r="AH12" s="369"/>
      <c r="AI12" s="359"/>
      <c r="AJ12" s="357"/>
      <c r="AK12" s="357"/>
      <c r="AL12" s="357"/>
      <c r="AM12" s="357"/>
      <c r="AN12" s="357"/>
      <c r="AO12" s="369"/>
      <c r="AP12" s="359"/>
      <c r="AQ12" s="357"/>
      <c r="AR12" s="357"/>
      <c r="AS12" s="357"/>
      <c r="AT12" s="357"/>
      <c r="AU12" s="357"/>
      <c r="AV12" s="358"/>
      <c r="AW12" s="359"/>
      <c r="AX12" s="357"/>
      <c r="AY12" s="357"/>
      <c r="AZ12" s="357"/>
      <c r="BA12" s="357"/>
      <c r="BB12" s="357"/>
      <c r="BC12" s="358"/>
    </row>
    <row r="13" spans="1:55" ht="18" customHeight="1" x14ac:dyDescent="0.3">
      <c r="A13" s="5">
        <v>8</v>
      </c>
      <c r="B13" s="151">
        <v>5004</v>
      </c>
      <c r="C13" s="149" t="s">
        <v>246</v>
      </c>
      <c r="D13" s="57"/>
      <c r="E13" s="57"/>
      <c r="F13" s="58"/>
      <c r="G13" s="159"/>
      <c r="H13" s="12"/>
      <c r="I13" s="12"/>
      <c r="J13" s="12"/>
      <c r="K13" s="12"/>
      <c r="L13" s="27"/>
      <c r="M13" s="165"/>
      <c r="N13" s="166"/>
      <c r="O13" s="357"/>
      <c r="P13" s="357"/>
      <c r="Q13" s="357"/>
      <c r="R13" s="357"/>
      <c r="S13" s="357"/>
      <c r="T13" s="369"/>
      <c r="U13" s="359"/>
      <c r="V13" s="357"/>
      <c r="W13" s="357"/>
      <c r="X13" s="357"/>
      <c r="Y13" s="357"/>
      <c r="Z13" s="357"/>
      <c r="AA13" s="358"/>
      <c r="AB13" s="370"/>
      <c r="AC13" s="357"/>
      <c r="AD13" s="357"/>
      <c r="AE13" s="357"/>
      <c r="AF13" s="357"/>
      <c r="AG13" s="357"/>
      <c r="AH13" s="369"/>
      <c r="AI13" s="359"/>
      <c r="AJ13" s="357"/>
      <c r="AK13" s="357"/>
      <c r="AL13" s="357"/>
      <c r="AM13" s="357"/>
      <c r="AN13" s="357"/>
      <c r="AO13" s="369"/>
      <c r="AP13" s="359"/>
      <c r="AQ13" s="357"/>
      <c r="AR13" s="357"/>
      <c r="AS13" s="357"/>
      <c r="AT13" s="357"/>
      <c r="AU13" s="357"/>
      <c r="AV13" s="358"/>
      <c r="AW13" s="359"/>
      <c r="AX13" s="357"/>
      <c r="AY13" s="357"/>
      <c r="AZ13" s="357"/>
      <c r="BA13" s="357"/>
      <c r="BB13" s="357"/>
      <c r="BC13" s="358"/>
    </row>
    <row r="14" spans="1:55" ht="18" customHeight="1" x14ac:dyDescent="0.3">
      <c r="A14" s="5">
        <v>9</v>
      </c>
      <c r="B14" s="152">
        <v>5005</v>
      </c>
      <c r="C14" s="149" t="s">
        <v>247</v>
      </c>
      <c r="D14" s="57"/>
      <c r="E14" s="57"/>
      <c r="F14" s="58"/>
      <c r="G14" s="159"/>
      <c r="H14" s="12"/>
      <c r="I14" s="12"/>
      <c r="J14" s="12"/>
      <c r="K14" s="12"/>
      <c r="L14" s="27"/>
      <c r="M14" s="165"/>
      <c r="N14" s="166"/>
      <c r="O14" s="357"/>
      <c r="P14" s="357"/>
      <c r="Q14" s="357"/>
      <c r="R14" s="357"/>
      <c r="S14" s="357"/>
      <c r="T14" s="369"/>
      <c r="U14" s="359"/>
      <c r="V14" s="357"/>
      <c r="W14" s="357"/>
      <c r="X14" s="357"/>
      <c r="Y14" s="357"/>
      <c r="Z14" s="357"/>
      <c r="AA14" s="358"/>
      <c r="AB14" s="370"/>
      <c r="AC14" s="357"/>
      <c r="AD14" s="357"/>
      <c r="AE14" s="357"/>
      <c r="AF14" s="357"/>
      <c r="AG14" s="357"/>
      <c r="AH14" s="369"/>
      <c r="AI14" s="359"/>
      <c r="AJ14" s="357"/>
      <c r="AK14" s="357"/>
      <c r="AL14" s="357"/>
      <c r="AM14" s="357"/>
      <c r="AN14" s="357"/>
      <c r="AO14" s="369"/>
      <c r="AP14" s="359"/>
      <c r="AQ14" s="357"/>
      <c r="AR14" s="357"/>
      <c r="AS14" s="357"/>
      <c r="AT14" s="357"/>
      <c r="AU14" s="357"/>
      <c r="AV14" s="358"/>
      <c r="AW14" s="359"/>
      <c r="AX14" s="357"/>
      <c r="AY14" s="357"/>
      <c r="AZ14" s="357"/>
      <c r="BA14" s="357"/>
      <c r="BB14" s="357"/>
      <c r="BC14" s="358"/>
    </row>
    <row r="15" spans="1:55" ht="18" customHeight="1" x14ac:dyDescent="0.3">
      <c r="A15" s="5">
        <v>10</v>
      </c>
      <c r="B15" s="152"/>
      <c r="C15" s="149"/>
      <c r="D15" s="57"/>
      <c r="E15" s="57"/>
      <c r="F15" s="58"/>
      <c r="G15" s="159"/>
      <c r="H15" s="12"/>
      <c r="I15" s="12"/>
      <c r="J15" s="12"/>
      <c r="K15" s="12"/>
      <c r="L15" s="27"/>
      <c r="M15" s="165"/>
      <c r="N15" s="166"/>
      <c r="O15" s="357"/>
      <c r="P15" s="357"/>
      <c r="Q15" s="357"/>
      <c r="R15" s="357"/>
      <c r="S15" s="357"/>
      <c r="T15" s="369"/>
      <c r="U15" s="359"/>
      <c r="V15" s="357"/>
      <c r="W15" s="357"/>
      <c r="X15" s="357"/>
      <c r="Y15" s="357"/>
      <c r="Z15" s="357"/>
      <c r="AA15" s="358"/>
      <c r="AB15" s="370"/>
      <c r="AC15" s="357"/>
      <c r="AD15" s="357"/>
      <c r="AE15" s="357"/>
      <c r="AF15" s="357"/>
      <c r="AG15" s="357"/>
      <c r="AH15" s="369"/>
      <c r="AI15" s="359"/>
      <c r="AJ15" s="357"/>
      <c r="AK15" s="357"/>
      <c r="AL15" s="357"/>
      <c r="AM15" s="357"/>
      <c r="AN15" s="357"/>
      <c r="AO15" s="369"/>
      <c r="AP15" s="359"/>
      <c r="AQ15" s="357"/>
      <c r="AR15" s="357"/>
      <c r="AS15" s="357"/>
      <c r="AT15" s="357"/>
      <c r="AU15" s="357"/>
      <c r="AV15" s="358"/>
      <c r="AW15" s="359"/>
      <c r="AX15" s="357"/>
      <c r="AY15" s="357"/>
      <c r="AZ15" s="357"/>
      <c r="BA15" s="357"/>
      <c r="BB15" s="357"/>
      <c r="BC15" s="358"/>
    </row>
    <row r="16" spans="1:55" ht="18" customHeight="1" x14ac:dyDescent="0.3">
      <c r="A16" s="5">
        <v>11</v>
      </c>
      <c r="B16" s="152"/>
      <c r="C16" s="149"/>
      <c r="D16" s="57"/>
      <c r="E16" s="57"/>
      <c r="F16" s="58"/>
      <c r="G16" s="159"/>
      <c r="H16" s="12"/>
      <c r="I16" s="12"/>
      <c r="J16" s="12"/>
      <c r="K16" s="12"/>
      <c r="L16" s="27"/>
      <c r="M16" s="165"/>
      <c r="N16" s="166"/>
      <c r="O16" s="357"/>
      <c r="P16" s="357"/>
      <c r="Q16" s="357"/>
      <c r="R16" s="357"/>
      <c r="S16" s="357"/>
      <c r="T16" s="369"/>
      <c r="U16" s="359"/>
      <c r="V16" s="357"/>
      <c r="W16" s="357"/>
      <c r="X16" s="357"/>
      <c r="Y16" s="357"/>
      <c r="Z16" s="357"/>
      <c r="AA16" s="358"/>
      <c r="AB16" s="370"/>
      <c r="AC16" s="357"/>
      <c r="AD16" s="357"/>
      <c r="AE16" s="357"/>
      <c r="AF16" s="357"/>
      <c r="AG16" s="357"/>
      <c r="AH16" s="369"/>
      <c r="AI16" s="359"/>
      <c r="AJ16" s="357"/>
      <c r="AK16" s="357"/>
      <c r="AL16" s="357"/>
      <c r="AM16" s="357"/>
      <c r="AN16" s="357"/>
      <c r="AO16" s="369"/>
      <c r="AP16" s="359"/>
      <c r="AQ16" s="357"/>
      <c r="AR16" s="357"/>
      <c r="AS16" s="357"/>
      <c r="AT16" s="357"/>
      <c r="AU16" s="357"/>
      <c r="AV16" s="358"/>
      <c r="AW16" s="359"/>
      <c r="AX16" s="357"/>
      <c r="AY16" s="357"/>
      <c r="AZ16" s="357"/>
      <c r="BA16" s="357"/>
      <c r="BB16" s="357"/>
      <c r="BC16" s="358"/>
    </row>
    <row r="17" spans="1:55" ht="18" customHeight="1" x14ac:dyDescent="0.3">
      <c r="A17" s="5">
        <v>12</v>
      </c>
      <c r="B17" s="152"/>
      <c r="C17" s="149"/>
      <c r="D17" s="57"/>
      <c r="E17" s="57"/>
      <c r="F17" s="58"/>
      <c r="G17" s="159"/>
      <c r="H17" s="12"/>
      <c r="I17" s="12"/>
      <c r="J17" s="12"/>
      <c r="K17" s="12"/>
      <c r="L17" s="27"/>
      <c r="M17" s="165"/>
      <c r="N17" s="166"/>
      <c r="O17" s="357"/>
      <c r="P17" s="357"/>
      <c r="Q17" s="357"/>
      <c r="R17" s="357"/>
      <c r="S17" s="357"/>
      <c r="T17" s="369"/>
      <c r="U17" s="359"/>
      <c r="V17" s="357"/>
      <c r="W17" s="357"/>
      <c r="X17" s="357"/>
      <c r="Y17" s="357"/>
      <c r="Z17" s="357"/>
      <c r="AA17" s="358"/>
      <c r="AB17" s="370"/>
      <c r="AC17" s="357"/>
      <c r="AD17" s="357"/>
      <c r="AE17" s="357"/>
      <c r="AF17" s="357"/>
      <c r="AG17" s="357"/>
      <c r="AH17" s="369"/>
      <c r="AI17" s="359"/>
      <c r="AJ17" s="357"/>
      <c r="AK17" s="357"/>
      <c r="AL17" s="357"/>
      <c r="AM17" s="357"/>
      <c r="AN17" s="357"/>
      <c r="AO17" s="369"/>
      <c r="AP17" s="359"/>
      <c r="AQ17" s="357"/>
      <c r="AR17" s="357"/>
      <c r="AS17" s="357"/>
      <c r="AT17" s="357"/>
      <c r="AU17" s="357"/>
      <c r="AV17" s="358"/>
      <c r="AW17" s="359"/>
      <c r="AX17" s="357"/>
      <c r="AY17" s="357"/>
      <c r="AZ17" s="357"/>
      <c r="BA17" s="357"/>
      <c r="BB17" s="357"/>
      <c r="BC17" s="358"/>
    </row>
    <row r="18" spans="1:55" ht="18" customHeight="1" x14ac:dyDescent="0.3">
      <c r="A18" s="5">
        <v>13</v>
      </c>
      <c r="B18" s="152"/>
      <c r="C18" s="149"/>
      <c r="D18" s="57"/>
      <c r="E18" s="57"/>
      <c r="F18" s="58"/>
      <c r="G18" s="159"/>
      <c r="H18" s="12"/>
      <c r="I18" s="12"/>
      <c r="J18" s="12"/>
      <c r="K18" s="12"/>
      <c r="L18" s="27"/>
      <c r="M18" s="165"/>
      <c r="N18" s="166"/>
      <c r="O18" s="357"/>
      <c r="P18" s="357"/>
      <c r="Q18" s="357"/>
      <c r="R18" s="357"/>
      <c r="S18" s="357"/>
      <c r="T18" s="369"/>
      <c r="U18" s="359"/>
      <c r="V18" s="357"/>
      <c r="W18" s="357"/>
      <c r="X18" s="357"/>
      <c r="Y18" s="357"/>
      <c r="Z18" s="357"/>
      <c r="AA18" s="358"/>
      <c r="AB18" s="370"/>
      <c r="AC18" s="357"/>
      <c r="AD18" s="357"/>
      <c r="AE18" s="357"/>
      <c r="AF18" s="357"/>
      <c r="AG18" s="357"/>
      <c r="AH18" s="369"/>
      <c r="AI18" s="359"/>
      <c r="AJ18" s="357"/>
      <c r="AK18" s="357"/>
      <c r="AL18" s="357"/>
      <c r="AM18" s="357"/>
      <c r="AN18" s="357"/>
      <c r="AO18" s="369"/>
      <c r="AP18" s="359"/>
      <c r="AQ18" s="357"/>
      <c r="AR18" s="357"/>
      <c r="AS18" s="357"/>
      <c r="AT18" s="357"/>
      <c r="AU18" s="357"/>
      <c r="AV18" s="358"/>
      <c r="AW18" s="359"/>
      <c r="AX18" s="357"/>
      <c r="AY18" s="357"/>
      <c r="AZ18" s="357"/>
      <c r="BA18" s="357"/>
      <c r="BB18" s="357"/>
      <c r="BC18" s="358"/>
    </row>
    <row r="19" spans="1:55" ht="18" customHeight="1" x14ac:dyDescent="0.3">
      <c r="A19" s="5">
        <v>14</v>
      </c>
      <c r="B19" s="152"/>
      <c r="C19" s="149"/>
      <c r="D19" s="57"/>
      <c r="E19" s="57"/>
      <c r="F19" s="58"/>
      <c r="G19" s="159"/>
      <c r="H19" s="12"/>
      <c r="I19" s="12"/>
      <c r="J19" s="12"/>
      <c r="K19" s="12"/>
      <c r="L19" s="27"/>
      <c r="M19" s="165"/>
      <c r="N19" s="166"/>
      <c r="O19" s="357"/>
      <c r="P19" s="357"/>
      <c r="Q19" s="357"/>
      <c r="R19" s="357"/>
      <c r="S19" s="357"/>
      <c r="T19" s="369"/>
      <c r="U19" s="359"/>
      <c r="V19" s="357"/>
      <c r="W19" s="357"/>
      <c r="X19" s="357"/>
      <c r="Y19" s="357"/>
      <c r="Z19" s="357"/>
      <c r="AA19" s="358"/>
      <c r="AB19" s="370"/>
      <c r="AC19" s="357"/>
      <c r="AD19" s="357"/>
      <c r="AE19" s="357"/>
      <c r="AF19" s="357"/>
      <c r="AG19" s="357"/>
      <c r="AH19" s="369"/>
      <c r="AI19" s="359"/>
      <c r="AJ19" s="357"/>
      <c r="AK19" s="357"/>
      <c r="AL19" s="357"/>
      <c r="AM19" s="357"/>
      <c r="AN19" s="357"/>
      <c r="AO19" s="369"/>
      <c r="AP19" s="359"/>
      <c r="AQ19" s="357"/>
      <c r="AR19" s="357"/>
      <c r="AS19" s="357"/>
      <c r="AT19" s="357"/>
      <c r="AU19" s="357"/>
      <c r="AV19" s="358"/>
      <c r="AW19" s="359"/>
      <c r="AX19" s="357"/>
      <c r="AY19" s="357"/>
      <c r="AZ19" s="357"/>
      <c r="BA19" s="357"/>
      <c r="BB19" s="357"/>
      <c r="BC19" s="358"/>
    </row>
    <row r="20" spans="1:55" ht="18" customHeight="1" x14ac:dyDescent="0.3">
      <c r="A20" s="5">
        <v>15</v>
      </c>
      <c r="B20" s="152"/>
      <c r="C20" s="149"/>
      <c r="D20" s="57"/>
      <c r="E20" s="57"/>
      <c r="F20" s="58"/>
      <c r="G20" s="159"/>
      <c r="H20" s="12"/>
      <c r="I20" s="12"/>
      <c r="J20" s="12"/>
      <c r="K20" s="12"/>
      <c r="L20" s="27"/>
      <c r="M20" s="165"/>
      <c r="N20" s="166"/>
      <c r="O20" s="357"/>
      <c r="P20" s="357"/>
      <c r="Q20" s="357"/>
      <c r="R20" s="357"/>
      <c r="S20" s="357"/>
      <c r="T20" s="369"/>
      <c r="U20" s="359"/>
      <c r="V20" s="357"/>
      <c r="W20" s="357"/>
      <c r="X20" s="357"/>
      <c r="Y20" s="357"/>
      <c r="Z20" s="357"/>
      <c r="AA20" s="358"/>
      <c r="AB20" s="370"/>
      <c r="AC20" s="357"/>
      <c r="AD20" s="357"/>
      <c r="AE20" s="357"/>
      <c r="AF20" s="357"/>
      <c r="AG20" s="357"/>
      <c r="AH20" s="369"/>
      <c r="AI20" s="359"/>
      <c r="AJ20" s="357"/>
      <c r="AK20" s="357"/>
      <c r="AL20" s="357"/>
      <c r="AM20" s="357"/>
      <c r="AN20" s="357"/>
      <c r="AO20" s="369"/>
      <c r="AP20" s="359"/>
      <c r="AQ20" s="357"/>
      <c r="AR20" s="357"/>
      <c r="AS20" s="357"/>
      <c r="AT20" s="357"/>
      <c r="AU20" s="357"/>
      <c r="AV20" s="358"/>
      <c r="AW20" s="359"/>
      <c r="AX20" s="357"/>
      <c r="AY20" s="357"/>
      <c r="AZ20" s="357"/>
      <c r="BA20" s="357"/>
      <c r="BB20" s="357"/>
      <c r="BC20" s="358"/>
    </row>
    <row r="21" spans="1:55" ht="18" customHeight="1" x14ac:dyDescent="0.3">
      <c r="A21" s="5">
        <v>16</v>
      </c>
      <c r="B21" s="154"/>
      <c r="C21" s="149"/>
      <c r="D21" s="57"/>
      <c r="E21" s="57"/>
      <c r="F21" s="58"/>
      <c r="G21" s="159"/>
      <c r="H21" s="12"/>
      <c r="I21" s="12"/>
      <c r="J21" s="12"/>
      <c r="K21" s="12"/>
      <c r="L21" s="27"/>
      <c r="M21" s="165"/>
      <c r="N21" s="166"/>
      <c r="O21" s="357"/>
      <c r="P21" s="357"/>
      <c r="Q21" s="357"/>
      <c r="R21" s="357"/>
      <c r="S21" s="357"/>
      <c r="T21" s="369"/>
      <c r="U21" s="359"/>
      <c r="V21" s="357"/>
      <c r="W21" s="357"/>
      <c r="X21" s="357"/>
      <c r="Y21" s="357"/>
      <c r="Z21" s="357"/>
      <c r="AA21" s="358"/>
      <c r="AB21" s="370"/>
      <c r="AC21" s="357"/>
      <c r="AD21" s="357"/>
      <c r="AE21" s="357"/>
      <c r="AF21" s="357"/>
      <c r="AG21" s="357"/>
      <c r="AH21" s="369"/>
      <c r="AI21" s="359"/>
      <c r="AJ21" s="357"/>
      <c r="AK21" s="357"/>
      <c r="AL21" s="357"/>
      <c r="AM21" s="357"/>
      <c r="AN21" s="357"/>
      <c r="AO21" s="369"/>
      <c r="AP21" s="359"/>
      <c r="AQ21" s="357"/>
      <c r="AR21" s="357"/>
      <c r="AS21" s="357"/>
      <c r="AT21" s="357"/>
      <c r="AU21" s="357"/>
      <c r="AV21" s="358"/>
      <c r="AW21" s="359"/>
      <c r="AX21" s="357"/>
      <c r="AY21" s="357"/>
      <c r="AZ21" s="357"/>
      <c r="BA21" s="357"/>
      <c r="BB21" s="357"/>
      <c r="BC21" s="358"/>
    </row>
    <row r="22" spans="1:55" ht="18" customHeight="1" x14ac:dyDescent="0.3">
      <c r="A22" s="5">
        <v>17</v>
      </c>
      <c r="B22" s="154"/>
      <c r="C22" s="149"/>
      <c r="D22" s="57"/>
      <c r="E22" s="57"/>
      <c r="F22" s="58"/>
      <c r="G22" s="159"/>
      <c r="H22" s="12"/>
      <c r="I22" s="12"/>
      <c r="J22" s="12"/>
      <c r="K22" s="12"/>
      <c r="L22" s="27"/>
      <c r="M22" s="165"/>
      <c r="N22" s="166"/>
      <c r="O22" s="357"/>
      <c r="P22" s="357"/>
      <c r="Q22" s="357"/>
      <c r="R22" s="357"/>
      <c r="S22" s="357"/>
      <c r="T22" s="369"/>
      <c r="U22" s="359"/>
      <c r="V22" s="357"/>
      <c r="W22" s="357"/>
      <c r="X22" s="357"/>
      <c r="Y22" s="357"/>
      <c r="Z22" s="357"/>
      <c r="AA22" s="358"/>
      <c r="AB22" s="370"/>
      <c r="AC22" s="357"/>
      <c r="AD22" s="357"/>
      <c r="AE22" s="357"/>
      <c r="AF22" s="357"/>
      <c r="AG22" s="357"/>
      <c r="AH22" s="369"/>
      <c r="AI22" s="359"/>
      <c r="AJ22" s="357"/>
      <c r="AK22" s="357"/>
      <c r="AL22" s="357"/>
      <c r="AM22" s="357"/>
      <c r="AN22" s="357"/>
      <c r="AO22" s="369"/>
      <c r="AP22" s="359"/>
      <c r="AQ22" s="357"/>
      <c r="AR22" s="357"/>
      <c r="AS22" s="357"/>
      <c r="AT22" s="357"/>
      <c r="AU22" s="357"/>
      <c r="AV22" s="358"/>
      <c r="AW22" s="359"/>
      <c r="AX22" s="357"/>
      <c r="AY22" s="357"/>
      <c r="AZ22" s="357"/>
      <c r="BA22" s="357"/>
      <c r="BB22" s="357"/>
      <c r="BC22" s="358"/>
    </row>
    <row r="23" spans="1:55" ht="18" customHeight="1" x14ac:dyDescent="0.3">
      <c r="A23" s="5">
        <v>18</v>
      </c>
      <c r="B23" s="109"/>
      <c r="C23" s="149"/>
      <c r="D23" s="57"/>
      <c r="E23" s="57"/>
      <c r="F23" s="58"/>
      <c r="G23" s="159"/>
      <c r="H23" s="12"/>
      <c r="I23" s="12"/>
      <c r="J23" s="12"/>
      <c r="K23" s="12"/>
      <c r="L23" s="27"/>
      <c r="M23" s="165"/>
      <c r="N23" s="166"/>
      <c r="O23" s="357"/>
      <c r="P23" s="357"/>
      <c r="Q23" s="357"/>
      <c r="R23" s="357"/>
      <c r="S23" s="357"/>
      <c r="T23" s="369"/>
      <c r="U23" s="359"/>
      <c r="V23" s="357"/>
      <c r="W23" s="357"/>
      <c r="X23" s="357"/>
      <c r="Y23" s="357"/>
      <c r="Z23" s="357"/>
      <c r="AA23" s="358"/>
      <c r="AB23" s="370"/>
      <c r="AC23" s="357"/>
      <c r="AD23" s="357"/>
      <c r="AE23" s="357"/>
      <c r="AF23" s="357"/>
      <c r="AG23" s="357"/>
      <c r="AH23" s="369"/>
      <c r="AI23" s="359"/>
      <c r="AJ23" s="357"/>
      <c r="AK23" s="357"/>
      <c r="AL23" s="357"/>
      <c r="AM23" s="357"/>
      <c r="AN23" s="357"/>
      <c r="AO23" s="369"/>
      <c r="AP23" s="359"/>
      <c r="AQ23" s="357"/>
      <c r="AR23" s="357"/>
      <c r="AS23" s="357"/>
      <c r="AT23" s="357"/>
      <c r="AU23" s="357"/>
      <c r="AV23" s="358"/>
      <c r="AW23" s="359"/>
      <c r="AX23" s="357"/>
      <c r="AY23" s="357"/>
      <c r="AZ23" s="357"/>
      <c r="BA23" s="357"/>
      <c r="BB23" s="357"/>
      <c r="BC23" s="358"/>
    </row>
    <row r="24" spans="1:55" ht="18" customHeight="1" x14ac:dyDescent="0.3">
      <c r="A24" s="5">
        <v>19</v>
      </c>
      <c r="B24" s="109"/>
      <c r="C24" s="149"/>
      <c r="D24" s="57"/>
      <c r="E24" s="57"/>
      <c r="F24" s="58"/>
      <c r="G24" s="159"/>
      <c r="H24" s="12"/>
      <c r="I24" s="12"/>
      <c r="J24" s="12"/>
      <c r="K24" s="12"/>
      <c r="L24" s="12"/>
      <c r="M24" s="165"/>
      <c r="N24" s="166"/>
      <c r="O24" s="371"/>
      <c r="P24" s="371"/>
      <c r="Q24" s="357"/>
      <c r="R24" s="357"/>
      <c r="S24" s="357"/>
      <c r="T24" s="369"/>
      <c r="U24" s="359"/>
      <c r="V24" s="371"/>
      <c r="W24" s="371"/>
      <c r="X24" s="357"/>
      <c r="Y24" s="357"/>
      <c r="Z24" s="357"/>
      <c r="AA24" s="358"/>
      <c r="AB24" s="370"/>
      <c r="AC24" s="371"/>
      <c r="AD24" s="371"/>
      <c r="AE24" s="357"/>
      <c r="AF24" s="357"/>
      <c r="AG24" s="357"/>
      <c r="AH24" s="369"/>
      <c r="AI24" s="359"/>
      <c r="AJ24" s="371"/>
      <c r="AK24" s="371"/>
      <c r="AL24" s="357"/>
      <c r="AM24" s="357"/>
      <c r="AN24" s="357"/>
      <c r="AO24" s="369"/>
      <c r="AP24" s="359"/>
      <c r="AQ24" s="371"/>
      <c r="AR24" s="371"/>
      <c r="AS24" s="357"/>
      <c r="AT24" s="357"/>
      <c r="AU24" s="357"/>
      <c r="AV24" s="358"/>
      <c r="AW24" s="359"/>
      <c r="AX24" s="371"/>
      <c r="AY24" s="371"/>
      <c r="AZ24" s="357"/>
      <c r="BA24" s="357"/>
      <c r="BB24" s="357"/>
      <c r="BC24" s="358"/>
    </row>
    <row r="25" spans="1:55" ht="18" customHeight="1" x14ac:dyDescent="0.3">
      <c r="A25" s="5">
        <v>20</v>
      </c>
      <c r="B25" s="109"/>
      <c r="C25" s="149"/>
      <c r="D25" s="57"/>
      <c r="E25" s="57"/>
      <c r="F25" s="58"/>
      <c r="G25" s="159"/>
      <c r="H25" s="12"/>
      <c r="I25" s="12"/>
      <c r="J25" s="12"/>
      <c r="K25" s="12"/>
      <c r="L25" s="12"/>
      <c r="M25" s="165"/>
      <c r="N25" s="166"/>
      <c r="O25" s="371"/>
      <c r="P25" s="371"/>
      <c r="Q25" s="357"/>
      <c r="R25" s="357"/>
      <c r="S25" s="357"/>
      <c r="T25" s="369"/>
      <c r="U25" s="359"/>
      <c r="V25" s="371"/>
      <c r="W25" s="371"/>
      <c r="X25" s="357"/>
      <c r="Y25" s="357"/>
      <c r="Z25" s="357"/>
      <c r="AA25" s="358"/>
      <c r="AB25" s="370"/>
      <c r="AC25" s="371"/>
      <c r="AD25" s="371"/>
      <c r="AE25" s="357"/>
      <c r="AF25" s="357"/>
      <c r="AG25" s="357"/>
      <c r="AH25" s="369"/>
      <c r="AI25" s="359"/>
      <c r="AJ25" s="371"/>
      <c r="AK25" s="371"/>
      <c r="AL25" s="357"/>
      <c r="AM25" s="357"/>
      <c r="AN25" s="357"/>
      <c r="AO25" s="369"/>
      <c r="AP25" s="359"/>
      <c r="AQ25" s="371"/>
      <c r="AR25" s="371"/>
      <c r="AS25" s="357"/>
      <c r="AT25" s="357"/>
      <c r="AU25" s="357"/>
      <c r="AV25" s="358"/>
      <c r="AW25" s="359"/>
      <c r="AX25" s="371"/>
      <c r="AY25" s="371"/>
      <c r="AZ25" s="357"/>
      <c r="BA25" s="357"/>
      <c r="BB25" s="357"/>
      <c r="BC25" s="358"/>
    </row>
    <row r="26" spans="1:55" ht="18" customHeight="1" x14ac:dyDescent="0.3">
      <c r="A26" s="5">
        <v>21</v>
      </c>
      <c r="B26" s="109"/>
      <c r="C26" s="149"/>
      <c r="D26" s="57"/>
      <c r="E26" s="57"/>
      <c r="F26" s="58"/>
      <c r="G26" s="159"/>
      <c r="H26" s="12"/>
      <c r="I26" s="12"/>
      <c r="J26" s="12"/>
      <c r="K26" s="12"/>
      <c r="L26" s="12"/>
      <c r="M26" s="165"/>
      <c r="N26" s="166"/>
      <c r="O26" s="371"/>
      <c r="P26" s="371"/>
      <c r="Q26" s="357"/>
      <c r="R26" s="357"/>
      <c r="S26" s="357"/>
      <c r="T26" s="369"/>
      <c r="U26" s="359"/>
      <c r="V26" s="371"/>
      <c r="W26" s="371"/>
      <c r="X26" s="357"/>
      <c r="Y26" s="357"/>
      <c r="Z26" s="357"/>
      <c r="AA26" s="358"/>
      <c r="AB26" s="370"/>
      <c r="AC26" s="371"/>
      <c r="AD26" s="371"/>
      <c r="AE26" s="357"/>
      <c r="AF26" s="357"/>
      <c r="AG26" s="357"/>
      <c r="AH26" s="369"/>
      <c r="AI26" s="359"/>
      <c r="AJ26" s="371"/>
      <c r="AK26" s="371"/>
      <c r="AL26" s="357"/>
      <c r="AM26" s="357"/>
      <c r="AN26" s="357"/>
      <c r="AO26" s="369"/>
      <c r="AP26" s="359"/>
      <c r="AQ26" s="371"/>
      <c r="AR26" s="371"/>
      <c r="AS26" s="357"/>
      <c r="AT26" s="357"/>
      <c r="AU26" s="357"/>
      <c r="AV26" s="358"/>
      <c r="AW26" s="359"/>
      <c r="AX26" s="371"/>
      <c r="AY26" s="371"/>
      <c r="AZ26" s="357"/>
      <c r="BA26" s="357"/>
      <c r="BB26" s="357"/>
      <c r="BC26" s="358"/>
    </row>
    <row r="27" spans="1:55" ht="18" customHeight="1" x14ac:dyDescent="0.3">
      <c r="A27" s="5">
        <v>22</v>
      </c>
      <c r="B27" s="109"/>
      <c r="C27" s="149"/>
      <c r="D27" s="57"/>
      <c r="E27" s="57"/>
      <c r="F27" s="58"/>
      <c r="G27" s="159"/>
      <c r="H27" s="12"/>
      <c r="I27" s="12"/>
      <c r="J27" s="12"/>
      <c r="K27" s="12"/>
      <c r="L27" s="12"/>
      <c r="M27" s="165"/>
      <c r="N27" s="166"/>
      <c r="O27" s="371"/>
      <c r="P27" s="371"/>
      <c r="Q27" s="357"/>
      <c r="R27" s="357"/>
      <c r="S27" s="357"/>
      <c r="T27" s="369"/>
      <c r="U27" s="359"/>
      <c r="V27" s="371"/>
      <c r="W27" s="371"/>
      <c r="X27" s="357"/>
      <c r="Y27" s="357"/>
      <c r="Z27" s="357"/>
      <c r="AA27" s="358"/>
      <c r="AB27" s="370"/>
      <c r="AC27" s="371"/>
      <c r="AD27" s="371"/>
      <c r="AE27" s="357"/>
      <c r="AF27" s="357"/>
      <c r="AG27" s="357"/>
      <c r="AH27" s="369"/>
      <c r="AI27" s="359"/>
      <c r="AJ27" s="371"/>
      <c r="AK27" s="371"/>
      <c r="AL27" s="357"/>
      <c r="AM27" s="357"/>
      <c r="AN27" s="357"/>
      <c r="AO27" s="369"/>
      <c r="AP27" s="359"/>
      <c r="AQ27" s="371"/>
      <c r="AR27" s="371"/>
      <c r="AS27" s="357"/>
      <c r="AT27" s="357"/>
      <c r="AU27" s="357"/>
      <c r="AV27" s="358"/>
      <c r="AW27" s="359"/>
      <c r="AX27" s="371"/>
      <c r="AY27" s="371"/>
      <c r="AZ27" s="357"/>
      <c r="BA27" s="357"/>
      <c r="BB27" s="357"/>
      <c r="BC27" s="358"/>
    </row>
    <row r="28" spans="1:55" ht="18" customHeight="1" x14ac:dyDescent="0.3">
      <c r="A28" s="5">
        <v>23</v>
      </c>
      <c r="B28" s="109"/>
      <c r="C28" s="149"/>
      <c r="D28" s="57"/>
      <c r="E28" s="57"/>
      <c r="F28" s="58"/>
      <c r="G28" s="159"/>
      <c r="H28" s="12"/>
      <c r="I28" s="12"/>
      <c r="J28" s="12"/>
      <c r="K28" s="12"/>
      <c r="L28" s="12"/>
      <c r="M28" s="165"/>
      <c r="N28" s="166"/>
      <c r="O28" s="371"/>
      <c r="P28" s="371"/>
      <c r="Q28" s="357"/>
      <c r="R28" s="357"/>
      <c r="S28" s="357"/>
      <c r="T28" s="369"/>
      <c r="U28" s="359"/>
      <c r="V28" s="371"/>
      <c r="W28" s="371"/>
      <c r="X28" s="357"/>
      <c r="Y28" s="357"/>
      <c r="Z28" s="357"/>
      <c r="AA28" s="358"/>
      <c r="AB28" s="370"/>
      <c r="AC28" s="371"/>
      <c r="AD28" s="371"/>
      <c r="AE28" s="357"/>
      <c r="AF28" s="357"/>
      <c r="AG28" s="357"/>
      <c r="AH28" s="369"/>
      <c r="AI28" s="359"/>
      <c r="AJ28" s="371"/>
      <c r="AK28" s="371"/>
      <c r="AL28" s="357"/>
      <c r="AM28" s="357"/>
      <c r="AN28" s="357"/>
      <c r="AO28" s="369"/>
      <c r="AP28" s="359"/>
      <c r="AQ28" s="371"/>
      <c r="AR28" s="371"/>
      <c r="AS28" s="357"/>
      <c r="AT28" s="357"/>
      <c r="AU28" s="357"/>
      <c r="AV28" s="358"/>
      <c r="AW28" s="359"/>
      <c r="AX28" s="371"/>
      <c r="AY28" s="371"/>
      <c r="AZ28" s="357"/>
      <c r="BA28" s="357"/>
      <c r="BB28" s="357"/>
      <c r="BC28" s="358"/>
    </row>
    <row r="29" spans="1:55" ht="18" customHeight="1" x14ac:dyDescent="0.3">
      <c r="A29" s="5">
        <v>24</v>
      </c>
      <c r="B29" s="109"/>
      <c r="C29" s="149"/>
      <c r="D29" s="57"/>
      <c r="E29" s="57"/>
      <c r="F29" s="58"/>
      <c r="G29" s="159"/>
      <c r="H29" s="12"/>
      <c r="I29" s="12"/>
      <c r="J29" s="12"/>
      <c r="K29" s="12"/>
      <c r="L29" s="12"/>
      <c r="M29" s="165"/>
      <c r="N29" s="166"/>
      <c r="O29" s="371"/>
      <c r="P29" s="371"/>
      <c r="Q29" s="357"/>
      <c r="R29" s="357"/>
      <c r="S29" s="357"/>
      <c r="T29" s="369"/>
      <c r="U29" s="359"/>
      <c r="V29" s="371"/>
      <c r="W29" s="371"/>
      <c r="X29" s="357"/>
      <c r="Y29" s="357"/>
      <c r="Z29" s="357"/>
      <c r="AA29" s="358"/>
      <c r="AB29" s="370"/>
      <c r="AC29" s="371"/>
      <c r="AD29" s="371"/>
      <c r="AE29" s="357"/>
      <c r="AF29" s="357"/>
      <c r="AG29" s="357"/>
      <c r="AH29" s="369"/>
      <c r="AI29" s="359"/>
      <c r="AJ29" s="371"/>
      <c r="AK29" s="371"/>
      <c r="AL29" s="357"/>
      <c r="AM29" s="357"/>
      <c r="AN29" s="357"/>
      <c r="AO29" s="369"/>
      <c r="AP29" s="359"/>
      <c r="AQ29" s="371"/>
      <c r="AR29" s="371"/>
      <c r="AS29" s="357"/>
      <c r="AT29" s="357"/>
      <c r="AU29" s="357"/>
      <c r="AV29" s="358"/>
      <c r="AW29" s="359"/>
      <c r="AX29" s="371"/>
      <c r="AY29" s="371"/>
      <c r="AZ29" s="357"/>
      <c r="BA29" s="357"/>
      <c r="BB29" s="357"/>
      <c r="BC29" s="358"/>
    </row>
    <row r="30" spans="1:55" ht="18" customHeight="1" x14ac:dyDescent="0.3">
      <c r="A30" s="5">
        <v>25</v>
      </c>
      <c r="B30" s="109"/>
      <c r="C30" s="149"/>
      <c r="D30" s="57"/>
      <c r="E30" s="57"/>
      <c r="F30" s="58"/>
      <c r="G30" s="159"/>
      <c r="H30" s="12"/>
      <c r="I30" s="12"/>
      <c r="J30" s="12"/>
      <c r="K30" s="12"/>
      <c r="L30" s="12"/>
      <c r="M30" s="165"/>
      <c r="N30" s="166"/>
      <c r="O30" s="371"/>
      <c r="P30" s="371"/>
      <c r="Q30" s="357"/>
      <c r="R30" s="357"/>
      <c r="S30" s="357"/>
      <c r="T30" s="369"/>
      <c r="U30" s="359"/>
      <c r="V30" s="371"/>
      <c r="W30" s="371"/>
      <c r="X30" s="357"/>
      <c r="Y30" s="357"/>
      <c r="Z30" s="357"/>
      <c r="AA30" s="358"/>
      <c r="AB30" s="370"/>
      <c r="AC30" s="371"/>
      <c r="AD30" s="371"/>
      <c r="AE30" s="357"/>
      <c r="AF30" s="357"/>
      <c r="AG30" s="357"/>
      <c r="AH30" s="369"/>
      <c r="AI30" s="359"/>
      <c r="AJ30" s="371"/>
      <c r="AK30" s="371"/>
      <c r="AL30" s="357"/>
      <c r="AM30" s="357"/>
      <c r="AN30" s="357"/>
      <c r="AO30" s="369"/>
      <c r="AP30" s="359"/>
      <c r="AQ30" s="371"/>
      <c r="AR30" s="371"/>
      <c r="AS30" s="357"/>
      <c r="AT30" s="357"/>
      <c r="AU30" s="357"/>
      <c r="AV30" s="358"/>
      <c r="AW30" s="359"/>
      <c r="AX30" s="371"/>
      <c r="AY30" s="371"/>
      <c r="AZ30" s="357"/>
      <c r="BA30" s="357"/>
      <c r="BB30" s="357"/>
      <c r="BC30" s="358"/>
    </row>
    <row r="31" spans="1:55" ht="18" customHeight="1" x14ac:dyDescent="0.3">
      <c r="A31" s="5">
        <v>26</v>
      </c>
      <c r="B31" s="109"/>
      <c r="C31" s="149"/>
      <c r="D31" s="57"/>
      <c r="E31" s="57"/>
      <c r="F31" s="58"/>
      <c r="G31" s="159"/>
      <c r="H31" s="12"/>
      <c r="I31" s="12"/>
      <c r="J31" s="12"/>
      <c r="K31" s="12"/>
      <c r="L31" s="12"/>
      <c r="M31" s="165"/>
      <c r="N31" s="166"/>
      <c r="O31" s="371"/>
      <c r="P31" s="371"/>
      <c r="Q31" s="357"/>
      <c r="R31" s="357"/>
      <c r="S31" s="357"/>
      <c r="T31" s="369"/>
      <c r="U31" s="359"/>
      <c r="V31" s="371"/>
      <c r="W31" s="371"/>
      <c r="X31" s="357"/>
      <c r="Y31" s="357"/>
      <c r="Z31" s="357"/>
      <c r="AA31" s="358"/>
      <c r="AB31" s="370"/>
      <c r="AC31" s="371"/>
      <c r="AD31" s="371"/>
      <c r="AE31" s="357"/>
      <c r="AF31" s="357"/>
      <c r="AG31" s="357"/>
      <c r="AH31" s="369"/>
      <c r="AI31" s="359"/>
      <c r="AJ31" s="371"/>
      <c r="AK31" s="371"/>
      <c r="AL31" s="357"/>
      <c r="AM31" s="357"/>
      <c r="AN31" s="357"/>
      <c r="AO31" s="369"/>
      <c r="AP31" s="359"/>
      <c r="AQ31" s="371"/>
      <c r="AR31" s="371"/>
      <c r="AS31" s="357"/>
      <c r="AT31" s="357"/>
      <c r="AU31" s="357"/>
      <c r="AV31" s="358"/>
      <c r="AW31" s="359"/>
      <c r="AX31" s="371"/>
      <c r="AY31" s="371"/>
      <c r="AZ31" s="357"/>
      <c r="BA31" s="357"/>
      <c r="BB31" s="357"/>
      <c r="BC31" s="358"/>
    </row>
    <row r="32" spans="1:55" ht="18" customHeight="1" x14ac:dyDescent="0.3">
      <c r="A32" s="5">
        <v>27</v>
      </c>
      <c r="B32" s="110"/>
      <c r="C32" s="149"/>
      <c r="D32" s="57"/>
      <c r="E32" s="57"/>
      <c r="F32" s="58"/>
      <c r="G32" s="159"/>
      <c r="H32" s="12"/>
      <c r="I32" s="12"/>
      <c r="J32" s="12"/>
      <c r="K32" s="12"/>
      <c r="L32" s="12"/>
      <c r="M32" s="165"/>
      <c r="N32" s="166"/>
      <c r="O32" s="13"/>
      <c r="P32" s="13"/>
      <c r="Q32" s="27"/>
      <c r="R32" s="12"/>
      <c r="S32" s="12"/>
      <c r="T32" s="171"/>
      <c r="U32" s="159"/>
      <c r="V32" s="13"/>
      <c r="W32" s="13"/>
      <c r="X32" s="27"/>
      <c r="Y32" s="12"/>
      <c r="Z32" s="12"/>
      <c r="AA32" s="165"/>
      <c r="AB32" s="166"/>
      <c r="AC32" s="13"/>
      <c r="AD32" s="13"/>
      <c r="AE32" s="27"/>
      <c r="AF32" s="12"/>
      <c r="AG32" s="12"/>
      <c r="AH32" s="171"/>
      <c r="AI32" s="159"/>
      <c r="AJ32" s="13"/>
      <c r="AK32" s="13"/>
      <c r="AL32" s="27"/>
      <c r="AM32" s="12"/>
      <c r="AN32" s="12"/>
      <c r="AO32" s="171"/>
      <c r="AP32" s="159"/>
      <c r="AQ32" s="13"/>
      <c r="AR32" s="13"/>
      <c r="AS32" s="27"/>
      <c r="AT32" s="12"/>
      <c r="AU32" s="12"/>
      <c r="AV32" s="165"/>
      <c r="AW32" s="159"/>
      <c r="AX32" s="13"/>
      <c r="AY32" s="13"/>
      <c r="AZ32" s="27"/>
      <c r="BA32" s="12"/>
      <c r="BB32" s="12"/>
      <c r="BC32" s="165"/>
    </row>
    <row r="33" spans="1:55" ht="18" customHeight="1" x14ac:dyDescent="0.3">
      <c r="A33" s="5">
        <v>28</v>
      </c>
      <c r="B33" s="111"/>
      <c r="C33" s="149"/>
      <c r="D33" s="57"/>
      <c r="E33" s="57"/>
      <c r="F33" s="58"/>
      <c r="G33" s="159"/>
      <c r="H33" s="12"/>
      <c r="I33" s="12"/>
      <c r="J33" s="12"/>
      <c r="K33" s="12"/>
      <c r="L33" s="12"/>
      <c r="M33" s="165"/>
      <c r="N33" s="166"/>
      <c r="O33" s="13"/>
      <c r="P33" s="13"/>
      <c r="Q33" s="27"/>
      <c r="R33" s="12"/>
      <c r="S33" s="12"/>
      <c r="T33" s="171"/>
      <c r="U33" s="159"/>
      <c r="V33" s="13"/>
      <c r="W33" s="13"/>
      <c r="X33" s="27"/>
      <c r="Y33" s="12"/>
      <c r="Z33" s="12"/>
      <c r="AA33" s="165"/>
      <c r="AB33" s="166"/>
      <c r="AC33" s="13"/>
      <c r="AD33" s="13"/>
      <c r="AE33" s="27"/>
      <c r="AF33" s="12"/>
      <c r="AG33" s="12"/>
      <c r="AH33" s="171"/>
      <c r="AI33" s="159"/>
      <c r="AJ33" s="13"/>
      <c r="AK33" s="13"/>
      <c r="AL33" s="27"/>
      <c r="AM33" s="12"/>
      <c r="AN33" s="12"/>
      <c r="AO33" s="171"/>
      <c r="AP33" s="159"/>
      <c r="AQ33" s="13"/>
      <c r="AR33" s="13"/>
      <c r="AS33" s="27"/>
      <c r="AT33" s="12"/>
      <c r="AU33" s="12"/>
      <c r="AV33" s="165"/>
      <c r="AW33" s="159"/>
      <c r="AX33" s="13"/>
      <c r="AY33" s="13"/>
      <c r="AZ33" s="27"/>
      <c r="BA33" s="12"/>
      <c r="BB33" s="12"/>
      <c r="BC33" s="165"/>
    </row>
    <row r="34" spans="1:55" ht="18" customHeight="1" x14ac:dyDescent="0.3">
      <c r="A34" s="5">
        <v>29</v>
      </c>
      <c r="B34" s="109"/>
      <c r="C34" s="149"/>
      <c r="D34" s="57"/>
      <c r="E34" s="57"/>
      <c r="F34" s="58"/>
      <c r="G34" s="159"/>
      <c r="H34" s="12"/>
      <c r="I34" s="12"/>
      <c r="J34" s="12"/>
      <c r="K34" s="12"/>
      <c r="L34" s="12"/>
      <c r="M34" s="165"/>
      <c r="N34" s="166"/>
      <c r="O34" s="13"/>
      <c r="P34" s="13"/>
      <c r="Q34" s="27"/>
      <c r="R34" s="12"/>
      <c r="S34" s="12"/>
      <c r="T34" s="171"/>
      <c r="U34" s="159"/>
      <c r="V34" s="13"/>
      <c r="W34" s="13"/>
      <c r="X34" s="27"/>
      <c r="Y34" s="12"/>
      <c r="Z34" s="12"/>
      <c r="AA34" s="165"/>
      <c r="AB34" s="166"/>
      <c r="AC34" s="13"/>
      <c r="AD34" s="13"/>
      <c r="AE34" s="27"/>
      <c r="AF34" s="12"/>
      <c r="AG34" s="12"/>
      <c r="AH34" s="171"/>
      <c r="AI34" s="159"/>
      <c r="AJ34" s="13"/>
      <c r="AK34" s="13"/>
      <c r="AL34" s="27"/>
      <c r="AM34" s="12"/>
      <c r="AN34" s="12"/>
      <c r="AO34" s="171"/>
      <c r="AP34" s="159"/>
      <c r="AQ34" s="13"/>
      <c r="AR34" s="13"/>
      <c r="AS34" s="27"/>
      <c r="AT34" s="12"/>
      <c r="AU34" s="12"/>
      <c r="AV34" s="165"/>
      <c r="AW34" s="159"/>
      <c r="AX34" s="13"/>
      <c r="AY34" s="13"/>
      <c r="AZ34" s="27"/>
      <c r="BA34" s="12"/>
      <c r="BB34" s="12"/>
      <c r="BC34" s="165"/>
    </row>
    <row r="35" spans="1:55" ht="18" customHeight="1" x14ac:dyDescent="0.3">
      <c r="A35" s="5">
        <v>30</v>
      </c>
      <c r="B35" s="109"/>
      <c r="C35" s="149"/>
      <c r="D35" s="57"/>
      <c r="E35" s="57"/>
      <c r="F35" s="58"/>
      <c r="G35" s="159"/>
      <c r="H35" s="12"/>
      <c r="I35" s="12"/>
      <c r="J35" s="12"/>
      <c r="K35" s="12"/>
      <c r="L35" s="12"/>
      <c r="M35" s="165"/>
      <c r="N35" s="166"/>
      <c r="O35" s="13"/>
      <c r="P35" s="13"/>
      <c r="Q35" s="27"/>
      <c r="R35" s="12"/>
      <c r="S35" s="12"/>
      <c r="T35" s="171"/>
      <c r="U35" s="159"/>
      <c r="V35" s="13"/>
      <c r="W35" s="13"/>
      <c r="X35" s="27"/>
      <c r="Y35" s="12"/>
      <c r="Z35" s="12"/>
      <c r="AA35" s="165"/>
      <c r="AB35" s="166"/>
      <c r="AC35" s="13"/>
      <c r="AD35" s="13"/>
      <c r="AE35" s="27"/>
      <c r="AF35" s="12"/>
      <c r="AG35" s="12"/>
      <c r="AH35" s="171"/>
      <c r="AI35" s="159"/>
      <c r="AJ35" s="13"/>
      <c r="AK35" s="13"/>
      <c r="AL35" s="27"/>
      <c r="AM35" s="12"/>
      <c r="AN35" s="12"/>
      <c r="AO35" s="171"/>
      <c r="AP35" s="159"/>
      <c r="AQ35" s="13"/>
      <c r="AR35" s="13"/>
      <c r="AS35" s="27"/>
      <c r="AT35" s="12"/>
      <c r="AU35" s="12"/>
      <c r="AV35" s="165"/>
      <c r="AW35" s="159"/>
      <c r="AX35" s="13"/>
      <c r="AY35" s="13"/>
      <c r="AZ35" s="27"/>
      <c r="BA35" s="12"/>
      <c r="BB35" s="12"/>
      <c r="BC35" s="165"/>
    </row>
    <row r="36" spans="1:55" ht="18" customHeight="1" x14ac:dyDescent="0.3">
      <c r="A36" s="5">
        <v>31</v>
      </c>
      <c r="B36" s="109"/>
      <c r="C36" s="149"/>
      <c r="D36" s="57"/>
      <c r="E36" s="57"/>
      <c r="F36" s="58"/>
      <c r="G36" s="159"/>
      <c r="H36" s="12"/>
      <c r="I36" s="12"/>
      <c r="J36" s="12"/>
      <c r="K36" s="12"/>
      <c r="L36" s="12"/>
      <c r="M36" s="165"/>
      <c r="N36" s="166"/>
      <c r="O36" s="13"/>
      <c r="P36" s="13"/>
      <c r="Q36" s="27"/>
      <c r="R36" s="12"/>
      <c r="S36" s="12"/>
      <c r="T36" s="171"/>
      <c r="U36" s="159"/>
      <c r="V36" s="13"/>
      <c r="W36" s="13"/>
      <c r="X36" s="27"/>
      <c r="Y36" s="12"/>
      <c r="Z36" s="12"/>
      <c r="AA36" s="165"/>
      <c r="AB36" s="166"/>
      <c r="AC36" s="13"/>
      <c r="AD36" s="13"/>
      <c r="AE36" s="27"/>
      <c r="AF36" s="12"/>
      <c r="AG36" s="12"/>
      <c r="AH36" s="171"/>
      <c r="AI36" s="159"/>
      <c r="AJ36" s="13"/>
      <c r="AK36" s="13"/>
      <c r="AL36" s="27"/>
      <c r="AM36" s="12"/>
      <c r="AN36" s="12"/>
      <c r="AO36" s="171"/>
      <c r="AP36" s="159"/>
      <c r="AQ36" s="13"/>
      <c r="AR36" s="13"/>
      <c r="AS36" s="27"/>
      <c r="AT36" s="12"/>
      <c r="AU36" s="12"/>
      <c r="AV36" s="165"/>
      <c r="AW36" s="159"/>
      <c r="AX36" s="13"/>
      <c r="AY36" s="13"/>
      <c r="AZ36" s="27"/>
      <c r="BA36" s="12"/>
      <c r="BB36" s="12"/>
      <c r="BC36" s="165"/>
    </row>
    <row r="37" spans="1:55" ht="18" customHeight="1" x14ac:dyDescent="0.3">
      <c r="A37" s="5">
        <v>32</v>
      </c>
      <c r="B37" s="110"/>
      <c r="C37" s="149"/>
      <c r="D37" s="57"/>
      <c r="E37" s="57"/>
      <c r="F37" s="58"/>
      <c r="G37" s="160"/>
      <c r="H37" s="36"/>
      <c r="I37" s="36"/>
      <c r="J37" s="36"/>
      <c r="K37" s="36"/>
      <c r="L37" s="36"/>
      <c r="M37" s="167"/>
      <c r="N37" s="168"/>
      <c r="O37" s="37"/>
      <c r="P37" s="37"/>
      <c r="Q37" s="27"/>
      <c r="R37" s="36"/>
      <c r="S37" s="36"/>
      <c r="T37" s="172"/>
      <c r="U37" s="160"/>
      <c r="V37" s="37"/>
      <c r="W37" s="37"/>
      <c r="X37" s="27"/>
      <c r="Y37" s="36"/>
      <c r="Z37" s="36"/>
      <c r="AA37" s="167"/>
      <c r="AB37" s="168"/>
      <c r="AC37" s="37"/>
      <c r="AD37" s="37"/>
      <c r="AE37" s="27"/>
      <c r="AF37" s="36"/>
      <c r="AG37" s="36"/>
      <c r="AH37" s="172"/>
      <c r="AI37" s="160"/>
      <c r="AJ37" s="37"/>
      <c r="AK37" s="37"/>
      <c r="AL37" s="27"/>
      <c r="AM37" s="36"/>
      <c r="AN37" s="36"/>
      <c r="AO37" s="172"/>
      <c r="AP37" s="160"/>
      <c r="AQ37" s="37"/>
      <c r="AR37" s="37"/>
      <c r="AS37" s="27"/>
      <c r="AT37" s="36"/>
      <c r="AU37" s="36"/>
      <c r="AV37" s="167"/>
      <c r="AW37" s="160"/>
      <c r="AX37" s="37"/>
      <c r="AY37" s="37"/>
      <c r="AZ37" s="27"/>
      <c r="BA37" s="36"/>
      <c r="BB37" s="36"/>
      <c r="BC37" s="167"/>
    </row>
    <row r="38" spans="1:55" ht="18" customHeight="1" x14ac:dyDescent="0.3">
      <c r="A38" s="5">
        <v>33</v>
      </c>
      <c r="B38" s="111"/>
      <c r="C38" s="149"/>
      <c r="D38" s="57"/>
      <c r="E38" s="57"/>
      <c r="F38" s="58"/>
      <c r="G38" s="159"/>
      <c r="H38" s="12"/>
      <c r="I38" s="12"/>
      <c r="J38" s="12"/>
      <c r="K38" s="12"/>
      <c r="L38" s="12"/>
      <c r="M38" s="165"/>
      <c r="N38" s="166"/>
      <c r="O38" s="13"/>
      <c r="P38" s="13"/>
      <c r="Q38" s="27"/>
      <c r="R38" s="12"/>
      <c r="S38" s="12"/>
      <c r="T38" s="171"/>
      <c r="U38" s="159"/>
      <c r="V38" s="13"/>
      <c r="W38" s="13"/>
      <c r="X38" s="27"/>
      <c r="Y38" s="12"/>
      <c r="Z38" s="12"/>
      <c r="AA38" s="165"/>
      <c r="AB38" s="166"/>
      <c r="AC38" s="13"/>
      <c r="AD38" s="13"/>
      <c r="AE38" s="27"/>
      <c r="AF38" s="12"/>
      <c r="AG38" s="12"/>
      <c r="AH38" s="171"/>
      <c r="AI38" s="159"/>
      <c r="AJ38" s="13"/>
      <c r="AK38" s="13"/>
      <c r="AL38" s="27"/>
      <c r="AM38" s="12"/>
      <c r="AN38" s="12"/>
      <c r="AO38" s="171"/>
      <c r="AP38" s="159"/>
      <c r="AQ38" s="13"/>
      <c r="AR38" s="13"/>
      <c r="AS38" s="27"/>
      <c r="AT38" s="12"/>
      <c r="AU38" s="12"/>
      <c r="AV38" s="165"/>
      <c r="AW38" s="159"/>
      <c r="AX38" s="13"/>
      <c r="AY38" s="13"/>
      <c r="AZ38" s="27"/>
      <c r="BA38" s="12"/>
      <c r="BB38" s="12"/>
      <c r="BC38" s="165"/>
    </row>
    <row r="39" spans="1:55" ht="18" customHeight="1" x14ac:dyDescent="0.3">
      <c r="A39" s="5">
        <v>34</v>
      </c>
      <c r="B39" s="109"/>
      <c r="C39" s="149"/>
      <c r="D39" s="57"/>
      <c r="E39" s="57"/>
      <c r="F39" s="58"/>
      <c r="G39" s="170"/>
      <c r="H39" s="15"/>
      <c r="I39" s="15"/>
      <c r="J39" s="15"/>
      <c r="K39" s="15"/>
      <c r="L39" s="15"/>
      <c r="M39" s="169"/>
      <c r="N39" s="170"/>
      <c r="O39" s="14"/>
      <c r="P39" s="14"/>
      <c r="Q39" s="27"/>
      <c r="R39" s="15"/>
      <c r="S39" s="15"/>
      <c r="T39" s="173"/>
      <c r="U39" s="161"/>
      <c r="V39" s="14"/>
      <c r="W39" s="14"/>
      <c r="X39" s="27"/>
      <c r="Y39" s="15"/>
      <c r="Z39" s="15"/>
      <c r="AA39" s="171"/>
      <c r="AB39" s="159"/>
      <c r="AC39" s="13"/>
      <c r="AD39" s="13"/>
      <c r="AE39" s="27"/>
      <c r="AF39" s="12"/>
      <c r="AG39" s="12"/>
      <c r="AH39" s="165"/>
      <c r="AI39" s="166"/>
      <c r="AJ39" s="13"/>
      <c r="AK39" s="13"/>
      <c r="AL39" s="27"/>
      <c r="AM39" s="12"/>
      <c r="AN39" s="12"/>
      <c r="AO39" s="171"/>
      <c r="AP39" s="159"/>
      <c r="AQ39" s="13"/>
      <c r="AR39" s="13"/>
      <c r="AS39" s="27"/>
      <c r="AT39" s="12"/>
      <c r="AU39" s="12"/>
      <c r="AV39" s="165"/>
      <c r="AW39" s="166"/>
      <c r="AX39" s="13"/>
      <c r="AY39" s="13"/>
      <c r="AZ39" s="27"/>
      <c r="BA39" s="12"/>
      <c r="BB39" s="12"/>
      <c r="BC39" s="173"/>
    </row>
    <row r="40" spans="1:55" ht="18" customHeight="1" thickBot="1" x14ac:dyDescent="0.35">
      <c r="A40" s="5">
        <v>35</v>
      </c>
      <c r="B40" s="109"/>
      <c r="C40" s="149"/>
      <c r="D40" s="57"/>
      <c r="E40" s="57"/>
      <c r="F40" s="58"/>
      <c r="G40" s="236"/>
      <c r="H40" s="234"/>
      <c r="I40" s="234"/>
      <c r="J40" s="234"/>
      <c r="K40" s="234"/>
      <c r="L40" s="234"/>
      <c r="M40" s="237"/>
      <c r="N40" s="236"/>
      <c r="O40" s="238"/>
      <c r="P40" s="238"/>
      <c r="Q40" s="233"/>
      <c r="R40" s="234"/>
      <c r="S40" s="234"/>
      <c r="T40" s="235"/>
      <c r="U40" s="239"/>
      <c r="V40" s="238"/>
      <c r="W40" s="238"/>
      <c r="X40" s="233"/>
      <c r="Y40" s="234"/>
      <c r="Z40" s="234"/>
      <c r="AA40" s="240"/>
      <c r="AB40" s="241"/>
      <c r="AC40" s="242"/>
      <c r="AD40" s="242"/>
      <c r="AE40" s="233"/>
      <c r="AF40" s="243"/>
      <c r="AG40" s="243"/>
      <c r="AH40" s="244"/>
      <c r="AI40" s="245"/>
      <c r="AJ40" s="242"/>
      <c r="AK40" s="242"/>
      <c r="AL40" s="233"/>
      <c r="AM40" s="243"/>
      <c r="AN40" s="243"/>
      <c r="AO40" s="240"/>
      <c r="AP40" s="241"/>
      <c r="AQ40" s="242"/>
      <c r="AR40" s="242"/>
      <c r="AS40" s="233"/>
      <c r="AT40" s="243"/>
      <c r="AU40" s="243"/>
      <c r="AV40" s="244"/>
      <c r="AW40" s="245"/>
      <c r="AX40" s="242"/>
      <c r="AY40" s="242"/>
      <c r="AZ40" s="233"/>
      <c r="BA40" s="243"/>
      <c r="BB40" s="243"/>
      <c r="BC40" s="235"/>
    </row>
  </sheetData>
  <mergeCells count="22">
    <mergeCell ref="BB1:BC1"/>
    <mergeCell ref="G3:M3"/>
    <mergeCell ref="N3:T3"/>
    <mergeCell ref="U3:AA3"/>
    <mergeCell ref="AB3:AH3"/>
    <mergeCell ref="AI3:AO3"/>
    <mergeCell ref="G2:M2"/>
    <mergeCell ref="AP3:AV3"/>
    <mergeCell ref="AW3:BC3"/>
    <mergeCell ref="AW2:BC2"/>
    <mergeCell ref="N2:T2"/>
    <mergeCell ref="U2:AA2"/>
    <mergeCell ref="AB2:AH2"/>
    <mergeCell ref="AI2:AO2"/>
    <mergeCell ref="AP2:AV2"/>
    <mergeCell ref="A2:A5"/>
    <mergeCell ref="B2:B5"/>
    <mergeCell ref="C2:C5"/>
    <mergeCell ref="D2:F2"/>
    <mergeCell ref="D4:F4"/>
    <mergeCell ref="D5:F5"/>
    <mergeCell ref="D3:F3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D40"/>
  <sheetViews>
    <sheetView view="pageBreakPreview" topLeftCell="A7" zoomScale="120" zoomScaleNormal="150" zoomScaleSheetLayoutView="120" workbookViewId="0">
      <selection activeCell="C18" sqref="C18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56" max="16384" width="9.125" style="1"/>
  </cols>
  <sheetData>
    <row r="1" spans="1:56" ht="18" customHeight="1" thickBot="1" x14ac:dyDescent="0.4">
      <c r="A1" s="53"/>
      <c r="S1" s="455"/>
      <c r="T1" s="455"/>
      <c r="AA1" s="7"/>
      <c r="BB1" s="448">
        <v>3</v>
      </c>
      <c r="BC1" s="448"/>
    </row>
    <row r="2" spans="1:56" ht="18" customHeight="1" thickBot="1" x14ac:dyDescent="0.35">
      <c r="A2" s="431" t="s">
        <v>27</v>
      </c>
      <c r="B2" s="434" t="s">
        <v>28</v>
      </c>
      <c r="C2" s="436" t="s">
        <v>29</v>
      </c>
      <c r="D2" s="439" t="s">
        <v>30</v>
      </c>
      <c r="E2" s="440"/>
      <c r="F2" s="441"/>
      <c r="G2" s="452" t="s">
        <v>188</v>
      </c>
      <c r="H2" s="453"/>
      <c r="I2" s="453"/>
      <c r="J2" s="453"/>
      <c r="K2" s="453"/>
      <c r="L2" s="453"/>
      <c r="M2" s="454"/>
      <c r="N2" s="452" t="s">
        <v>172</v>
      </c>
      <c r="O2" s="453"/>
      <c r="P2" s="453"/>
      <c r="Q2" s="453"/>
      <c r="R2" s="453"/>
      <c r="S2" s="453"/>
      <c r="T2" s="454"/>
      <c r="U2" s="452" t="s">
        <v>172</v>
      </c>
      <c r="V2" s="453"/>
      <c r="W2" s="453"/>
      <c r="X2" s="453"/>
      <c r="Y2" s="453"/>
      <c r="Z2" s="453"/>
      <c r="AA2" s="454"/>
      <c r="AB2" s="456" t="s">
        <v>186</v>
      </c>
      <c r="AC2" s="457"/>
      <c r="AD2" s="457"/>
      <c r="AE2" s="457"/>
      <c r="AF2" s="457"/>
      <c r="AG2" s="457"/>
      <c r="AH2" s="458"/>
      <c r="AI2" s="456" t="s">
        <v>173</v>
      </c>
      <c r="AJ2" s="457"/>
      <c r="AK2" s="457"/>
      <c r="AL2" s="457"/>
      <c r="AM2" s="457"/>
      <c r="AN2" s="457"/>
      <c r="AO2" s="458"/>
      <c r="AP2" s="456" t="s">
        <v>173</v>
      </c>
      <c r="AQ2" s="457"/>
      <c r="AR2" s="457"/>
      <c r="AS2" s="457"/>
      <c r="AT2" s="457"/>
      <c r="AU2" s="457"/>
      <c r="AV2" s="458"/>
      <c r="AW2" s="456" t="s">
        <v>173</v>
      </c>
      <c r="AX2" s="457"/>
      <c r="AY2" s="457"/>
      <c r="AZ2" s="457"/>
      <c r="BA2" s="457"/>
      <c r="BB2" s="457"/>
      <c r="BC2" s="458"/>
    </row>
    <row r="3" spans="1:56" ht="18" customHeight="1" thickBot="1" x14ac:dyDescent="0.35">
      <c r="A3" s="432"/>
      <c r="B3" s="435"/>
      <c r="C3" s="437"/>
      <c r="D3" s="442" t="s">
        <v>31</v>
      </c>
      <c r="E3" s="443"/>
      <c r="F3" s="444"/>
      <c r="G3" s="449">
        <v>8</v>
      </c>
      <c r="H3" s="450"/>
      <c r="I3" s="450"/>
      <c r="J3" s="450"/>
      <c r="K3" s="450"/>
      <c r="L3" s="450"/>
      <c r="M3" s="451"/>
      <c r="N3" s="449">
        <v>9</v>
      </c>
      <c r="O3" s="450"/>
      <c r="P3" s="450"/>
      <c r="Q3" s="450"/>
      <c r="R3" s="450"/>
      <c r="S3" s="450"/>
      <c r="T3" s="451"/>
      <c r="U3" s="449">
        <v>10</v>
      </c>
      <c r="V3" s="450"/>
      <c r="W3" s="450"/>
      <c r="X3" s="450"/>
      <c r="Y3" s="450"/>
      <c r="Z3" s="450"/>
      <c r="AA3" s="451"/>
      <c r="AB3" s="460">
        <v>11</v>
      </c>
      <c r="AC3" s="460"/>
      <c r="AD3" s="461"/>
      <c r="AE3" s="461"/>
      <c r="AF3" s="461"/>
      <c r="AG3" s="462"/>
      <c r="AH3" s="463"/>
      <c r="AI3" s="464">
        <v>12</v>
      </c>
      <c r="AJ3" s="461"/>
      <c r="AK3" s="461"/>
      <c r="AL3" s="461"/>
      <c r="AM3" s="461"/>
      <c r="AN3" s="461"/>
      <c r="AO3" s="462"/>
      <c r="AP3" s="464">
        <v>13</v>
      </c>
      <c r="AQ3" s="460"/>
      <c r="AR3" s="460"/>
      <c r="AS3" s="461"/>
      <c r="AT3" s="461"/>
      <c r="AU3" s="461"/>
      <c r="AV3" s="463"/>
      <c r="AW3" s="464">
        <v>14</v>
      </c>
      <c r="AX3" s="460"/>
      <c r="AY3" s="460"/>
      <c r="AZ3" s="461"/>
      <c r="BA3" s="461"/>
      <c r="BB3" s="461"/>
      <c r="BC3" s="463"/>
    </row>
    <row r="4" spans="1:56" ht="18" customHeight="1" x14ac:dyDescent="0.3">
      <c r="A4" s="432"/>
      <c r="B4" s="435"/>
      <c r="C4" s="437"/>
      <c r="D4" s="442" t="s">
        <v>32</v>
      </c>
      <c r="E4" s="443"/>
      <c r="F4" s="444"/>
      <c r="G4" s="157">
        <v>5</v>
      </c>
      <c r="H4" s="155">
        <v>6</v>
      </c>
      <c r="I4" s="155">
        <v>7</v>
      </c>
      <c r="J4" s="10">
        <v>8</v>
      </c>
      <c r="K4" s="10">
        <v>9</v>
      </c>
      <c r="L4" s="10">
        <v>10</v>
      </c>
      <c r="M4" s="162">
        <v>11</v>
      </c>
      <c r="N4" s="157">
        <v>12</v>
      </c>
      <c r="O4" s="155">
        <v>13</v>
      </c>
      <c r="P4" s="155">
        <v>14</v>
      </c>
      <c r="Q4" s="10">
        <v>15</v>
      </c>
      <c r="R4" s="10">
        <v>16</v>
      </c>
      <c r="S4" s="10">
        <v>17</v>
      </c>
      <c r="T4" s="162">
        <v>18</v>
      </c>
      <c r="U4" s="157">
        <v>19</v>
      </c>
      <c r="V4" s="155">
        <v>20</v>
      </c>
      <c r="W4" s="155">
        <v>21</v>
      </c>
      <c r="X4" s="155">
        <v>22</v>
      </c>
      <c r="Y4" s="155">
        <v>23</v>
      </c>
      <c r="Z4" s="155">
        <v>24</v>
      </c>
      <c r="AA4" s="162">
        <v>25</v>
      </c>
      <c r="AB4" s="157">
        <v>26</v>
      </c>
      <c r="AC4" s="156">
        <v>27</v>
      </c>
      <c r="AD4" s="123">
        <v>28</v>
      </c>
      <c r="AE4" s="156">
        <v>29</v>
      </c>
      <c r="AF4" s="123">
        <v>30</v>
      </c>
      <c r="AG4" s="156">
        <v>31</v>
      </c>
      <c r="AH4" s="162">
        <v>1</v>
      </c>
      <c r="AI4" s="157">
        <v>2</v>
      </c>
      <c r="AJ4" s="123">
        <v>3</v>
      </c>
      <c r="AK4" s="123">
        <v>4</v>
      </c>
      <c r="AL4" s="123">
        <v>5</v>
      </c>
      <c r="AM4" s="123">
        <v>6</v>
      </c>
      <c r="AN4" s="123">
        <v>7</v>
      </c>
      <c r="AO4" s="162">
        <v>8</v>
      </c>
      <c r="AP4" s="157">
        <v>9</v>
      </c>
      <c r="AQ4" s="156">
        <v>10</v>
      </c>
      <c r="AR4" s="156">
        <v>11</v>
      </c>
      <c r="AS4" s="123">
        <v>12</v>
      </c>
      <c r="AT4" s="123">
        <v>13</v>
      </c>
      <c r="AU4" s="123">
        <v>14</v>
      </c>
      <c r="AV4" s="162">
        <v>15</v>
      </c>
      <c r="AW4" s="157">
        <v>16</v>
      </c>
      <c r="AX4" s="156">
        <v>17</v>
      </c>
      <c r="AY4" s="156">
        <v>18</v>
      </c>
      <c r="AZ4" s="123">
        <v>19</v>
      </c>
      <c r="BA4" s="123">
        <v>20</v>
      </c>
      <c r="BB4" s="123">
        <v>21</v>
      </c>
      <c r="BC4" s="228">
        <v>22</v>
      </c>
    </row>
    <row r="5" spans="1:56" ht="18" customHeight="1" thickBot="1" x14ac:dyDescent="0.35">
      <c r="A5" s="433"/>
      <c r="B5" s="459"/>
      <c r="C5" s="438"/>
      <c r="D5" s="445" t="s">
        <v>33</v>
      </c>
      <c r="E5" s="446"/>
      <c r="F5" s="447"/>
      <c r="G5" s="249"/>
      <c r="H5" s="250"/>
      <c r="I5" s="250"/>
      <c r="J5" s="251"/>
      <c r="K5" s="251"/>
      <c r="L5" s="251"/>
      <c r="M5" s="252"/>
      <c r="N5" s="249"/>
      <c r="O5" s="250"/>
      <c r="P5" s="250"/>
      <c r="Q5" s="251"/>
      <c r="R5" s="251"/>
      <c r="S5" s="251"/>
      <c r="T5" s="252"/>
      <c r="U5" s="249"/>
      <c r="V5" s="250"/>
      <c r="W5" s="250"/>
      <c r="X5" s="251"/>
      <c r="Y5" s="251"/>
      <c r="Z5" s="251"/>
      <c r="AA5" s="252"/>
      <c r="AB5" s="249"/>
      <c r="AC5" s="250"/>
      <c r="AD5" s="250"/>
      <c r="AE5" s="251"/>
      <c r="AF5" s="251"/>
      <c r="AG5" s="251"/>
      <c r="AH5" s="252"/>
      <c r="AI5" s="246"/>
      <c r="AJ5" s="256"/>
      <c r="AK5" s="257"/>
      <c r="AL5" s="258"/>
      <c r="AM5" s="258"/>
      <c r="AN5" s="258"/>
      <c r="AO5" s="248"/>
      <c r="AP5" s="246"/>
      <c r="AQ5" s="257"/>
      <c r="AR5" s="258"/>
      <c r="AS5" s="258"/>
      <c r="AT5" s="258"/>
      <c r="AU5" s="258"/>
      <c r="AV5" s="248"/>
      <c r="AW5" s="246"/>
      <c r="AX5" s="256"/>
      <c r="AY5" s="256"/>
      <c r="AZ5" s="257"/>
      <c r="BA5" s="258"/>
      <c r="BB5" s="258"/>
      <c r="BC5" s="259"/>
    </row>
    <row r="6" spans="1:56" ht="18" customHeight="1" x14ac:dyDescent="0.3">
      <c r="A6" s="3">
        <v>1</v>
      </c>
      <c r="B6" s="150">
        <f>'เวลาเรียน (2)'!B6</f>
        <v>4997</v>
      </c>
      <c r="C6" s="149" t="str">
        <f>'เวลาเรียน (2)'!C6</f>
        <v>เด็กชายธนาธร    กิติกาแดง</v>
      </c>
      <c r="D6" s="55"/>
      <c r="E6" s="55"/>
      <c r="F6" s="56"/>
      <c r="G6" s="158"/>
      <c r="H6" s="351"/>
      <c r="I6" s="351"/>
      <c r="J6" s="351"/>
      <c r="K6" s="351"/>
      <c r="L6" s="351"/>
      <c r="M6" s="352"/>
      <c r="N6" s="353"/>
      <c r="O6" s="351"/>
      <c r="P6" s="351"/>
      <c r="Q6" s="351"/>
      <c r="R6" s="351"/>
      <c r="S6" s="351"/>
      <c r="T6" s="352"/>
      <c r="U6" s="353"/>
      <c r="V6" s="351"/>
      <c r="W6" s="351"/>
      <c r="X6" s="351"/>
      <c r="Y6" s="351"/>
      <c r="Z6" s="351"/>
      <c r="AA6" s="352"/>
      <c r="AB6" s="354"/>
      <c r="AC6" s="351"/>
      <c r="AD6" s="351"/>
      <c r="AE6" s="351"/>
      <c r="AF6" s="351"/>
      <c r="AG6" s="351"/>
      <c r="AH6" s="355"/>
      <c r="AI6" s="354"/>
      <c r="AJ6" s="351"/>
      <c r="AK6" s="351"/>
      <c r="AL6" s="351"/>
      <c r="AM6" s="351"/>
      <c r="AN6" s="351"/>
      <c r="AO6" s="355"/>
      <c r="AP6" s="354"/>
      <c r="AQ6" s="351"/>
      <c r="AR6" s="351"/>
      <c r="AS6" s="351"/>
      <c r="AT6" s="351"/>
      <c r="AU6" s="351"/>
      <c r="AV6" s="355"/>
      <c r="AW6" s="356"/>
      <c r="AX6" s="351"/>
      <c r="AY6" s="351"/>
      <c r="AZ6" s="351"/>
      <c r="BA6" s="351"/>
      <c r="BB6" s="351"/>
      <c r="BC6" s="355"/>
      <c r="BD6" s="364"/>
    </row>
    <row r="7" spans="1:56" ht="18" customHeight="1" x14ac:dyDescent="0.3">
      <c r="A7" s="5">
        <v>2</v>
      </c>
      <c r="B7" s="151">
        <f>'เวลาเรียน (2)'!B7</f>
        <v>4998</v>
      </c>
      <c r="C7" s="149" t="str">
        <f>'เวลาเรียน (2)'!C7</f>
        <v>เด็กชายนิรวุฒิ  วันทอง</v>
      </c>
      <c r="D7" s="57"/>
      <c r="E7" s="57"/>
      <c r="F7" s="58"/>
      <c r="G7" s="159"/>
      <c r="H7" s="357"/>
      <c r="I7" s="357"/>
      <c r="J7" s="357"/>
      <c r="K7" s="357"/>
      <c r="L7" s="357"/>
      <c r="M7" s="358"/>
      <c r="N7" s="359"/>
      <c r="O7" s="357"/>
      <c r="P7" s="357"/>
      <c r="Q7" s="357"/>
      <c r="R7" s="357"/>
      <c r="S7" s="357"/>
      <c r="T7" s="358"/>
      <c r="U7" s="359"/>
      <c r="V7" s="357"/>
      <c r="W7" s="357"/>
      <c r="X7" s="357"/>
      <c r="Y7" s="357"/>
      <c r="Z7" s="357"/>
      <c r="AA7" s="358"/>
      <c r="AB7" s="360"/>
      <c r="AC7" s="357"/>
      <c r="AD7" s="357"/>
      <c r="AE7" s="357"/>
      <c r="AF7" s="357"/>
      <c r="AG7" s="357"/>
      <c r="AH7" s="355"/>
      <c r="AI7" s="360"/>
      <c r="AJ7" s="357"/>
      <c r="AK7" s="357"/>
      <c r="AL7" s="357"/>
      <c r="AM7" s="357"/>
      <c r="AN7" s="357"/>
      <c r="AO7" s="355"/>
      <c r="AP7" s="360"/>
      <c r="AQ7" s="357"/>
      <c r="AR7" s="357"/>
      <c r="AS7" s="357"/>
      <c r="AT7" s="357"/>
      <c r="AU7" s="357"/>
      <c r="AV7" s="355"/>
      <c r="AW7" s="361"/>
      <c r="AX7" s="357"/>
      <c r="AY7" s="357"/>
      <c r="AZ7" s="357"/>
      <c r="BA7" s="357"/>
      <c r="BB7" s="357"/>
      <c r="BC7" s="355"/>
      <c r="BD7" s="364"/>
    </row>
    <row r="8" spans="1:56" ht="18" customHeight="1" x14ac:dyDescent="0.3">
      <c r="A8" s="5">
        <v>3</v>
      </c>
      <c r="B8" s="151">
        <f>'เวลาเรียน (2)'!B8</f>
        <v>4999</v>
      </c>
      <c r="C8" s="149" t="str">
        <f>'เวลาเรียน (2)'!C8</f>
        <v>เด็กชายศรันยู  รัตนมงคล</v>
      </c>
      <c r="D8" s="57"/>
      <c r="E8" s="57"/>
      <c r="F8" s="58"/>
      <c r="G8" s="159"/>
      <c r="H8" s="357"/>
      <c r="I8" s="357"/>
      <c r="J8" s="357"/>
      <c r="K8" s="357"/>
      <c r="L8" s="357"/>
      <c r="M8" s="358"/>
      <c r="N8" s="359"/>
      <c r="O8" s="357"/>
      <c r="P8" s="357"/>
      <c r="Q8" s="357"/>
      <c r="R8" s="357"/>
      <c r="S8" s="357"/>
      <c r="T8" s="358"/>
      <c r="U8" s="359"/>
      <c r="V8" s="357"/>
      <c r="W8" s="357"/>
      <c r="X8" s="357"/>
      <c r="Y8" s="357"/>
      <c r="Z8" s="357"/>
      <c r="AA8" s="358"/>
      <c r="AB8" s="360"/>
      <c r="AC8" s="357"/>
      <c r="AD8" s="357"/>
      <c r="AE8" s="357"/>
      <c r="AF8" s="357"/>
      <c r="AG8" s="357"/>
      <c r="AH8" s="355"/>
      <c r="AI8" s="360"/>
      <c r="AJ8" s="357"/>
      <c r="AK8" s="357"/>
      <c r="AL8" s="357"/>
      <c r="AM8" s="357"/>
      <c r="AN8" s="357"/>
      <c r="AO8" s="355"/>
      <c r="AP8" s="360"/>
      <c r="AQ8" s="357"/>
      <c r="AR8" s="357"/>
      <c r="AS8" s="357"/>
      <c r="AT8" s="357"/>
      <c r="AU8" s="357"/>
      <c r="AV8" s="355"/>
      <c r="AW8" s="361"/>
      <c r="AX8" s="357"/>
      <c r="AY8" s="357"/>
      <c r="AZ8" s="357"/>
      <c r="BA8" s="357"/>
      <c r="BB8" s="357"/>
      <c r="BC8" s="355"/>
      <c r="BD8" s="364"/>
    </row>
    <row r="9" spans="1:56" ht="18" customHeight="1" x14ac:dyDescent="0.3">
      <c r="A9" s="5">
        <v>4</v>
      </c>
      <c r="B9" s="151">
        <f>'เวลาเรียน (2)'!B9</f>
        <v>5000</v>
      </c>
      <c r="C9" s="149" t="str">
        <f>'เวลาเรียน (2)'!C9</f>
        <v>เด็กชายสิรธีร์  เวียงอินทร์</v>
      </c>
      <c r="D9" s="57"/>
      <c r="E9" s="57"/>
      <c r="F9" s="58"/>
      <c r="G9" s="159"/>
      <c r="H9" s="357"/>
      <c r="I9" s="357"/>
      <c r="J9" s="357"/>
      <c r="K9" s="357"/>
      <c r="L9" s="357"/>
      <c r="M9" s="358"/>
      <c r="N9" s="359"/>
      <c r="O9" s="357"/>
      <c r="P9" s="357"/>
      <c r="Q9" s="357"/>
      <c r="R9" s="357"/>
      <c r="S9" s="357"/>
      <c r="T9" s="358"/>
      <c r="U9" s="359"/>
      <c r="V9" s="357"/>
      <c r="W9" s="357"/>
      <c r="X9" s="357"/>
      <c r="Y9" s="357"/>
      <c r="Z9" s="357"/>
      <c r="AA9" s="358"/>
      <c r="AB9" s="360"/>
      <c r="AC9" s="357"/>
      <c r="AD9" s="357"/>
      <c r="AE9" s="357"/>
      <c r="AF9" s="357"/>
      <c r="AG9" s="357"/>
      <c r="AH9" s="355"/>
      <c r="AI9" s="360"/>
      <c r="AJ9" s="357"/>
      <c r="AK9" s="357"/>
      <c r="AL9" s="357"/>
      <c r="AM9" s="357"/>
      <c r="AN9" s="357"/>
      <c r="AO9" s="355"/>
      <c r="AP9" s="360"/>
      <c r="AQ9" s="357"/>
      <c r="AR9" s="357"/>
      <c r="AS9" s="357"/>
      <c r="AT9" s="357"/>
      <c r="AU9" s="357"/>
      <c r="AV9" s="355"/>
      <c r="AW9" s="361"/>
      <c r="AX9" s="357"/>
      <c r="AY9" s="357"/>
      <c r="AZ9" s="357"/>
      <c r="BA9" s="357"/>
      <c r="BB9" s="357"/>
      <c r="BC9" s="355"/>
      <c r="BD9" s="364"/>
    </row>
    <row r="10" spans="1:56" ht="18" customHeight="1" x14ac:dyDescent="0.3">
      <c r="A10" s="5">
        <v>5</v>
      </c>
      <c r="B10" s="151">
        <f>'เวลาเรียน (2)'!B10</f>
        <v>5001</v>
      </c>
      <c r="C10" s="149" t="str">
        <f>'เวลาเรียน (2)'!C10</f>
        <v>เด็กหญิงจิรภิญญา  เขื่อนพงษ์</v>
      </c>
      <c r="D10" s="57"/>
      <c r="E10" s="57"/>
      <c r="F10" s="58"/>
      <c r="G10" s="159"/>
      <c r="H10" s="357"/>
      <c r="I10" s="357"/>
      <c r="J10" s="357"/>
      <c r="K10" s="357"/>
      <c r="L10" s="357"/>
      <c r="M10" s="358"/>
      <c r="N10" s="359"/>
      <c r="O10" s="357"/>
      <c r="P10" s="357"/>
      <c r="Q10" s="357"/>
      <c r="R10" s="357"/>
      <c r="S10" s="357"/>
      <c r="T10" s="358"/>
      <c r="U10" s="359"/>
      <c r="V10" s="357"/>
      <c r="W10" s="357"/>
      <c r="X10" s="357"/>
      <c r="Y10" s="357"/>
      <c r="Z10" s="357"/>
      <c r="AA10" s="358"/>
      <c r="AB10" s="360"/>
      <c r="AC10" s="357"/>
      <c r="AD10" s="357"/>
      <c r="AE10" s="357"/>
      <c r="AF10" s="357"/>
      <c r="AG10" s="357"/>
      <c r="AH10" s="355"/>
      <c r="AI10" s="360"/>
      <c r="AJ10" s="357"/>
      <c r="AK10" s="357"/>
      <c r="AL10" s="357"/>
      <c r="AM10" s="357"/>
      <c r="AN10" s="357"/>
      <c r="AO10" s="355"/>
      <c r="AP10" s="360"/>
      <c r="AQ10" s="357"/>
      <c r="AR10" s="357"/>
      <c r="AS10" s="357"/>
      <c r="AT10" s="357"/>
      <c r="AU10" s="357"/>
      <c r="AV10" s="355"/>
      <c r="AW10" s="361"/>
      <c r="AX10" s="357"/>
      <c r="AY10" s="357"/>
      <c r="AZ10" s="357"/>
      <c r="BA10" s="357"/>
      <c r="BB10" s="357"/>
      <c r="BC10" s="355"/>
      <c r="BD10" s="364"/>
    </row>
    <row r="11" spans="1:56" ht="18" customHeight="1" x14ac:dyDescent="0.3">
      <c r="A11" s="5">
        <v>6</v>
      </c>
      <c r="B11" s="151">
        <f>'เวลาเรียน (2)'!B11</f>
        <v>5002</v>
      </c>
      <c r="C11" s="149" t="str">
        <f>'เวลาเรียน (2)'!C11</f>
        <v>เด็กหญิงภคพร  วงค์สา</v>
      </c>
      <c r="D11" s="57"/>
      <c r="E11" s="57"/>
      <c r="F11" s="58"/>
      <c r="G11" s="159"/>
      <c r="H11" s="357"/>
      <c r="I11" s="357"/>
      <c r="J11" s="357"/>
      <c r="K11" s="357"/>
      <c r="L11" s="357"/>
      <c r="M11" s="358"/>
      <c r="N11" s="359"/>
      <c r="O11" s="357"/>
      <c r="P11" s="357"/>
      <c r="Q11" s="357"/>
      <c r="R11" s="357"/>
      <c r="S11" s="357"/>
      <c r="T11" s="358"/>
      <c r="U11" s="359"/>
      <c r="V11" s="357"/>
      <c r="W11" s="357"/>
      <c r="X11" s="357"/>
      <c r="Y11" s="357"/>
      <c r="Z11" s="357"/>
      <c r="AA11" s="358"/>
      <c r="AB11" s="360"/>
      <c r="AC11" s="357"/>
      <c r="AD11" s="357"/>
      <c r="AE11" s="357"/>
      <c r="AF11" s="357"/>
      <c r="AG11" s="357"/>
      <c r="AH11" s="355"/>
      <c r="AI11" s="360"/>
      <c r="AJ11" s="357"/>
      <c r="AK11" s="357"/>
      <c r="AL11" s="357"/>
      <c r="AM11" s="357"/>
      <c r="AN11" s="357"/>
      <c r="AO11" s="355"/>
      <c r="AP11" s="360"/>
      <c r="AQ11" s="357"/>
      <c r="AR11" s="357"/>
      <c r="AS11" s="357"/>
      <c r="AT11" s="357"/>
      <c r="AU11" s="357"/>
      <c r="AV11" s="355"/>
      <c r="AW11" s="361"/>
      <c r="AX11" s="357"/>
      <c r="AY11" s="357"/>
      <c r="AZ11" s="357"/>
      <c r="BA11" s="357"/>
      <c r="BB11" s="357"/>
      <c r="BC11" s="355"/>
      <c r="BD11" s="364"/>
    </row>
    <row r="12" spans="1:56" ht="18" customHeight="1" x14ac:dyDescent="0.3">
      <c r="A12" s="5">
        <v>7</v>
      </c>
      <c r="B12" s="151">
        <f>'เวลาเรียน (2)'!B12</f>
        <v>5003</v>
      </c>
      <c r="C12" s="149" t="str">
        <f>'เวลาเรียน (2)'!C12</f>
        <v>เด็กหญิงศิริณภา  สุวรรณจันทร์</v>
      </c>
      <c r="D12" s="57"/>
      <c r="E12" s="57"/>
      <c r="F12" s="58"/>
      <c r="G12" s="159"/>
      <c r="H12" s="357"/>
      <c r="I12" s="357"/>
      <c r="J12" s="357"/>
      <c r="K12" s="357"/>
      <c r="L12" s="357"/>
      <c r="M12" s="358"/>
      <c r="N12" s="359"/>
      <c r="O12" s="357"/>
      <c r="P12" s="357"/>
      <c r="Q12" s="357"/>
      <c r="R12" s="357"/>
      <c r="S12" s="357"/>
      <c r="T12" s="358"/>
      <c r="U12" s="359"/>
      <c r="V12" s="357"/>
      <c r="W12" s="357"/>
      <c r="X12" s="357"/>
      <c r="Y12" s="357"/>
      <c r="Z12" s="357"/>
      <c r="AA12" s="358"/>
      <c r="AB12" s="360"/>
      <c r="AC12" s="357"/>
      <c r="AD12" s="357"/>
      <c r="AE12" s="357"/>
      <c r="AF12" s="357"/>
      <c r="AG12" s="357"/>
      <c r="AH12" s="355"/>
      <c r="AI12" s="360"/>
      <c r="AJ12" s="357"/>
      <c r="AK12" s="357"/>
      <c r="AL12" s="357"/>
      <c r="AM12" s="357"/>
      <c r="AN12" s="357"/>
      <c r="AO12" s="355"/>
      <c r="AP12" s="360"/>
      <c r="AQ12" s="357"/>
      <c r="AR12" s="357"/>
      <c r="AS12" s="357"/>
      <c r="AT12" s="357"/>
      <c r="AU12" s="357"/>
      <c r="AV12" s="355"/>
      <c r="AW12" s="361"/>
      <c r="AX12" s="357"/>
      <c r="AY12" s="357"/>
      <c r="AZ12" s="357"/>
      <c r="BA12" s="357"/>
      <c r="BB12" s="357"/>
      <c r="BC12" s="355"/>
      <c r="BD12" s="364"/>
    </row>
    <row r="13" spans="1:56" ht="18" customHeight="1" x14ac:dyDescent="0.3">
      <c r="A13" s="5">
        <v>8</v>
      </c>
      <c r="B13" s="151">
        <f>'เวลาเรียน (2)'!B13</f>
        <v>5004</v>
      </c>
      <c r="C13" s="149" t="str">
        <f>'เวลาเรียน (2)'!C13</f>
        <v>เด็กหญิงศุภิสรา  โม้แซง</v>
      </c>
      <c r="D13" s="57"/>
      <c r="E13" s="57"/>
      <c r="F13" s="58"/>
      <c r="G13" s="159"/>
      <c r="H13" s="357"/>
      <c r="I13" s="357"/>
      <c r="J13" s="357"/>
      <c r="K13" s="357"/>
      <c r="L13" s="357"/>
      <c r="M13" s="358"/>
      <c r="N13" s="359"/>
      <c r="O13" s="357"/>
      <c r="P13" s="357"/>
      <c r="Q13" s="357"/>
      <c r="R13" s="357"/>
      <c r="S13" s="357"/>
      <c r="T13" s="358"/>
      <c r="U13" s="359"/>
      <c r="V13" s="357"/>
      <c r="W13" s="357"/>
      <c r="X13" s="357"/>
      <c r="Y13" s="357"/>
      <c r="Z13" s="357"/>
      <c r="AA13" s="358"/>
      <c r="AB13" s="360"/>
      <c r="AC13" s="357"/>
      <c r="AD13" s="357"/>
      <c r="AE13" s="357"/>
      <c r="AF13" s="357"/>
      <c r="AG13" s="357"/>
      <c r="AH13" s="355"/>
      <c r="AI13" s="360"/>
      <c r="AJ13" s="357"/>
      <c r="AK13" s="357"/>
      <c r="AL13" s="357"/>
      <c r="AM13" s="357"/>
      <c r="AN13" s="357"/>
      <c r="AO13" s="355"/>
      <c r="AP13" s="360"/>
      <c r="AQ13" s="357"/>
      <c r="AR13" s="357"/>
      <c r="AS13" s="357"/>
      <c r="AT13" s="357"/>
      <c r="AU13" s="357"/>
      <c r="AV13" s="355"/>
      <c r="AW13" s="361"/>
      <c r="AX13" s="357"/>
      <c r="AY13" s="357"/>
      <c r="AZ13" s="357"/>
      <c r="BA13" s="357"/>
      <c r="BB13" s="357"/>
      <c r="BC13" s="355"/>
      <c r="BD13" s="364"/>
    </row>
    <row r="14" spans="1:56" ht="18" customHeight="1" x14ac:dyDescent="0.3">
      <c r="A14" s="5">
        <v>9</v>
      </c>
      <c r="B14" s="151">
        <f>'เวลาเรียน (2)'!B14</f>
        <v>5005</v>
      </c>
      <c r="C14" s="149" t="str">
        <f>'เวลาเรียน (2)'!C14</f>
        <v>เด็กหญิงสุพิชชา  ชาวนาฮี</v>
      </c>
      <c r="D14" s="57"/>
      <c r="E14" s="57"/>
      <c r="F14" s="58"/>
      <c r="G14" s="159"/>
      <c r="H14" s="357"/>
      <c r="I14" s="357"/>
      <c r="J14" s="357"/>
      <c r="K14" s="357"/>
      <c r="L14" s="357"/>
      <c r="M14" s="358"/>
      <c r="N14" s="359"/>
      <c r="O14" s="357"/>
      <c r="P14" s="357"/>
      <c r="Q14" s="357"/>
      <c r="R14" s="357"/>
      <c r="S14" s="357"/>
      <c r="T14" s="358"/>
      <c r="U14" s="359"/>
      <c r="V14" s="357"/>
      <c r="W14" s="357"/>
      <c r="X14" s="357"/>
      <c r="Y14" s="357"/>
      <c r="Z14" s="357"/>
      <c r="AA14" s="358"/>
      <c r="AB14" s="360"/>
      <c r="AC14" s="357"/>
      <c r="AD14" s="357"/>
      <c r="AE14" s="357"/>
      <c r="AF14" s="357"/>
      <c r="AG14" s="357"/>
      <c r="AH14" s="355"/>
      <c r="AI14" s="360"/>
      <c r="AJ14" s="357"/>
      <c r="AK14" s="357"/>
      <c r="AL14" s="357"/>
      <c r="AM14" s="357"/>
      <c r="AN14" s="357"/>
      <c r="AO14" s="355"/>
      <c r="AP14" s="360"/>
      <c r="AQ14" s="357"/>
      <c r="AR14" s="357"/>
      <c r="AS14" s="357"/>
      <c r="AT14" s="357"/>
      <c r="AU14" s="357"/>
      <c r="AV14" s="355"/>
      <c r="AW14" s="361"/>
      <c r="AX14" s="357"/>
      <c r="AY14" s="357"/>
      <c r="AZ14" s="357"/>
      <c r="BA14" s="357"/>
      <c r="BB14" s="357"/>
      <c r="BC14" s="355"/>
      <c r="BD14" s="364"/>
    </row>
    <row r="15" spans="1:56" ht="18" customHeight="1" x14ac:dyDescent="0.3">
      <c r="A15" s="5">
        <v>10</v>
      </c>
      <c r="B15" s="151"/>
      <c r="C15" s="149"/>
      <c r="D15" s="57"/>
      <c r="E15" s="57"/>
      <c r="F15" s="58"/>
      <c r="G15" s="159"/>
      <c r="H15" s="357"/>
      <c r="I15" s="357"/>
      <c r="J15" s="357"/>
      <c r="K15" s="357"/>
      <c r="L15" s="357"/>
      <c r="M15" s="358"/>
      <c r="N15" s="359"/>
      <c r="O15" s="357"/>
      <c r="P15" s="357"/>
      <c r="Q15" s="357"/>
      <c r="R15" s="357"/>
      <c r="S15" s="357"/>
      <c r="T15" s="358"/>
      <c r="U15" s="359"/>
      <c r="V15" s="357"/>
      <c r="W15" s="357"/>
      <c r="X15" s="357"/>
      <c r="Y15" s="357"/>
      <c r="Z15" s="357"/>
      <c r="AA15" s="358"/>
      <c r="AB15" s="360"/>
      <c r="AC15" s="357"/>
      <c r="AD15" s="357"/>
      <c r="AE15" s="357"/>
      <c r="AF15" s="357"/>
      <c r="AG15" s="357"/>
      <c r="AH15" s="355"/>
      <c r="AI15" s="360"/>
      <c r="AJ15" s="357"/>
      <c r="AK15" s="357"/>
      <c r="AL15" s="357"/>
      <c r="AM15" s="357"/>
      <c r="AN15" s="357"/>
      <c r="AO15" s="355"/>
      <c r="AP15" s="360"/>
      <c r="AQ15" s="357"/>
      <c r="AR15" s="357"/>
      <c r="AS15" s="357"/>
      <c r="AT15" s="357"/>
      <c r="AU15" s="357"/>
      <c r="AV15" s="355"/>
      <c r="AW15" s="361"/>
      <c r="AX15" s="357"/>
      <c r="AY15" s="357"/>
      <c r="AZ15" s="357"/>
      <c r="BA15" s="357"/>
      <c r="BB15" s="357"/>
      <c r="BC15" s="355"/>
      <c r="BD15" s="364"/>
    </row>
    <row r="16" spans="1:56" ht="18" customHeight="1" x14ac:dyDescent="0.3">
      <c r="A16" s="5">
        <v>11</v>
      </c>
      <c r="B16" s="151"/>
      <c r="C16" s="149"/>
      <c r="D16" s="57"/>
      <c r="E16" s="57"/>
      <c r="F16" s="58"/>
      <c r="G16" s="159"/>
      <c r="H16" s="357"/>
      <c r="I16" s="357"/>
      <c r="J16" s="357"/>
      <c r="K16" s="357"/>
      <c r="L16" s="357"/>
      <c r="M16" s="358"/>
      <c r="N16" s="359"/>
      <c r="O16" s="357"/>
      <c r="P16" s="357"/>
      <c r="Q16" s="357"/>
      <c r="R16" s="357"/>
      <c r="S16" s="357"/>
      <c r="T16" s="358"/>
      <c r="U16" s="359"/>
      <c r="V16" s="357"/>
      <c r="W16" s="357"/>
      <c r="X16" s="357"/>
      <c r="Y16" s="357"/>
      <c r="Z16" s="357"/>
      <c r="AA16" s="358"/>
      <c r="AB16" s="360"/>
      <c r="AC16" s="357"/>
      <c r="AD16" s="357"/>
      <c r="AE16" s="357"/>
      <c r="AF16" s="357"/>
      <c r="AG16" s="357"/>
      <c r="AH16" s="355"/>
      <c r="AI16" s="360"/>
      <c r="AJ16" s="357"/>
      <c r="AK16" s="357"/>
      <c r="AL16" s="357"/>
      <c r="AM16" s="357"/>
      <c r="AN16" s="357"/>
      <c r="AO16" s="355"/>
      <c r="AP16" s="360"/>
      <c r="AQ16" s="357"/>
      <c r="AR16" s="357"/>
      <c r="AS16" s="357"/>
      <c r="AT16" s="357"/>
      <c r="AU16" s="357"/>
      <c r="AV16" s="355"/>
      <c r="AW16" s="361"/>
      <c r="AX16" s="357"/>
      <c r="AY16" s="357"/>
      <c r="AZ16" s="357"/>
      <c r="BA16" s="357"/>
      <c r="BB16" s="357"/>
      <c r="BC16" s="355"/>
      <c r="BD16" s="364"/>
    </row>
    <row r="17" spans="1:56" ht="18" customHeight="1" x14ac:dyDescent="0.3">
      <c r="A17" s="5">
        <v>12</v>
      </c>
      <c r="B17" s="151"/>
      <c r="C17" s="149"/>
      <c r="D17" s="57"/>
      <c r="E17" s="57"/>
      <c r="F17" s="58"/>
      <c r="G17" s="159"/>
      <c r="H17" s="357"/>
      <c r="I17" s="357"/>
      <c r="J17" s="357"/>
      <c r="K17" s="357"/>
      <c r="L17" s="357"/>
      <c r="M17" s="358"/>
      <c r="N17" s="359"/>
      <c r="O17" s="357"/>
      <c r="P17" s="357"/>
      <c r="Q17" s="357"/>
      <c r="R17" s="357"/>
      <c r="S17" s="357"/>
      <c r="T17" s="358"/>
      <c r="U17" s="359"/>
      <c r="V17" s="357"/>
      <c r="W17" s="357"/>
      <c r="X17" s="357"/>
      <c r="Y17" s="357"/>
      <c r="Z17" s="357"/>
      <c r="AA17" s="358"/>
      <c r="AB17" s="360"/>
      <c r="AC17" s="357"/>
      <c r="AD17" s="357"/>
      <c r="AE17" s="357"/>
      <c r="AF17" s="357"/>
      <c r="AG17" s="357"/>
      <c r="AH17" s="355"/>
      <c r="AI17" s="360"/>
      <c r="AJ17" s="357"/>
      <c r="AK17" s="357"/>
      <c r="AL17" s="357"/>
      <c r="AM17" s="357"/>
      <c r="AN17" s="357"/>
      <c r="AO17" s="355"/>
      <c r="AP17" s="360"/>
      <c r="AQ17" s="357"/>
      <c r="AR17" s="357"/>
      <c r="AS17" s="357"/>
      <c r="AT17" s="357"/>
      <c r="AU17" s="357"/>
      <c r="AV17" s="355"/>
      <c r="AW17" s="361"/>
      <c r="AX17" s="357"/>
      <c r="AY17" s="357"/>
      <c r="AZ17" s="357"/>
      <c r="BA17" s="357"/>
      <c r="BB17" s="357"/>
      <c r="BC17" s="355"/>
      <c r="BD17" s="364"/>
    </row>
    <row r="18" spans="1:56" ht="18" customHeight="1" x14ac:dyDescent="0.3">
      <c r="A18" s="5">
        <v>13</v>
      </c>
      <c r="B18" s="151"/>
      <c r="C18" s="149"/>
      <c r="D18" s="57"/>
      <c r="E18" s="57"/>
      <c r="F18" s="58"/>
      <c r="G18" s="159"/>
      <c r="H18" s="357"/>
      <c r="I18" s="357"/>
      <c r="J18" s="357"/>
      <c r="K18" s="357"/>
      <c r="L18" s="357"/>
      <c r="M18" s="358"/>
      <c r="N18" s="359"/>
      <c r="O18" s="357"/>
      <c r="P18" s="357"/>
      <c r="Q18" s="357"/>
      <c r="R18" s="357"/>
      <c r="S18" s="357"/>
      <c r="T18" s="358"/>
      <c r="U18" s="359"/>
      <c r="V18" s="357"/>
      <c r="W18" s="357"/>
      <c r="X18" s="357"/>
      <c r="Y18" s="357"/>
      <c r="Z18" s="357"/>
      <c r="AA18" s="358"/>
      <c r="AB18" s="360"/>
      <c r="AC18" s="357"/>
      <c r="AD18" s="357"/>
      <c r="AE18" s="357"/>
      <c r="AF18" s="357"/>
      <c r="AG18" s="357"/>
      <c r="AH18" s="355"/>
      <c r="AI18" s="360"/>
      <c r="AJ18" s="357"/>
      <c r="AK18" s="357"/>
      <c r="AL18" s="357"/>
      <c r="AM18" s="357"/>
      <c r="AN18" s="357"/>
      <c r="AO18" s="355"/>
      <c r="AP18" s="360"/>
      <c r="AQ18" s="357"/>
      <c r="AR18" s="357"/>
      <c r="AS18" s="357"/>
      <c r="AT18" s="357"/>
      <c r="AU18" s="357"/>
      <c r="AV18" s="355"/>
      <c r="AW18" s="361"/>
      <c r="AX18" s="357"/>
      <c r="AY18" s="357"/>
      <c r="AZ18" s="357"/>
      <c r="BA18" s="357"/>
      <c r="BB18" s="357"/>
      <c r="BC18" s="355"/>
      <c r="BD18" s="364"/>
    </row>
    <row r="19" spans="1:56" ht="18" customHeight="1" x14ac:dyDescent="0.3">
      <c r="A19" s="5">
        <v>14</v>
      </c>
      <c r="B19" s="151"/>
      <c r="C19" s="149"/>
      <c r="D19" s="57"/>
      <c r="E19" s="57"/>
      <c r="F19" s="58"/>
      <c r="G19" s="159"/>
      <c r="H19" s="357"/>
      <c r="I19" s="357"/>
      <c r="J19" s="357"/>
      <c r="K19" s="357"/>
      <c r="L19" s="357"/>
      <c r="M19" s="358"/>
      <c r="N19" s="359"/>
      <c r="O19" s="357"/>
      <c r="P19" s="357"/>
      <c r="Q19" s="357"/>
      <c r="R19" s="357"/>
      <c r="S19" s="357"/>
      <c r="T19" s="358"/>
      <c r="U19" s="359"/>
      <c r="V19" s="357"/>
      <c r="W19" s="357"/>
      <c r="X19" s="357"/>
      <c r="Y19" s="357"/>
      <c r="Z19" s="357"/>
      <c r="AA19" s="358"/>
      <c r="AB19" s="360"/>
      <c r="AC19" s="357"/>
      <c r="AD19" s="357"/>
      <c r="AE19" s="357"/>
      <c r="AF19" s="357"/>
      <c r="AG19" s="357"/>
      <c r="AH19" s="355"/>
      <c r="AI19" s="360"/>
      <c r="AJ19" s="357"/>
      <c r="AK19" s="357"/>
      <c r="AL19" s="357"/>
      <c r="AM19" s="357"/>
      <c r="AN19" s="357"/>
      <c r="AO19" s="355"/>
      <c r="AP19" s="360"/>
      <c r="AQ19" s="357"/>
      <c r="AR19" s="357"/>
      <c r="AS19" s="357"/>
      <c r="AT19" s="357"/>
      <c r="AU19" s="357"/>
      <c r="AV19" s="355"/>
      <c r="AW19" s="361"/>
      <c r="AX19" s="357"/>
      <c r="AY19" s="357"/>
      <c r="AZ19" s="357"/>
      <c r="BA19" s="357"/>
      <c r="BB19" s="357"/>
      <c r="BC19" s="355"/>
      <c r="BD19" s="364"/>
    </row>
    <row r="20" spans="1:56" ht="18" customHeight="1" x14ac:dyDescent="0.3">
      <c r="A20" s="5">
        <v>15</v>
      </c>
      <c r="B20" s="151"/>
      <c r="C20" s="149"/>
      <c r="D20" s="57"/>
      <c r="E20" s="57"/>
      <c r="F20" s="58"/>
      <c r="G20" s="159"/>
      <c r="H20" s="357"/>
      <c r="I20" s="357"/>
      <c r="J20" s="357"/>
      <c r="K20" s="357"/>
      <c r="L20" s="357"/>
      <c r="M20" s="358"/>
      <c r="N20" s="359"/>
      <c r="O20" s="357"/>
      <c r="P20" s="357"/>
      <c r="Q20" s="357"/>
      <c r="R20" s="357"/>
      <c r="S20" s="357"/>
      <c r="T20" s="358"/>
      <c r="U20" s="359"/>
      <c r="V20" s="357"/>
      <c r="W20" s="357"/>
      <c r="X20" s="357"/>
      <c r="Y20" s="357"/>
      <c r="Z20" s="357"/>
      <c r="AA20" s="358"/>
      <c r="AB20" s="360"/>
      <c r="AC20" s="357"/>
      <c r="AD20" s="357"/>
      <c r="AE20" s="362"/>
      <c r="AF20" s="362"/>
      <c r="AG20" s="357"/>
      <c r="AH20" s="355"/>
      <c r="AI20" s="360"/>
      <c r="AJ20" s="357"/>
      <c r="AK20" s="357"/>
      <c r="AL20" s="357"/>
      <c r="AM20" s="362"/>
      <c r="AN20" s="357"/>
      <c r="AO20" s="355"/>
      <c r="AP20" s="360"/>
      <c r="AQ20" s="357"/>
      <c r="AR20" s="357"/>
      <c r="AS20" s="357"/>
      <c r="AT20" s="362"/>
      <c r="AU20" s="357"/>
      <c r="AV20" s="355"/>
      <c r="AW20" s="361"/>
      <c r="AX20" s="357"/>
      <c r="AY20" s="357"/>
      <c r="AZ20" s="357"/>
      <c r="BA20" s="362"/>
      <c r="BB20" s="357"/>
      <c r="BC20" s="355"/>
      <c r="BD20" s="364"/>
    </row>
    <row r="21" spans="1:56" ht="18" customHeight="1" x14ac:dyDescent="0.3">
      <c r="A21" s="5">
        <v>16</v>
      </c>
      <c r="B21" s="151"/>
      <c r="C21" s="149"/>
      <c r="D21" s="57"/>
      <c r="E21" s="57"/>
      <c r="F21" s="58"/>
      <c r="G21" s="159"/>
      <c r="H21" s="357"/>
      <c r="I21" s="357"/>
      <c r="J21" s="357"/>
      <c r="K21" s="357"/>
      <c r="L21" s="357"/>
      <c r="M21" s="358"/>
      <c r="N21" s="359"/>
      <c r="O21" s="357"/>
      <c r="P21" s="357"/>
      <c r="Q21" s="357"/>
      <c r="R21" s="357"/>
      <c r="S21" s="357"/>
      <c r="T21" s="358"/>
      <c r="U21" s="359"/>
      <c r="V21" s="357"/>
      <c r="W21" s="357"/>
      <c r="X21" s="357"/>
      <c r="Y21" s="357"/>
      <c r="Z21" s="357"/>
      <c r="AA21" s="358"/>
      <c r="AB21" s="360"/>
      <c r="AC21" s="357"/>
      <c r="AD21" s="357"/>
      <c r="AE21" s="362"/>
      <c r="AF21" s="362"/>
      <c r="AG21" s="357"/>
      <c r="AH21" s="355"/>
      <c r="AI21" s="360"/>
      <c r="AJ21" s="357"/>
      <c r="AK21" s="357"/>
      <c r="AL21" s="357"/>
      <c r="AM21" s="362"/>
      <c r="AN21" s="357"/>
      <c r="AO21" s="355"/>
      <c r="AP21" s="360"/>
      <c r="AQ21" s="357"/>
      <c r="AR21" s="357"/>
      <c r="AS21" s="357"/>
      <c r="AT21" s="362"/>
      <c r="AU21" s="357"/>
      <c r="AV21" s="355"/>
      <c r="AW21" s="361"/>
      <c r="AX21" s="357"/>
      <c r="AY21" s="357"/>
      <c r="AZ21" s="357"/>
      <c r="BA21" s="362"/>
      <c r="BB21" s="357"/>
      <c r="BC21" s="355"/>
      <c r="BD21" s="364"/>
    </row>
    <row r="22" spans="1:56" ht="18" customHeight="1" x14ac:dyDescent="0.3">
      <c r="A22" s="5">
        <v>17</v>
      </c>
      <c r="B22" s="151"/>
      <c r="C22" s="149"/>
      <c r="D22" s="57"/>
      <c r="E22" s="57"/>
      <c r="F22" s="58"/>
      <c r="G22" s="159"/>
      <c r="H22" s="357"/>
      <c r="I22" s="357"/>
      <c r="J22" s="357"/>
      <c r="K22" s="357"/>
      <c r="L22" s="357"/>
      <c r="M22" s="358"/>
      <c r="N22" s="359"/>
      <c r="O22" s="357"/>
      <c r="P22" s="357"/>
      <c r="Q22" s="357"/>
      <c r="R22" s="357"/>
      <c r="S22" s="357"/>
      <c r="T22" s="358"/>
      <c r="U22" s="359"/>
      <c r="V22" s="357"/>
      <c r="W22" s="357"/>
      <c r="X22" s="357"/>
      <c r="Y22" s="357"/>
      <c r="Z22" s="357"/>
      <c r="AA22" s="358"/>
      <c r="AB22" s="360"/>
      <c r="AC22" s="357"/>
      <c r="AD22" s="357"/>
      <c r="AE22" s="362"/>
      <c r="AF22" s="362"/>
      <c r="AG22" s="357"/>
      <c r="AH22" s="355"/>
      <c r="AI22" s="360"/>
      <c r="AJ22" s="357"/>
      <c r="AK22" s="357"/>
      <c r="AL22" s="357"/>
      <c r="AM22" s="362"/>
      <c r="AN22" s="357"/>
      <c r="AO22" s="355"/>
      <c r="AP22" s="360"/>
      <c r="AQ22" s="357"/>
      <c r="AR22" s="357"/>
      <c r="AS22" s="357"/>
      <c r="AT22" s="362"/>
      <c r="AU22" s="357"/>
      <c r="AV22" s="355"/>
      <c r="AW22" s="361"/>
      <c r="AX22" s="357"/>
      <c r="AY22" s="357"/>
      <c r="AZ22" s="357"/>
      <c r="BA22" s="362"/>
      <c r="BB22" s="357"/>
      <c r="BC22" s="355"/>
      <c r="BD22" s="364"/>
    </row>
    <row r="23" spans="1:56" ht="18" customHeight="1" x14ac:dyDescent="0.3">
      <c r="A23" s="5">
        <v>18</v>
      </c>
      <c r="B23" s="151"/>
      <c r="C23" s="149"/>
      <c r="D23" s="57"/>
      <c r="E23" s="57"/>
      <c r="F23" s="58"/>
      <c r="G23" s="159"/>
      <c r="H23" s="357"/>
      <c r="I23" s="357"/>
      <c r="J23" s="357"/>
      <c r="K23" s="357"/>
      <c r="L23" s="357"/>
      <c r="M23" s="358"/>
      <c r="N23" s="359"/>
      <c r="O23" s="357"/>
      <c r="P23" s="357"/>
      <c r="Q23" s="357"/>
      <c r="R23" s="357"/>
      <c r="S23" s="357"/>
      <c r="T23" s="358"/>
      <c r="U23" s="359"/>
      <c r="V23" s="357"/>
      <c r="W23" s="357"/>
      <c r="X23" s="357"/>
      <c r="Y23" s="357"/>
      <c r="Z23" s="357"/>
      <c r="AA23" s="358"/>
      <c r="AB23" s="360"/>
      <c r="AC23" s="357"/>
      <c r="AD23" s="357"/>
      <c r="AE23" s="362"/>
      <c r="AF23" s="362"/>
      <c r="AG23" s="357"/>
      <c r="AH23" s="355"/>
      <c r="AI23" s="360"/>
      <c r="AJ23" s="357"/>
      <c r="AK23" s="357"/>
      <c r="AL23" s="357"/>
      <c r="AM23" s="362"/>
      <c r="AN23" s="357"/>
      <c r="AO23" s="355"/>
      <c r="AP23" s="360"/>
      <c r="AQ23" s="357"/>
      <c r="AR23" s="357"/>
      <c r="AS23" s="357"/>
      <c r="AT23" s="362"/>
      <c r="AU23" s="357"/>
      <c r="AV23" s="355"/>
      <c r="AW23" s="361"/>
      <c r="AX23" s="363"/>
      <c r="AY23" s="357"/>
      <c r="AZ23" s="357"/>
      <c r="BA23" s="362"/>
      <c r="BB23" s="357"/>
      <c r="BC23" s="355"/>
      <c r="BD23" s="364"/>
    </row>
    <row r="24" spans="1:56" ht="18" customHeight="1" x14ac:dyDescent="0.3">
      <c r="A24" s="5">
        <v>19</v>
      </c>
      <c r="B24" s="109"/>
      <c r="C24" s="149"/>
      <c r="D24" s="57"/>
      <c r="E24" s="57"/>
      <c r="F24" s="58"/>
      <c r="G24" s="159"/>
      <c r="H24" s="13"/>
      <c r="I24" s="13"/>
      <c r="J24" s="27"/>
      <c r="K24" s="12"/>
      <c r="L24" s="12"/>
      <c r="M24" s="165"/>
      <c r="N24" s="159"/>
      <c r="O24" s="13"/>
      <c r="P24" s="13"/>
      <c r="Q24" s="27"/>
      <c r="R24" s="12"/>
      <c r="S24" s="12"/>
      <c r="T24" s="165"/>
      <c r="U24" s="159"/>
      <c r="V24" s="13"/>
      <c r="W24" s="13"/>
      <c r="X24" s="27"/>
      <c r="Y24" s="12"/>
      <c r="Z24" s="12"/>
      <c r="AA24" s="165"/>
      <c r="AB24" s="176"/>
      <c r="AC24" s="24"/>
      <c r="AD24" s="27"/>
      <c r="AE24" s="15"/>
      <c r="AF24" s="15"/>
      <c r="AG24" s="16"/>
      <c r="AH24" s="173"/>
      <c r="AI24" s="176"/>
      <c r="AJ24" s="27"/>
      <c r="AK24" s="27"/>
      <c r="AL24" s="27"/>
      <c r="AM24" s="15"/>
      <c r="AN24" s="15"/>
      <c r="AO24" s="173"/>
      <c r="AP24" s="176"/>
      <c r="AQ24" s="24"/>
      <c r="AR24" s="24"/>
      <c r="AS24" s="27"/>
      <c r="AT24" s="15"/>
      <c r="AU24" s="15"/>
      <c r="AV24" s="173"/>
      <c r="AW24" s="230"/>
      <c r="AX24" s="24"/>
      <c r="AY24" s="24"/>
      <c r="AZ24" s="27"/>
      <c r="BA24" s="362"/>
      <c r="BB24" s="362"/>
      <c r="BC24" s="355"/>
      <c r="BD24" s="364"/>
    </row>
    <row r="25" spans="1:56" ht="18" customHeight="1" x14ac:dyDescent="0.3">
      <c r="A25" s="5">
        <v>20</v>
      </c>
      <c r="B25" s="109"/>
      <c r="C25" s="149"/>
      <c r="D25" s="57"/>
      <c r="E25" s="57"/>
      <c r="F25" s="58"/>
      <c r="G25" s="159"/>
      <c r="H25" s="13"/>
      <c r="I25" s="13"/>
      <c r="J25" s="27"/>
      <c r="K25" s="12"/>
      <c r="L25" s="12"/>
      <c r="M25" s="165"/>
      <c r="N25" s="159"/>
      <c r="O25" s="13"/>
      <c r="P25" s="13"/>
      <c r="Q25" s="27"/>
      <c r="R25" s="12"/>
      <c r="S25" s="12"/>
      <c r="T25" s="165"/>
      <c r="U25" s="159"/>
      <c r="V25" s="13"/>
      <c r="W25" s="13"/>
      <c r="X25" s="27"/>
      <c r="Y25" s="12"/>
      <c r="Z25" s="12"/>
      <c r="AA25" s="165"/>
      <c r="AB25" s="176"/>
      <c r="AC25" s="24"/>
      <c r="AD25" s="27"/>
      <c r="AE25" s="15"/>
      <c r="AF25" s="15"/>
      <c r="AG25" s="16"/>
      <c r="AH25" s="173"/>
      <c r="AI25" s="176"/>
      <c r="AJ25" s="27"/>
      <c r="AK25" s="27"/>
      <c r="AL25" s="27"/>
      <c r="AM25" s="15"/>
      <c r="AN25" s="15"/>
      <c r="AO25" s="173"/>
      <c r="AP25" s="176"/>
      <c r="AQ25" s="24"/>
      <c r="AR25" s="24"/>
      <c r="AS25" s="27"/>
      <c r="AT25" s="15"/>
      <c r="AU25" s="15"/>
      <c r="AV25" s="173"/>
      <c r="AW25" s="230"/>
      <c r="AX25" s="24"/>
      <c r="AY25" s="24"/>
      <c r="AZ25" s="27"/>
      <c r="BA25" s="362"/>
      <c r="BB25" s="362"/>
      <c r="BC25" s="355"/>
      <c r="BD25" s="364"/>
    </row>
    <row r="26" spans="1:56" ht="18" customHeight="1" x14ac:dyDescent="0.3">
      <c r="A26" s="5">
        <v>21</v>
      </c>
      <c r="B26" s="109"/>
      <c r="C26" s="149"/>
      <c r="D26" s="57"/>
      <c r="E26" s="57"/>
      <c r="F26" s="58"/>
      <c r="G26" s="159"/>
      <c r="H26" s="13"/>
      <c r="I26" s="13"/>
      <c r="J26" s="27"/>
      <c r="K26" s="12"/>
      <c r="L26" s="12"/>
      <c r="M26" s="165"/>
      <c r="N26" s="159"/>
      <c r="O26" s="13"/>
      <c r="P26" s="13"/>
      <c r="Q26" s="27"/>
      <c r="R26" s="12"/>
      <c r="S26" s="12"/>
      <c r="T26" s="165"/>
      <c r="U26" s="159"/>
      <c r="V26" s="13"/>
      <c r="W26" s="13"/>
      <c r="X26" s="27"/>
      <c r="Y26" s="12"/>
      <c r="Z26" s="12"/>
      <c r="AA26" s="165"/>
      <c r="AB26" s="176"/>
      <c r="AC26" s="24"/>
      <c r="AD26" s="27"/>
      <c r="AE26" s="15"/>
      <c r="AF26" s="15"/>
      <c r="AG26" s="16"/>
      <c r="AH26" s="173"/>
      <c r="AI26" s="176"/>
      <c r="AJ26" s="27"/>
      <c r="AK26" s="27"/>
      <c r="AL26" s="27"/>
      <c r="AM26" s="15"/>
      <c r="AN26" s="15"/>
      <c r="AO26" s="173"/>
      <c r="AP26" s="176"/>
      <c r="AQ26" s="24"/>
      <c r="AR26" s="24"/>
      <c r="AS26" s="27"/>
      <c r="AT26" s="15"/>
      <c r="AU26" s="15"/>
      <c r="AV26" s="173"/>
      <c r="AW26" s="230"/>
      <c r="AX26" s="24"/>
      <c r="AY26" s="24"/>
      <c r="AZ26" s="27"/>
      <c r="BA26" s="362"/>
      <c r="BB26" s="362"/>
      <c r="BC26" s="355"/>
      <c r="BD26" s="364"/>
    </row>
    <row r="27" spans="1:56" ht="18" customHeight="1" x14ac:dyDescent="0.3">
      <c r="A27" s="5">
        <v>22</v>
      </c>
      <c r="B27" s="109"/>
      <c r="C27" s="149"/>
      <c r="D27" s="57"/>
      <c r="E27" s="57"/>
      <c r="F27" s="58"/>
      <c r="G27" s="159"/>
      <c r="H27" s="13"/>
      <c r="I27" s="13"/>
      <c r="J27" s="27"/>
      <c r="K27" s="12"/>
      <c r="L27" s="12"/>
      <c r="M27" s="165"/>
      <c r="N27" s="159"/>
      <c r="O27" s="13"/>
      <c r="P27" s="13"/>
      <c r="Q27" s="27"/>
      <c r="R27" s="12"/>
      <c r="S27" s="12"/>
      <c r="T27" s="165"/>
      <c r="U27" s="159"/>
      <c r="V27" s="13"/>
      <c r="W27" s="13"/>
      <c r="X27" s="27"/>
      <c r="Y27" s="12"/>
      <c r="Z27" s="12"/>
      <c r="AA27" s="165"/>
      <c r="AB27" s="176"/>
      <c r="AC27" s="24"/>
      <c r="AD27" s="27"/>
      <c r="AE27" s="15"/>
      <c r="AF27" s="15"/>
      <c r="AG27" s="16"/>
      <c r="AH27" s="173"/>
      <c r="AI27" s="176"/>
      <c r="AJ27" s="27"/>
      <c r="AK27" s="27"/>
      <c r="AL27" s="27"/>
      <c r="AM27" s="15"/>
      <c r="AN27" s="15"/>
      <c r="AO27" s="173"/>
      <c r="AP27" s="176"/>
      <c r="AQ27" s="24"/>
      <c r="AR27" s="24"/>
      <c r="AS27" s="27"/>
      <c r="AT27" s="15"/>
      <c r="AU27" s="15"/>
      <c r="AV27" s="173"/>
      <c r="AW27" s="230"/>
      <c r="AX27" s="24"/>
      <c r="AY27" s="24"/>
      <c r="AZ27" s="27"/>
      <c r="BA27" s="362"/>
      <c r="BB27" s="362"/>
      <c r="BC27" s="355"/>
      <c r="BD27" s="364"/>
    </row>
    <row r="28" spans="1:56" ht="18" customHeight="1" x14ac:dyDescent="0.3">
      <c r="A28" s="5">
        <v>23</v>
      </c>
      <c r="B28" s="109"/>
      <c r="C28" s="149"/>
      <c r="D28" s="57"/>
      <c r="E28" s="57"/>
      <c r="F28" s="58"/>
      <c r="G28" s="159"/>
      <c r="H28" s="13"/>
      <c r="I28" s="13"/>
      <c r="J28" s="27"/>
      <c r="K28" s="12"/>
      <c r="L28" s="12"/>
      <c r="M28" s="165"/>
      <c r="N28" s="159"/>
      <c r="O28" s="13"/>
      <c r="P28" s="13"/>
      <c r="Q28" s="27"/>
      <c r="R28" s="12"/>
      <c r="S28" s="12"/>
      <c r="T28" s="165"/>
      <c r="U28" s="159"/>
      <c r="V28" s="13"/>
      <c r="W28" s="13"/>
      <c r="X28" s="27"/>
      <c r="Y28" s="12"/>
      <c r="Z28" s="12"/>
      <c r="AA28" s="165"/>
      <c r="AB28" s="176"/>
      <c r="AC28" s="24"/>
      <c r="AD28" s="27"/>
      <c r="AE28" s="15"/>
      <c r="AF28" s="15"/>
      <c r="AG28" s="16"/>
      <c r="AH28" s="173"/>
      <c r="AI28" s="176"/>
      <c r="AJ28" s="27"/>
      <c r="AK28" s="27"/>
      <c r="AL28" s="27"/>
      <c r="AM28" s="15"/>
      <c r="AN28" s="15"/>
      <c r="AO28" s="173"/>
      <c r="AP28" s="176"/>
      <c r="AQ28" s="24"/>
      <c r="AR28" s="24"/>
      <c r="AS28" s="27"/>
      <c r="AT28" s="15"/>
      <c r="AU28" s="15"/>
      <c r="AV28" s="173"/>
      <c r="AW28" s="230"/>
      <c r="AX28" s="24"/>
      <c r="AY28" s="24"/>
      <c r="AZ28" s="27"/>
      <c r="BA28" s="362"/>
      <c r="BB28" s="362"/>
      <c r="BC28" s="355"/>
      <c r="BD28" s="364"/>
    </row>
    <row r="29" spans="1:56" ht="18" customHeight="1" x14ac:dyDescent="0.3">
      <c r="A29" s="5">
        <v>24</v>
      </c>
      <c r="B29" s="109"/>
      <c r="C29" s="149"/>
      <c r="D29" s="57"/>
      <c r="E29" s="57"/>
      <c r="F29" s="58"/>
      <c r="G29" s="159"/>
      <c r="H29" s="13"/>
      <c r="I29" s="13"/>
      <c r="J29" s="27"/>
      <c r="K29" s="12"/>
      <c r="L29" s="12"/>
      <c r="M29" s="165"/>
      <c r="N29" s="159"/>
      <c r="O29" s="13"/>
      <c r="P29" s="13"/>
      <c r="Q29" s="27"/>
      <c r="R29" s="12"/>
      <c r="S29" s="12"/>
      <c r="T29" s="165"/>
      <c r="U29" s="159"/>
      <c r="V29" s="13"/>
      <c r="W29" s="13"/>
      <c r="X29" s="27"/>
      <c r="Y29" s="12"/>
      <c r="Z29" s="12"/>
      <c r="AA29" s="165"/>
      <c r="AB29" s="176"/>
      <c r="AC29" s="24"/>
      <c r="AD29" s="27"/>
      <c r="AE29" s="15"/>
      <c r="AF29" s="15"/>
      <c r="AG29" s="16"/>
      <c r="AH29" s="173"/>
      <c r="AI29" s="176"/>
      <c r="AJ29" s="27"/>
      <c r="AK29" s="27"/>
      <c r="AL29" s="27"/>
      <c r="AM29" s="15"/>
      <c r="AN29" s="15"/>
      <c r="AO29" s="173"/>
      <c r="AP29" s="176"/>
      <c r="AQ29" s="24"/>
      <c r="AR29" s="24"/>
      <c r="AS29" s="27"/>
      <c r="AT29" s="15"/>
      <c r="AU29" s="15"/>
      <c r="AV29" s="173"/>
      <c r="AW29" s="230"/>
      <c r="AX29" s="24"/>
      <c r="AY29" s="24"/>
      <c r="AZ29" s="27"/>
      <c r="BA29" s="362"/>
      <c r="BB29" s="362"/>
      <c r="BC29" s="355"/>
      <c r="BD29" s="364"/>
    </row>
    <row r="30" spans="1:56" ht="18" customHeight="1" x14ac:dyDescent="0.3">
      <c r="A30" s="5">
        <v>25</v>
      </c>
      <c r="B30" s="109"/>
      <c r="C30" s="149"/>
      <c r="D30" s="57"/>
      <c r="E30" s="57"/>
      <c r="F30" s="58"/>
      <c r="G30" s="159"/>
      <c r="H30" s="13"/>
      <c r="I30" s="13"/>
      <c r="J30" s="27"/>
      <c r="K30" s="12"/>
      <c r="L30" s="12"/>
      <c r="M30" s="165"/>
      <c r="N30" s="159"/>
      <c r="O30" s="13"/>
      <c r="P30" s="13"/>
      <c r="Q30" s="27"/>
      <c r="R30" s="12"/>
      <c r="S30" s="12"/>
      <c r="T30" s="165"/>
      <c r="U30" s="159"/>
      <c r="V30" s="13"/>
      <c r="W30" s="13"/>
      <c r="X30" s="27"/>
      <c r="Y30" s="12"/>
      <c r="Z30" s="12"/>
      <c r="AA30" s="165"/>
      <c r="AB30" s="176"/>
      <c r="AC30" s="24"/>
      <c r="AD30" s="27"/>
      <c r="AE30" s="15"/>
      <c r="AF30" s="15"/>
      <c r="AG30" s="16"/>
      <c r="AH30" s="173"/>
      <c r="AI30" s="176"/>
      <c r="AJ30" s="27"/>
      <c r="AK30" s="27"/>
      <c r="AL30" s="27"/>
      <c r="AM30" s="15"/>
      <c r="AN30" s="15"/>
      <c r="AO30" s="173"/>
      <c r="AP30" s="176"/>
      <c r="AQ30" s="24"/>
      <c r="AR30" s="24"/>
      <c r="AS30" s="27"/>
      <c r="AT30" s="15"/>
      <c r="AU30" s="15"/>
      <c r="AV30" s="173"/>
      <c r="AW30" s="230"/>
      <c r="AX30" s="24"/>
      <c r="AY30" s="24"/>
      <c r="AZ30" s="27"/>
      <c r="BA30" s="15"/>
      <c r="BB30" s="15"/>
      <c r="BC30" s="173"/>
    </row>
    <row r="31" spans="1:56" ht="18" customHeight="1" x14ac:dyDescent="0.3">
      <c r="A31" s="5">
        <v>26</v>
      </c>
      <c r="B31" s="109"/>
      <c r="C31" s="149"/>
      <c r="D31" s="57"/>
      <c r="E31" s="57"/>
      <c r="F31" s="58"/>
      <c r="G31" s="159"/>
      <c r="H31" s="13"/>
      <c r="I31" s="13"/>
      <c r="J31" s="27"/>
      <c r="K31" s="12"/>
      <c r="L31" s="12"/>
      <c r="M31" s="165"/>
      <c r="N31" s="159"/>
      <c r="O31" s="13"/>
      <c r="P31" s="13"/>
      <c r="Q31" s="27"/>
      <c r="R31" s="12"/>
      <c r="S31" s="12"/>
      <c r="T31" s="165"/>
      <c r="U31" s="159"/>
      <c r="V31" s="13"/>
      <c r="W31" s="13"/>
      <c r="X31" s="27"/>
      <c r="Y31" s="12"/>
      <c r="Z31" s="12"/>
      <c r="AA31" s="165"/>
      <c r="AB31" s="176"/>
      <c r="AC31" s="24"/>
      <c r="AD31" s="27"/>
      <c r="AE31" s="15"/>
      <c r="AF31" s="15"/>
      <c r="AG31" s="16"/>
      <c r="AH31" s="173"/>
      <c r="AI31" s="176"/>
      <c r="AJ31" s="27"/>
      <c r="AK31" s="27"/>
      <c r="AL31" s="27"/>
      <c r="AM31" s="15"/>
      <c r="AN31" s="15"/>
      <c r="AO31" s="173"/>
      <c r="AP31" s="176"/>
      <c r="AQ31" s="24"/>
      <c r="AR31" s="24"/>
      <c r="AS31" s="27"/>
      <c r="AT31" s="15"/>
      <c r="AU31" s="15"/>
      <c r="AV31" s="173"/>
      <c r="AW31" s="230"/>
      <c r="AX31" s="24"/>
      <c r="AY31" s="24"/>
      <c r="AZ31" s="27"/>
      <c r="BA31" s="15"/>
      <c r="BB31" s="15"/>
      <c r="BC31" s="173"/>
    </row>
    <row r="32" spans="1:56" ht="18" customHeight="1" x14ac:dyDescent="0.3">
      <c r="A32" s="5">
        <v>27</v>
      </c>
      <c r="B32" s="110"/>
      <c r="C32" s="149"/>
      <c r="D32" s="57"/>
      <c r="E32" s="57"/>
      <c r="F32" s="58"/>
      <c r="G32" s="159"/>
      <c r="H32" s="13"/>
      <c r="I32" s="13"/>
      <c r="J32" s="27"/>
      <c r="K32" s="12"/>
      <c r="L32" s="12"/>
      <c r="M32" s="165"/>
      <c r="N32" s="159"/>
      <c r="O32" s="13"/>
      <c r="P32" s="13"/>
      <c r="Q32" s="27"/>
      <c r="R32" s="12"/>
      <c r="S32" s="12"/>
      <c r="T32" s="165"/>
      <c r="U32" s="159"/>
      <c r="V32" s="13"/>
      <c r="W32" s="13"/>
      <c r="X32" s="27"/>
      <c r="Y32" s="12"/>
      <c r="Z32" s="12"/>
      <c r="AA32" s="165"/>
      <c r="AB32" s="176"/>
      <c r="AC32" s="24"/>
      <c r="AD32" s="27"/>
      <c r="AE32" s="15"/>
      <c r="AF32" s="15"/>
      <c r="AG32" s="16"/>
      <c r="AH32" s="173"/>
      <c r="AI32" s="176"/>
      <c r="AJ32" s="27"/>
      <c r="AK32" s="27"/>
      <c r="AL32" s="27"/>
      <c r="AM32" s="15"/>
      <c r="AN32" s="15"/>
      <c r="AO32" s="173"/>
      <c r="AP32" s="176"/>
      <c r="AQ32" s="24"/>
      <c r="AR32" s="24"/>
      <c r="AS32" s="27"/>
      <c r="AT32" s="15"/>
      <c r="AU32" s="15"/>
      <c r="AV32" s="173"/>
      <c r="AW32" s="230"/>
      <c r="AX32" s="24"/>
      <c r="AY32" s="24"/>
      <c r="AZ32" s="27"/>
      <c r="BA32" s="15"/>
      <c r="BB32" s="15"/>
      <c r="BC32" s="173"/>
    </row>
    <row r="33" spans="1:55" ht="18" customHeight="1" x14ac:dyDescent="0.3">
      <c r="A33" s="5">
        <v>28</v>
      </c>
      <c r="B33" s="111"/>
      <c r="C33" s="149"/>
      <c r="D33" s="57"/>
      <c r="E33" s="57"/>
      <c r="F33" s="58"/>
      <c r="G33" s="159"/>
      <c r="H33" s="13"/>
      <c r="I33" s="13"/>
      <c r="J33" s="27"/>
      <c r="K33" s="12"/>
      <c r="L33" s="12"/>
      <c r="M33" s="165"/>
      <c r="N33" s="159"/>
      <c r="O33" s="13"/>
      <c r="P33" s="13"/>
      <c r="Q33" s="27"/>
      <c r="R33" s="12"/>
      <c r="S33" s="12"/>
      <c r="T33" s="165"/>
      <c r="U33" s="159"/>
      <c r="V33" s="13"/>
      <c r="W33" s="13"/>
      <c r="X33" s="27"/>
      <c r="Y33" s="12"/>
      <c r="Z33" s="12"/>
      <c r="AA33" s="165"/>
      <c r="AB33" s="176"/>
      <c r="AC33" s="24"/>
      <c r="AD33" s="27"/>
      <c r="AE33" s="15"/>
      <c r="AF33" s="15"/>
      <c r="AG33" s="16"/>
      <c r="AH33" s="173"/>
      <c r="AI33" s="176"/>
      <c r="AJ33" s="27"/>
      <c r="AK33" s="27"/>
      <c r="AL33" s="27"/>
      <c r="AM33" s="15"/>
      <c r="AN33" s="15"/>
      <c r="AO33" s="173"/>
      <c r="AP33" s="176"/>
      <c r="AQ33" s="24"/>
      <c r="AR33" s="24"/>
      <c r="AS33" s="27"/>
      <c r="AT33" s="15"/>
      <c r="AU33" s="15"/>
      <c r="AV33" s="173"/>
      <c r="AW33" s="230"/>
      <c r="AX33" s="24"/>
      <c r="AY33" s="24"/>
      <c r="AZ33" s="27"/>
      <c r="BA33" s="15"/>
      <c r="BB33" s="15"/>
      <c r="BC33" s="173"/>
    </row>
    <row r="34" spans="1:55" ht="18" customHeight="1" x14ac:dyDescent="0.3">
      <c r="A34" s="5">
        <v>29</v>
      </c>
      <c r="B34" s="109"/>
      <c r="C34" s="149"/>
      <c r="D34" s="57"/>
      <c r="E34" s="57"/>
      <c r="F34" s="58"/>
      <c r="G34" s="159"/>
      <c r="H34" s="13"/>
      <c r="I34" s="13"/>
      <c r="J34" s="27"/>
      <c r="K34" s="12"/>
      <c r="L34" s="12"/>
      <c r="M34" s="165"/>
      <c r="N34" s="159"/>
      <c r="O34" s="13"/>
      <c r="P34" s="13"/>
      <c r="Q34" s="27"/>
      <c r="R34" s="12"/>
      <c r="S34" s="12"/>
      <c r="T34" s="165"/>
      <c r="U34" s="159"/>
      <c r="V34" s="13"/>
      <c r="W34" s="13"/>
      <c r="X34" s="27"/>
      <c r="Y34" s="12"/>
      <c r="Z34" s="12"/>
      <c r="AA34" s="165"/>
      <c r="AB34" s="176"/>
      <c r="AC34" s="24"/>
      <c r="AD34" s="27"/>
      <c r="AE34" s="15"/>
      <c r="AF34" s="15"/>
      <c r="AG34" s="16"/>
      <c r="AH34" s="173"/>
      <c r="AI34" s="176"/>
      <c r="AJ34" s="27"/>
      <c r="AK34" s="27"/>
      <c r="AL34" s="27"/>
      <c r="AM34" s="15"/>
      <c r="AN34" s="15"/>
      <c r="AO34" s="173"/>
      <c r="AP34" s="176"/>
      <c r="AQ34" s="24"/>
      <c r="AR34" s="24"/>
      <c r="AS34" s="27"/>
      <c r="AT34" s="15"/>
      <c r="AU34" s="15"/>
      <c r="AV34" s="173"/>
      <c r="AW34" s="230"/>
      <c r="AX34" s="24"/>
      <c r="AY34" s="24"/>
      <c r="AZ34" s="27"/>
      <c r="BA34" s="15"/>
      <c r="BB34" s="15"/>
      <c r="BC34" s="173"/>
    </row>
    <row r="35" spans="1:55" ht="18" customHeight="1" x14ac:dyDescent="0.3">
      <c r="A35" s="5">
        <v>30</v>
      </c>
      <c r="B35" s="109"/>
      <c r="C35" s="149"/>
      <c r="D35" s="57"/>
      <c r="E35" s="57"/>
      <c r="F35" s="58"/>
      <c r="G35" s="159"/>
      <c r="H35" s="13"/>
      <c r="I35" s="13"/>
      <c r="J35" s="27"/>
      <c r="K35" s="12"/>
      <c r="L35" s="12"/>
      <c r="M35" s="165"/>
      <c r="N35" s="159"/>
      <c r="O35" s="13"/>
      <c r="P35" s="13"/>
      <c r="Q35" s="27"/>
      <c r="R35" s="12"/>
      <c r="S35" s="12"/>
      <c r="T35" s="165"/>
      <c r="U35" s="159"/>
      <c r="V35" s="13"/>
      <c r="W35" s="13"/>
      <c r="X35" s="27"/>
      <c r="Y35" s="12"/>
      <c r="Z35" s="12"/>
      <c r="AA35" s="165"/>
      <c r="AB35" s="176"/>
      <c r="AC35" s="24"/>
      <c r="AD35" s="27"/>
      <c r="AE35" s="15"/>
      <c r="AF35" s="15"/>
      <c r="AG35" s="16"/>
      <c r="AH35" s="173"/>
      <c r="AI35" s="176"/>
      <c r="AJ35" s="27"/>
      <c r="AK35" s="27"/>
      <c r="AL35" s="27"/>
      <c r="AM35" s="15"/>
      <c r="AN35" s="15"/>
      <c r="AO35" s="173"/>
      <c r="AP35" s="176"/>
      <c r="AQ35" s="24"/>
      <c r="AR35" s="24"/>
      <c r="AS35" s="27"/>
      <c r="AT35" s="15"/>
      <c r="AU35" s="15"/>
      <c r="AV35" s="173"/>
      <c r="AW35" s="230"/>
      <c r="AX35" s="24"/>
      <c r="AY35" s="24"/>
      <c r="AZ35" s="27"/>
      <c r="BA35" s="15"/>
      <c r="BB35" s="15"/>
      <c r="BC35" s="173"/>
    </row>
    <row r="36" spans="1:55" ht="18" customHeight="1" x14ac:dyDescent="0.3">
      <c r="A36" s="5">
        <v>31</v>
      </c>
      <c r="B36" s="109"/>
      <c r="C36" s="149"/>
      <c r="D36" s="57"/>
      <c r="E36" s="57"/>
      <c r="F36" s="58"/>
      <c r="G36" s="159"/>
      <c r="H36" s="13"/>
      <c r="I36" s="13"/>
      <c r="J36" s="27"/>
      <c r="K36" s="12"/>
      <c r="L36" s="12"/>
      <c r="M36" s="165"/>
      <c r="N36" s="159"/>
      <c r="O36" s="13"/>
      <c r="P36" s="13"/>
      <c r="Q36" s="27"/>
      <c r="R36" s="12"/>
      <c r="S36" s="12"/>
      <c r="T36" s="165"/>
      <c r="U36" s="159"/>
      <c r="V36" s="13"/>
      <c r="W36" s="13"/>
      <c r="X36" s="27"/>
      <c r="Y36" s="12"/>
      <c r="Z36" s="12"/>
      <c r="AA36" s="165"/>
      <c r="AB36" s="176"/>
      <c r="AC36" s="24"/>
      <c r="AD36" s="27"/>
      <c r="AE36" s="15"/>
      <c r="AF36" s="15"/>
      <c r="AG36" s="16"/>
      <c r="AH36" s="173"/>
      <c r="AI36" s="176"/>
      <c r="AJ36" s="27"/>
      <c r="AK36" s="27"/>
      <c r="AL36" s="27"/>
      <c r="AM36" s="15"/>
      <c r="AN36" s="15"/>
      <c r="AO36" s="173"/>
      <c r="AP36" s="176"/>
      <c r="AQ36" s="24"/>
      <c r="AR36" s="24"/>
      <c r="AS36" s="27"/>
      <c r="AT36" s="15"/>
      <c r="AU36" s="15"/>
      <c r="AV36" s="173"/>
      <c r="AW36" s="230"/>
      <c r="AX36" s="24"/>
      <c r="AY36" s="24"/>
      <c r="AZ36" s="27"/>
      <c r="BA36" s="15"/>
      <c r="BB36" s="15"/>
      <c r="BC36" s="173"/>
    </row>
    <row r="37" spans="1:55" ht="18" customHeight="1" x14ac:dyDescent="0.3">
      <c r="A37" s="5">
        <v>32</v>
      </c>
      <c r="B37" s="110"/>
      <c r="C37" s="149"/>
      <c r="D37" s="57"/>
      <c r="E37" s="57"/>
      <c r="F37" s="58"/>
      <c r="G37" s="160"/>
      <c r="H37" s="37"/>
      <c r="I37" s="37"/>
      <c r="J37" s="27"/>
      <c r="K37" s="36"/>
      <c r="L37" s="36"/>
      <c r="M37" s="167"/>
      <c r="N37" s="160"/>
      <c r="O37" s="37"/>
      <c r="P37" s="37"/>
      <c r="Q37" s="27"/>
      <c r="R37" s="36"/>
      <c r="S37" s="36"/>
      <c r="T37" s="167"/>
      <c r="U37" s="160"/>
      <c r="V37" s="37"/>
      <c r="W37" s="37"/>
      <c r="X37" s="27"/>
      <c r="Y37" s="36"/>
      <c r="Z37" s="36"/>
      <c r="AA37" s="167"/>
      <c r="AB37" s="176"/>
      <c r="AC37" s="24"/>
      <c r="AD37" s="27"/>
      <c r="AE37" s="15"/>
      <c r="AF37" s="15"/>
      <c r="AG37" s="16"/>
      <c r="AH37" s="173"/>
      <c r="AI37" s="176"/>
      <c r="AJ37" s="27"/>
      <c r="AK37" s="27"/>
      <c r="AL37" s="27"/>
      <c r="AM37" s="15"/>
      <c r="AN37" s="15"/>
      <c r="AO37" s="173"/>
      <c r="AP37" s="176"/>
      <c r="AQ37" s="24"/>
      <c r="AR37" s="24"/>
      <c r="AS37" s="27"/>
      <c r="AT37" s="15"/>
      <c r="AU37" s="15"/>
      <c r="AV37" s="173"/>
      <c r="AW37" s="230"/>
      <c r="AX37" s="24"/>
      <c r="AY37" s="24"/>
      <c r="AZ37" s="27"/>
      <c r="BA37" s="15"/>
      <c r="BB37" s="15"/>
      <c r="BC37" s="173"/>
    </row>
    <row r="38" spans="1:55" ht="18" customHeight="1" x14ac:dyDescent="0.3">
      <c r="A38" s="5">
        <v>33</v>
      </c>
      <c r="B38" s="111"/>
      <c r="C38" s="149"/>
      <c r="D38" s="57"/>
      <c r="E38" s="57"/>
      <c r="F38" s="58"/>
      <c r="G38" s="159"/>
      <c r="H38" s="13"/>
      <c r="I38" s="13"/>
      <c r="J38" s="27"/>
      <c r="K38" s="12"/>
      <c r="L38" s="12"/>
      <c r="M38" s="165"/>
      <c r="N38" s="159"/>
      <c r="O38" s="13"/>
      <c r="P38" s="13"/>
      <c r="Q38" s="27"/>
      <c r="R38" s="12"/>
      <c r="S38" s="12"/>
      <c r="T38" s="165"/>
      <c r="U38" s="159"/>
      <c r="V38" s="13"/>
      <c r="W38" s="13"/>
      <c r="X38" s="27"/>
      <c r="Y38" s="12"/>
      <c r="Z38" s="12"/>
      <c r="AA38" s="165"/>
      <c r="AB38" s="176"/>
      <c r="AC38" s="24"/>
      <c r="AD38" s="27"/>
      <c r="AE38" s="15"/>
      <c r="AF38" s="15"/>
      <c r="AG38" s="16"/>
      <c r="AH38" s="173"/>
      <c r="AI38" s="176"/>
      <c r="AJ38" s="27"/>
      <c r="AK38" s="27"/>
      <c r="AL38" s="27"/>
      <c r="AM38" s="15"/>
      <c r="AN38" s="15"/>
      <c r="AO38" s="173"/>
      <c r="AP38" s="176"/>
      <c r="AQ38" s="24"/>
      <c r="AR38" s="24"/>
      <c r="AS38" s="27"/>
      <c r="AT38" s="15"/>
      <c r="AU38" s="15"/>
      <c r="AV38" s="173"/>
      <c r="AW38" s="230"/>
      <c r="AX38" s="24"/>
      <c r="AY38" s="24"/>
      <c r="AZ38" s="27"/>
      <c r="BA38" s="15"/>
      <c r="BB38" s="15"/>
      <c r="BC38" s="173"/>
    </row>
    <row r="39" spans="1:55" ht="18" customHeight="1" x14ac:dyDescent="0.3">
      <c r="A39" s="5">
        <v>34</v>
      </c>
      <c r="B39" s="109"/>
      <c r="C39" s="149"/>
      <c r="D39" s="57"/>
      <c r="E39" s="57"/>
      <c r="F39" s="58"/>
      <c r="G39" s="159"/>
      <c r="H39" s="13"/>
      <c r="I39" s="13"/>
      <c r="J39" s="27"/>
      <c r="K39" s="12"/>
      <c r="L39" s="12"/>
      <c r="M39" s="165"/>
      <c r="N39" s="159"/>
      <c r="O39" s="13"/>
      <c r="P39" s="13"/>
      <c r="Q39" s="27"/>
      <c r="R39" s="12"/>
      <c r="S39" s="12"/>
      <c r="T39" s="165"/>
      <c r="U39" s="159"/>
      <c r="V39" s="13"/>
      <c r="W39" s="13"/>
      <c r="X39" s="27"/>
      <c r="Y39" s="12"/>
      <c r="Z39" s="12"/>
      <c r="AA39" s="165"/>
      <c r="AB39" s="176"/>
      <c r="AC39" s="24"/>
      <c r="AD39" s="27"/>
      <c r="AE39" s="15"/>
      <c r="AF39" s="15"/>
      <c r="AG39" s="16"/>
      <c r="AH39" s="173"/>
      <c r="AI39" s="176"/>
      <c r="AJ39" s="27"/>
      <c r="AK39" s="27"/>
      <c r="AL39" s="27"/>
      <c r="AM39" s="15"/>
      <c r="AN39" s="15"/>
      <c r="AO39" s="173"/>
      <c r="AP39" s="176"/>
      <c r="AQ39" s="24"/>
      <c r="AR39" s="24"/>
      <c r="AS39" s="27"/>
      <c r="AT39" s="15"/>
      <c r="AU39" s="15"/>
      <c r="AV39" s="173"/>
      <c r="AW39" s="230"/>
      <c r="AX39" s="24"/>
      <c r="AY39" s="24"/>
      <c r="AZ39" s="27"/>
      <c r="BA39" s="15"/>
      <c r="BB39" s="15"/>
      <c r="BC39" s="173"/>
    </row>
    <row r="40" spans="1:55" ht="18" customHeight="1" thickBot="1" x14ac:dyDescent="0.35">
      <c r="A40" s="5">
        <v>35</v>
      </c>
      <c r="B40" s="109"/>
      <c r="C40" s="149"/>
      <c r="D40" s="57"/>
      <c r="E40" s="57"/>
      <c r="F40" s="58"/>
      <c r="G40" s="159"/>
      <c r="H40" s="13"/>
      <c r="I40" s="13"/>
      <c r="J40" s="27"/>
      <c r="K40" s="12"/>
      <c r="L40" s="12"/>
      <c r="M40" s="165"/>
      <c r="N40" s="159"/>
      <c r="O40" s="13"/>
      <c r="P40" s="13"/>
      <c r="Q40" s="27"/>
      <c r="R40" s="12"/>
      <c r="S40" s="12"/>
      <c r="T40" s="165"/>
      <c r="U40" s="159"/>
      <c r="V40" s="13"/>
      <c r="W40" s="13"/>
      <c r="X40" s="27"/>
      <c r="Y40" s="12"/>
      <c r="Z40" s="12"/>
      <c r="AA40" s="165"/>
      <c r="AB40" s="176"/>
      <c r="AC40" s="24"/>
      <c r="AD40" s="27"/>
      <c r="AE40" s="15"/>
      <c r="AF40" s="15"/>
      <c r="AG40" s="16"/>
      <c r="AH40" s="173"/>
      <c r="AI40" s="176"/>
      <c r="AJ40" s="27"/>
      <c r="AK40" s="27"/>
      <c r="AL40" s="27"/>
      <c r="AM40" s="15"/>
      <c r="AN40" s="15"/>
      <c r="AO40" s="173"/>
      <c r="AP40" s="176"/>
      <c r="AQ40" s="24"/>
      <c r="AR40" s="24"/>
      <c r="AS40" s="27"/>
      <c r="AT40" s="15"/>
      <c r="AU40" s="15"/>
      <c r="AV40" s="173"/>
      <c r="AW40" s="231"/>
      <c r="AX40" s="232"/>
      <c r="AY40" s="232"/>
      <c r="AZ40" s="233"/>
      <c r="BA40" s="234"/>
      <c r="BB40" s="234"/>
      <c r="BC40" s="235"/>
    </row>
  </sheetData>
  <mergeCells count="23">
    <mergeCell ref="S1:T1"/>
    <mergeCell ref="AP2:AV2"/>
    <mergeCell ref="AW2:BC2"/>
    <mergeCell ref="A2:A5"/>
    <mergeCell ref="B2:B5"/>
    <mergeCell ref="C2:C5"/>
    <mergeCell ref="D2:F2"/>
    <mergeCell ref="U3:AA3"/>
    <mergeCell ref="N2:T2"/>
    <mergeCell ref="AB2:AH2"/>
    <mergeCell ref="AI2:AO2"/>
    <mergeCell ref="AB3:AH3"/>
    <mergeCell ref="BB1:BC1"/>
    <mergeCell ref="AI3:AO3"/>
    <mergeCell ref="AP3:AV3"/>
    <mergeCell ref="AW3:BC3"/>
    <mergeCell ref="D5:F5"/>
    <mergeCell ref="U2:AA2"/>
    <mergeCell ref="D4:F4"/>
    <mergeCell ref="D3:F3"/>
    <mergeCell ref="G2:M2"/>
    <mergeCell ref="G3:M3"/>
    <mergeCell ref="N3:T3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X40"/>
  <sheetViews>
    <sheetView view="pageBreakPreview" topLeftCell="A4" zoomScale="120" zoomScaleNormal="150" zoomScaleSheetLayoutView="120" workbookViewId="0">
      <selection activeCell="D16" sqref="D16"/>
    </sheetView>
  </sheetViews>
  <sheetFormatPr defaultColWidth="9.125" defaultRowHeight="18" customHeight="1" x14ac:dyDescent="0.3"/>
  <cols>
    <col min="1" max="1" width="2" style="1" customWidth="1"/>
    <col min="2" max="2" width="3.625" style="1" customWidth="1"/>
    <col min="3" max="3" width="6.625" style="1" customWidth="1"/>
    <col min="4" max="4" width="2.75" style="1" customWidth="1"/>
    <col min="5" max="5" width="2.25" style="1" customWidth="1"/>
    <col min="6" max="6" width="2.125" style="1" customWidth="1"/>
    <col min="7" max="7" width="4" style="1" customWidth="1"/>
    <col min="8" max="49" width="1.25" style="1" customWidth="1"/>
    <col min="50" max="50" width="3.125" style="1" customWidth="1"/>
    <col min="51" max="53" width="7.875" style="1" customWidth="1"/>
    <col min="54" max="16384" width="9.125" style="1"/>
  </cols>
  <sheetData>
    <row r="1" spans="1:50" ht="18" customHeight="1" thickBot="1" x14ac:dyDescent="0.35">
      <c r="AX1" s="54">
        <v>4</v>
      </c>
    </row>
    <row r="2" spans="1:50" ht="18" customHeight="1" thickBot="1" x14ac:dyDescent="0.35">
      <c r="A2" s="465" t="s">
        <v>27</v>
      </c>
      <c r="B2" s="434" t="s">
        <v>28</v>
      </c>
      <c r="C2" s="468" t="s">
        <v>29</v>
      </c>
      <c r="D2" s="469"/>
      <c r="E2" s="439" t="s">
        <v>30</v>
      </c>
      <c r="F2" s="440"/>
      <c r="G2" s="441"/>
      <c r="H2" s="456" t="s">
        <v>173</v>
      </c>
      <c r="I2" s="457"/>
      <c r="J2" s="457"/>
      <c r="K2" s="457"/>
      <c r="L2" s="457"/>
      <c r="M2" s="457"/>
      <c r="N2" s="458"/>
      <c r="O2" s="456" t="s">
        <v>237</v>
      </c>
      <c r="P2" s="457"/>
      <c r="Q2" s="457"/>
      <c r="R2" s="457"/>
      <c r="S2" s="457"/>
      <c r="T2" s="457"/>
      <c r="U2" s="458"/>
      <c r="V2" s="456" t="s">
        <v>174</v>
      </c>
      <c r="W2" s="457"/>
      <c r="X2" s="457"/>
      <c r="Y2" s="457"/>
      <c r="Z2" s="457"/>
      <c r="AA2" s="457"/>
      <c r="AB2" s="458"/>
      <c r="AC2" s="456" t="s">
        <v>174</v>
      </c>
      <c r="AD2" s="457"/>
      <c r="AE2" s="457"/>
      <c r="AF2" s="457"/>
      <c r="AG2" s="457"/>
      <c r="AH2" s="457"/>
      <c r="AI2" s="458"/>
      <c r="AJ2" s="456" t="s">
        <v>174</v>
      </c>
      <c r="AK2" s="457"/>
      <c r="AL2" s="457"/>
      <c r="AM2" s="457"/>
      <c r="AN2" s="457"/>
      <c r="AO2" s="457"/>
      <c r="AP2" s="458"/>
      <c r="AQ2" s="456" t="s">
        <v>238</v>
      </c>
      <c r="AR2" s="457"/>
      <c r="AS2" s="457"/>
      <c r="AT2" s="457"/>
      <c r="AU2" s="457"/>
      <c r="AV2" s="457"/>
      <c r="AW2" s="458"/>
      <c r="AX2" s="124" t="s">
        <v>34</v>
      </c>
    </row>
    <row r="3" spans="1:50" ht="18" customHeight="1" thickBot="1" x14ac:dyDescent="0.35">
      <c r="A3" s="466"/>
      <c r="B3" s="435"/>
      <c r="C3" s="470"/>
      <c r="D3" s="471"/>
      <c r="E3" s="442" t="s">
        <v>31</v>
      </c>
      <c r="F3" s="443"/>
      <c r="G3" s="444"/>
      <c r="H3" s="464">
        <v>15</v>
      </c>
      <c r="I3" s="460"/>
      <c r="J3" s="460"/>
      <c r="K3" s="461"/>
      <c r="L3" s="461"/>
      <c r="M3" s="461"/>
      <c r="N3" s="463"/>
      <c r="O3" s="460">
        <v>16</v>
      </c>
      <c r="P3" s="460"/>
      <c r="Q3" s="460"/>
      <c r="R3" s="461"/>
      <c r="S3" s="461"/>
      <c r="T3" s="461"/>
      <c r="U3" s="462"/>
      <c r="V3" s="464">
        <v>17</v>
      </c>
      <c r="W3" s="460"/>
      <c r="X3" s="460"/>
      <c r="Y3" s="461"/>
      <c r="Z3" s="461"/>
      <c r="AA3" s="461"/>
      <c r="AB3" s="463"/>
      <c r="AC3" s="460">
        <v>18</v>
      </c>
      <c r="AD3" s="460"/>
      <c r="AE3" s="460"/>
      <c r="AF3" s="461"/>
      <c r="AG3" s="461"/>
      <c r="AH3" s="461"/>
      <c r="AI3" s="462"/>
      <c r="AJ3" s="464">
        <v>19</v>
      </c>
      <c r="AK3" s="460"/>
      <c r="AL3" s="460"/>
      <c r="AM3" s="461"/>
      <c r="AN3" s="461"/>
      <c r="AO3" s="461"/>
      <c r="AP3" s="463"/>
      <c r="AQ3" s="460">
        <v>20</v>
      </c>
      <c r="AR3" s="460"/>
      <c r="AS3" s="460"/>
      <c r="AT3" s="461"/>
      <c r="AU3" s="461"/>
      <c r="AV3" s="461"/>
      <c r="AW3" s="463"/>
      <c r="AX3" s="321" t="s">
        <v>216</v>
      </c>
    </row>
    <row r="4" spans="1:50" ht="18" customHeight="1" x14ac:dyDescent="0.3">
      <c r="A4" s="466"/>
      <c r="B4" s="435"/>
      <c r="C4" s="470"/>
      <c r="D4" s="471"/>
      <c r="E4" s="475" t="s">
        <v>32</v>
      </c>
      <c r="F4" s="476"/>
      <c r="G4" s="476"/>
      <c r="H4" s="157">
        <v>23</v>
      </c>
      <c r="I4" s="156">
        <v>24</v>
      </c>
      <c r="J4" s="156">
        <v>25</v>
      </c>
      <c r="K4" s="123">
        <v>26</v>
      </c>
      <c r="L4" s="123">
        <v>27</v>
      </c>
      <c r="M4" s="123">
        <v>28</v>
      </c>
      <c r="N4" s="162">
        <v>29</v>
      </c>
      <c r="O4" s="157">
        <v>30</v>
      </c>
      <c r="P4" s="156">
        <v>31</v>
      </c>
      <c r="Q4" s="156">
        <v>1</v>
      </c>
      <c r="R4" s="123">
        <v>2</v>
      </c>
      <c r="S4" s="123">
        <v>3</v>
      </c>
      <c r="T4" s="123">
        <v>4</v>
      </c>
      <c r="U4" s="162">
        <v>5</v>
      </c>
      <c r="V4" s="157">
        <v>6</v>
      </c>
      <c r="W4" s="156">
        <v>7</v>
      </c>
      <c r="X4" s="156">
        <v>8</v>
      </c>
      <c r="Y4" s="123">
        <v>9</v>
      </c>
      <c r="Z4" s="123">
        <v>10</v>
      </c>
      <c r="AA4" s="123">
        <v>11</v>
      </c>
      <c r="AB4" s="162">
        <v>12</v>
      </c>
      <c r="AC4" s="157">
        <v>13</v>
      </c>
      <c r="AD4" s="156">
        <v>14</v>
      </c>
      <c r="AE4" s="156">
        <v>15</v>
      </c>
      <c r="AF4" s="123">
        <v>16</v>
      </c>
      <c r="AG4" s="123">
        <v>17</v>
      </c>
      <c r="AH4" s="123">
        <v>18</v>
      </c>
      <c r="AI4" s="162">
        <v>19</v>
      </c>
      <c r="AJ4" s="157" t="s">
        <v>234</v>
      </c>
      <c r="AK4" s="156">
        <v>21</v>
      </c>
      <c r="AL4" s="156">
        <v>22</v>
      </c>
      <c r="AM4" s="123">
        <v>23</v>
      </c>
      <c r="AN4" s="123">
        <v>24</v>
      </c>
      <c r="AO4" s="123">
        <v>25</v>
      </c>
      <c r="AP4" s="162">
        <v>26</v>
      </c>
      <c r="AQ4" s="157">
        <v>27</v>
      </c>
      <c r="AR4" s="156">
        <v>28</v>
      </c>
      <c r="AS4" s="156">
        <v>29</v>
      </c>
      <c r="AT4" s="123">
        <v>30</v>
      </c>
      <c r="AU4" s="123">
        <v>1</v>
      </c>
      <c r="AV4" s="123">
        <v>2</v>
      </c>
      <c r="AW4" s="162">
        <v>3</v>
      </c>
      <c r="AX4" s="125">
        <f>'ปก (1)'!N11*40</f>
        <v>100</v>
      </c>
    </row>
    <row r="5" spans="1:50" ht="18" customHeight="1" thickBot="1" x14ac:dyDescent="0.35">
      <c r="A5" s="467"/>
      <c r="B5" s="459"/>
      <c r="C5" s="472"/>
      <c r="D5" s="473"/>
      <c r="E5" s="472" t="s">
        <v>33</v>
      </c>
      <c r="F5" s="474"/>
      <c r="G5" s="473"/>
      <c r="H5" s="246"/>
      <c r="I5" s="256"/>
      <c r="J5" s="256"/>
      <c r="K5" s="257"/>
      <c r="L5" s="258"/>
      <c r="M5" s="258"/>
      <c r="N5" s="248"/>
      <c r="O5" s="246"/>
      <c r="P5" s="256"/>
      <c r="Q5" s="256"/>
      <c r="R5" s="257"/>
      <c r="S5" s="258"/>
      <c r="T5" s="258"/>
      <c r="U5" s="248"/>
      <c r="V5" s="246"/>
      <c r="W5" s="256"/>
      <c r="X5" s="256"/>
      <c r="Y5" s="257"/>
      <c r="Z5" s="258"/>
      <c r="AA5" s="258"/>
      <c r="AB5" s="248"/>
      <c r="AC5" s="246"/>
      <c r="AD5" s="256"/>
      <c r="AE5" s="256"/>
      <c r="AF5" s="257"/>
      <c r="AG5" s="255"/>
      <c r="AH5" s="255"/>
      <c r="AI5" s="252"/>
      <c r="AJ5" s="246"/>
      <c r="AK5" s="256"/>
      <c r="AL5" s="256"/>
      <c r="AM5" s="257"/>
      <c r="AN5" s="255"/>
      <c r="AO5" s="255"/>
      <c r="AP5" s="252"/>
      <c r="AQ5" s="246"/>
      <c r="AR5" s="256"/>
      <c r="AS5" s="256"/>
      <c r="AT5" s="257"/>
      <c r="AU5" s="255"/>
      <c r="AV5" s="255"/>
      <c r="AW5" s="252"/>
      <c r="AX5" s="126">
        <f>AX4*80/100</f>
        <v>80</v>
      </c>
    </row>
    <row r="6" spans="1:50" ht="18" customHeight="1" x14ac:dyDescent="0.3">
      <c r="A6" s="3">
        <v>1</v>
      </c>
      <c r="B6" s="17">
        <f>'เวลาเรียน (2)'!B6</f>
        <v>4997</v>
      </c>
      <c r="C6" s="59" t="str">
        <f>'เวลาเรียน (2)'!C6</f>
        <v>เด็กชายธนาธร    กิติกาแดง</v>
      </c>
      <c r="D6" s="30"/>
      <c r="E6" s="18"/>
      <c r="F6" s="19"/>
      <c r="G6" s="20"/>
      <c r="H6" s="177"/>
      <c r="I6" s="351"/>
      <c r="J6" s="351"/>
      <c r="K6" s="351"/>
      <c r="L6" s="351"/>
      <c r="M6" s="351"/>
      <c r="N6" s="355"/>
      <c r="O6" s="365"/>
      <c r="P6" s="351"/>
      <c r="Q6" s="351"/>
      <c r="R6" s="351"/>
      <c r="S6" s="351"/>
      <c r="T6" s="351"/>
      <c r="U6" s="355"/>
      <c r="V6" s="354"/>
      <c r="W6" s="351"/>
      <c r="X6" s="351"/>
      <c r="Y6" s="351"/>
      <c r="Z6" s="351"/>
      <c r="AA6" s="351"/>
      <c r="AB6" s="355"/>
      <c r="AC6" s="354"/>
      <c r="AD6" s="351"/>
      <c r="AE6" s="351"/>
      <c r="AF6" s="351"/>
      <c r="AG6" s="351"/>
      <c r="AH6" s="351"/>
      <c r="AI6" s="355"/>
      <c r="AJ6" s="354"/>
      <c r="AK6" s="351"/>
      <c r="AL6" s="351"/>
      <c r="AM6" s="351"/>
      <c r="AN6" s="351"/>
      <c r="AO6" s="351"/>
      <c r="AP6" s="355"/>
      <c r="AQ6" s="354"/>
      <c r="AR6" s="351"/>
      <c r="AS6" s="351"/>
      <c r="AT6" s="351"/>
      <c r="AU6" s="351"/>
      <c r="AV6" s="351"/>
      <c r="AW6" s="177"/>
      <c r="AX6" s="153">
        <f>COUNTIF('เวลาเรียน (2)'!G6:BC6,"/")+COUNTIF('เวลาเรียน (3)'!G6:BC6,"/")+COUNTIF('เวลาเรียน (4)'!H6:AW6,"/")</f>
        <v>0</v>
      </c>
    </row>
    <row r="7" spans="1:50" ht="18" customHeight="1" x14ac:dyDescent="0.3">
      <c r="A7" s="5">
        <v>2</v>
      </c>
      <c r="B7" s="17">
        <f>'เวลาเรียน (2)'!B7</f>
        <v>4998</v>
      </c>
      <c r="C7" s="60" t="str">
        <f>'เวลาเรียน (2)'!C7</f>
        <v>เด็กชายนิรวุฒิ  วันทอง</v>
      </c>
      <c r="D7" s="31"/>
      <c r="E7" s="21"/>
      <c r="F7" s="22"/>
      <c r="G7" s="23"/>
      <c r="H7" s="178"/>
      <c r="I7" s="357"/>
      <c r="J7" s="357"/>
      <c r="K7" s="357"/>
      <c r="L7" s="357"/>
      <c r="M7" s="357"/>
      <c r="N7" s="355"/>
      <c r="O7" s="366"/>
      <c r="P7" s="357"/>
      <c r="Q7" s="357"/>
      <c r="R7" s="357"/>
      <c r="S7" s="357"/>
      <c r="T7" s="357"/>
      <c r="U7" s="355"/>
      <c r="V7" s="360"/>
      <c r="W7" s="357"/>
      <c r="X7" s="357"/>
      <c r="Y7" s="357"/>
      <c r="Z7" s="357"/>
      <c r="AA7" s="357"/>
      <c r="AB7" s="355"/>
      <c r="AC7" s="360"/>
      <c r="AD7" s="357"/>
      <c r="AE7" s="357"/>
      <c r="AF7" s="357"/>
      <c r="AG7" s="357"/>
      <c r="AH7" s="357"/>
      <c r="AI7" s="355"/>
      <c r="AJ7" s="360"/>
      <c r="AK7" s="357"/>
      <c r="AL7" s="357"/>
      <c r="AM7" s="357"/>
      <c r="AN7" s="357"/>
      <c r="AO7" s="357"/>
      <c r="AP7" s="355"/>
      <c r="AQ7" s="360"/>
      <c r="AR7" s="357"/>
      <c r="AS7" s="357"/>
      <c r="AT7" s="357"/>
      <c r="AU7" s="357"/>
      <c r="AV7" s="357"/>
      <c r="AW7" s="178"/>
      <c r="AX7" s="122">
        <f>COUNTIF('เวลาเรียน (2)'!G7:BC7,"/")+COUNTIF('เวลาเรียน (3)'!G7:BC7,"/")+COUNTIF('เวลาเรียน (4)'!H7:AW7,"/")</f>
        <v>0</v>
      </c>
    </row>
    <row r="8" spans="1:50" ht="18" customHeight="1" x14ac:dyDescent="0.3">
      <c r="A8" s="5">
        <v>3</v>
      </c>
      <c r="B8" s="17">
        <f>'เวลาเรียน (2)'!B8</f>
        <v>4999</v>
      </c>
      <c r="C8" s="60" t="str">
        <f>'เวลาเรียน (2)'!C8</f>
        <v>เด็กชายศรันยู  รัตนมงคล</v>
      </c>
      <c r="D8" s="31"/>
      <c r="E8" s="21"/>
      <c r="F8" s="22"/>
      <c r="G8" s="23"/>
      <c r="H8" s="178"/>
      <c r="I8" s="357"/>
      <c r="J8" s="357"/>
      <c r="K8" s="357"/>
      <c r="L8" s="357"/>
      <c r="M8" s="357"/>
      <c r="N8" s="355"/>
      <c r="O8" s="366"/>
      <c r="P8" s="357"/>
      <c r="Q8" s="357"/>
      <c r="R8" s="357"/>
      <c r="S8" s="357"/>
      <c r="T8" s="357"/>
      <c r="U8" s="355"/>
      <c r="V8" s="360"/>
      <c r="W8" s="357"/>
      <c r="X8" s="357"/>
      <c r="Y8" s="357"/>
      <c r="Z8" s="357"/>
      <c r="AA8" s="357"/>
      <c r="AB8" s="355"/>
      <c r="AC8" s="360"/>
      <c r="AD8" s="357"/>
      <c r="AE8" s="357"/>
      <c r="AF8" s="357"/>
      <c r="AG8" s="357"/>
      <c r="AH8" s="357"/>
      <c r="AI8" s="355"/>
      <c r="AJ8" s="360"/>
      <c r="AK8" s="357"/>
      <c r="AL8" s="357"/>
      <c r="AM8" s="357"/>
      <c r="AN8" s="357"/>
      <c r="AO8" s="357"/>
      <c r="AP8" s="355"/>
      <c r="AQ8" s="360"/>
      <c r="AR8" s="357"/>
      <c r="AS8" s="357"/>
      <c r="AT8" s="357"/>
      <c r="AU8" s="357"/>
      <c r="AV8" s="357"/>
      <c r="AW8" s="178"/>
      <c r="AX8" s="122">
        <f>COUNTIF('เวลาเรียน (2)'!G8:BC8,"/")+COUNTIF('เวลาเรียน (3)'!G8:BC8,"/")+COUNTIF('เวลาเรียน (4)'!H8:AW8,"/")</f>
        <v>0</v>
      </c>
    </row>
    <row r="9" spans="1:50" ht="18" customHeight="1" x14ac:dyDescent="0.3">
      <c r="A9" s="5">
        <v>4</v>
      </c>
      <c r="B9" s="17">
        <f>'เวลาเรียน (2)'!B9</f>
        <v>5000</v>
      </c>
      <c r="C9" s="60" t="str">
        <f>'เวลาเรียน (2)'!C9</f>
        <v>เด็กชายสิรธีร์  เวียงอินทร์</v>
      </c>
      <c r="D9" s="31"/>
      <c r="E9" s="21"/>
      <c r="F9" s="22"/>
      <c r="G9" s="23"/>
      <c r="H9" s="178"/>
      <c r="I9" s="357"/>
      <c r="J9" s="357"/>
      <c r="K9" s="357"/>
      <c r="L9" s="357"/>
      <c r="M9" s="357"/>
      <c r="N9" s="355"/>
      <c r="O9" s="366"/>
      <c r="P9" s="357"/>
      <c r="Q9" s="357"/>
      <c r="R9" s="357"/>
      <c r="S9" s="357"/>
      <c r="T9" s="357"/>
      <c r="U9" s="355"/>
      <c r="V9" s="360"/>
      <c r="W9" s="357"/>
      <c r="X9" s="357"/>
      <c r="Y9" s="357"/>
      <c r="Z9" s="357"/>
      <c r="AA9" s="357"/>
      <c r="AB9" s="355"/>
      <c r="AC9" s="360"/>
      <c r="AD9" s="357"/>
      <c r="AE9" s="357"/>
      <c r="AF9" s="357"/>
      <c r="AG9" s="357"/>
      <c r="AH9" s="357"/>
      <c r="AI9" s="355"/>
      <c r="AJ9" s="360"/>
      <c r="AK9" s="357"/>
      <c r="AL9" s="357"/>
      <c r="AM9" s="357"/>
      <c r="AN9" s="357"/>
      <c r="AO9" s="357"/>
      <c r="AP9" s="355"/>
      <c r="AQ9" s="360"/>
      <c r="AR9" s="357"/>
      <c r="AS9" s="357"/>
      <c r="AT9" s="357"/>
      <c r="AU9" s="357"/>
      <c r="AV9" s="357"/>
      <c r="AW9" s="178"/>
      <c r="AX9" s="122">
        <f>COUNTIF('เวลาเรียน (2)'!G9:BC9,"/")+COUNTIF('เวลาเรียน (3)'!G9:BC9,"/")+COUNTIF('เวลาเรียน (4)'!H9:AW9,"/")</f>
        <v>0</v>
      </c>
    </row>
    <row r="10" spans="1:50" ht="18" customHeight="1" x14ac:dyDescent="0.3">
      <c r="A10" s="5">
        <v>5</v>
      </c>
      <c r="B10" s="17">
        <f>'เวลาเรียน (2)'!B10</f>
        <v>5001</v>
      </c>
      <c r="C10" s="60" t="str">
        <f>'เวลาเรียน (2)'!C10</f>
        <v>เด็กหญิงจิรภิญญา  เขื่อนพงษ์</v>
      </c>
      <c r="D10" s="31"/>
      <c r="E10" s="76"/>
      <c r="F10" s="22"/>
      <c r="G10" s="23"/>
      <c r="H10" s="178"/>
      <c r="I10" s="357"/>
      <c r="J10" s="357"/>
      <c r="K10" s="357"/>
      <c r="L10" s="357"/>
      <c r="M10" s="357"/>
      <c r="N10" s="355"/>
      <c r="O10" s="366"/>
      <c r="P10" s="357"/>
      <c r="Q10" s="357"/>
      <c r="R10" s="357"/>
      <c r="S10" s="357"/>
      <c r="T10" s="357"/>
      <c r="U10" s="355"/>
      <c r="V10" s="360"/>
      <c r="W10" s="357"/>
      <c r="X10" s="357"/>
      <c r="Y10" s="357"/>
      <c r="Z10" s="357"/>
      <c r="AA10" s="357"/>
      <c r="AB10" s="355"/>
      <c r="AC10" s="360"/>
      <c r="AD10" s="357"/>
      <c r="AE10" s="357"/>
      <c r="AF10" s="357"/>
      <c r="AG10" s="357"/>
      <c r="AH10" s="357"/>
      <c r="AI10" s="355"/>
      <c r="AJ10" s="360"/>
      <c r="AK10" s="357"/>
      <c r="AL10" s="357"/>
      <c r="AM10" s="357"/>
      <c r="AN10" s="357"/>
      <c r="AO10" s="357"/>
      <c r="AP10" s="355"/>
      <c r="AQ10" s="360"/>
      <c r="AR10" s="357"/>
      <c r="AS10" s="357"/>
      <c r="AT10" s="357"/>
      <c r="AU10" s="357"/>
      <c r="AV10" s="357"/>
      <c r="AW10" s="178"/>
      <c r="AX10" s="122">
        <f>COUNTIF('เวลาเรียน (2)'!G10:BC10,"/")+COUNTIF('เวลาเรียน (3)'!G10:BC10,"/")+COUNTIF('เวลาเรียน (4)'!H10:AW10,"/")</f>
        <v>0</v>
      </c>
    </row>
    <row r="11" spans="1:50" ht="18" customHeight="1" x14ac:dyDescent="0.3">
      <c r="A11" s="5">
        <v>6</v>
      </c>
      <c r="B11" s="17">
        <f>'เวลาเรียน (2)'!B11</f>
        <v>5002</v>
      </c>
      <c r="C11" s="60" t="str">
        <f>'เวลาเรียน (2)'!C11</f>
        <v>เด็กหญิงภคพร  วงค์สา</v>
      </c>
      <c r="D11" s="31"/>
      <c r="E11" s="21"/>
      <c r="F11" s="22"/>
      <c r="G11" s="23"/>
      <c r="H11" s="178"/>
      <c r="I11" s="357"/>
      <c r="J11" s="357"/>
      <c r="K11" s="357"/>
      <c r="L11" s="357"/>
      <c r="M11" s="357"/>
      <c r="N11" s="355"/>
      <c r="O11" s="366"/>
      <c r="P11" s="357"/>
      <c r="Q11" s="357"/>
      <c r="R11" s="357"/>
      <c r="S11" s="357"/>
      <c r="T11" s="357"/>
      <c r="U11" s="355"/>
      <c r="V11" s="360"/>
      <c r="W11" s="357"/>
      <c r="X11" s="357"/>
      <c r="Y11" s="357"/>
      <c r="Z11" s="357"/>
      <c r="AA11" s="357"/>
      <c r="AB11" s="355"/>
      <c r="AC11" s="360"/>
      <c r="AD11" s="357"/>
      <c r="AE11" s="357"/>
      <c r="AF11" s="357"/>
      <c r="AG11" s="357"/>
      <c r="AH11" s="357"/>
      <c r="AI11" s="355"/>
      <c r="AJ11" s="360"/>
      <c r="AK11" s="357"/>
      <c r="AL11" s="357"/>
      <c r="AM11" s="357"/>
      <c r="AN11" s="357"/>
      <c r="AO11" s="357"/>
      <c r="AP11" s="355"/>
      <c r="AQ11" s="360"/>
      <c r="AR11" s="357"/>
      <c r="AS11" s="357"/>
      <c r="AT11" s="357"/>
      <c r="AU11" s="357"/>
      <c r="AV11" s="357"/>
      <c r="AW11" s="178"/>
      <c r="AX11" s="122">
        <f>COUNTIF('เวลาเรียน (2)'!G11:BC11,"/")+COUNTIF('เวลาเรียน (3)'!G11:BC11,"/")+COUNTIF('เวลาเรียน (4)'!H11:AW11,"/")</f>
        <v>0</v>
      </c>
    </row>
    <row r="12" spans="1:50" ht="18" customHeight="1" x14ac:dyDescent="0.3">
      <c r="A12" s="5">
        <v>7</v>
      </c>
      <c r="B12" s="17">
        <f>'เวลาเรียน (2)'!B12</f>
        <v>5003</v>
      </c>
      <c r="C12" s="60" t="str">
        <f>'เวลาเรียน (2)'!C12</f>
        <v>เด็กหญิงศิริณภา  สุวรรณจันทร์</v>
      </c>
      <c r="D12" s="31"/>
      <c r="E12" s="21"/>
      <c r="F12" s="22"/>
      <c r="G12" s="23"/>
      <c r="H12" s="178"/>
      <c r="I12" s="357"/>
      <c r="J12" s="357"/>
      <c r="K12" s="357"/>
      <c r="L12" s="357"/>
      <c r="M12" s="357"/>
      <c r="N12" s="355"/>
      <c r="O12" s="366"/>
      <c r="P12" s="357"/>
      <c r="Q12" s="357"/>
      <c r="R12" s="357"/>
      <c r="S12" s="357"/>
      <c r="T12" s="357"/>
      <c r="U12" s="355"/>
      <c r="V12" s="360"/>
      <c r="W12" s="357"/>
      <c r="X12" s="357"/>
      <c r="Y12" s="357"/>
      <c r="Z12" s="357"/>
      <c r="AA12" s="357"/>
      <c r="AB12" s="355"/>
      <c r="AC12" s="360"/>
      <c r="AD12" s="357"/>
      <c r="AE12" s="357"/>
      <c r="AF12" s="357"/>
      <c r="AG12" s="357"/>
      <c r="AH12" s="357"/>
      <c r="AI12" s="355"/>
      <c r="AJ12" s="360"/>
      <c r="AK12" s="357"/>
      <c r="AL12" s="357"/>
      <c r="AM12" s="357"/>
      <c r="AN12" s="357"/>
      <c r="AO12" s="357"/>
      <c r="AP12" s="355"/>
      <c r="AQ12" s="360"/>
      <c r="AR12" s="357"/>
      <c r="AS12" s="357"/>
      <c r="AT12" s="357"/>
      <c r="AU12" s="357"/>
      <c r="AV12" s="357"/>
      <c r="AW12" s="178"/>
      <c r="AX12" s="122">
        <f>COUNTIF('เวลาเรียน (2)'!G12:BC12,"/")+COUNTIF('เวลาเรียน (3)'!G12:BC12,"/")+COUNTIF('เวลาเรียน (4)'!H12:AW12,"/")</f>
        <v>0</v>
      </c>
    </row>
    <row r="13" spans="1:50" ht="18" customHeight="1" x14ac:dyDescent="0.3">
      <c r="A13" s="5">
        <v>8</v>
      </c>
      <c r="B13" s="17">
        <f>'เวลาเรียน (2)'!B13</f>
        <v>5004</v>
      </c>
      <c r="C13" s="60" t="str">
        <f>'เวลาเรียน (2)'!C13</f>
        <v>เด็กหญิงศุภิสรา  โม้แซง</v>
      </c>
      <c r="D13" s="31"/>
      <c r="E13" s="21"/>
      <c r="F13" s="22"/>
      <c r="G13" s="23"/>
      <c r="H13" s="178"/>
      <c r="I13" s="357"/>
      <c r="J13" s="357"/>
      <c r="K13" s="357"/>
      <c r="L13" s="357"/>
      <c r="M13" s="357"/>
      <c r="N13" s="355"/>
      <c r="O13" s="366"/>
      <c r="P13" s="357"/>
      <c r="Q13" s="357"/>
      <c r="R13" s="357"/>
      <c r="S13" s="357"/>
      <c r="T13" s="357"/>
      <c r="U13" s="355"/>
      <c r="V13" s="360"/>
      <c r="W13" s="357"/>
      <c r="X13" s="357"/>
      <c r="Y13" s="357"/>
      <c r="Z13" s="357"/>
      <c r="AA13" s="357"/>
      <c r="AB13" s="355"/>
      <c r="AC13" s="360"/>
      <c r="AD13" s="357"/>
      <c r="AE13" s="357"/>
      <c r="AF13" s="357"/>
      <c r="AG13" s="357"/>
      <c r="AH13" s="357"/>
      <c r="AI13" s="355"/>
      <c r="AJ13" s="360"/>
      <c r="AK13" s="357"/>
      <c r="AL13" s="357"/>
      <c r="AM13" s="357"/>
      <c r="AN13" s="357"/>
      <c r="AO13" s="357"/>
      <c r="AP13" s="355"/>
      <c r="AQ13" s="360"/>
      <c r="AR13" s="357"/>
      <c r="AS13" s="357"/>
      <c r="AT13" s="357"/>
      <c r="AU13" s="357"/>
      <c r="AV13" s="357"/>
      <c r="AW13" s="178"/>
      <c r="AX13" s="122">
        <f>COUNTIF('เวลาเรียน (2)'!G13:BC13,"/")+COUNTIF('เวลาเรียน (3)'!G13:BC13,"/")+COUNTIF('เวลาเรียน (4)'!H13:AW13,"/")</f>
        <v>0</v>
      </c>
    </row>
    <row r="14" spans="1:50" ht="18" customHeight="1" x14ac:dyDescent="0.3">
      <c r="A14" s="5">
        <v>9</v>
      </c>
      <c r="B14" s="17">
        <f>'เวลาเรียน (2)'!B14</f>
        <v>5005</v>
      </c>
      <c r="C14" s="60" t="str">
        <f>'เวลาเรียน (2)'!C14</f>
        <v>เด็กหญิงสุพิชชา  ชาวนาฮี</v>
      </c>
      <c r="D14" s="31"/>
      <c r="E14" s="21"/>
      <c r="F14" s="61"/>
      <c r="G14" s="25"/>
      <c r="H14" s="178"/>
      <c r="I14" s="357"/>
      <c r="J14" s="357"/>
      <c r="K14" s="357"/>
      <c r="L14" s="357"/>
      <c r="M14" s="357"/>
      <c r="N14" s="355"/>
      <c r="O14" s="366"/>
      <c r="P14" s="357"/>
      <c r="Q14" s="357"/>
      <c r="R14" s="357"/>
      <c r="S14" s="357"/>
      <c r="T14" s="357"/>
      <c r="U14" s="355"/>
      <c r="V14" s="360"/>
      <c r="W14" s="357"/>
      <c r="X14" s="357"/>
      <c r="Y14" s="357"/>
      <c r="Z14" s="357"/>
      <c r="AA14" s="357"/>
      <c r="AB14" s="355"/>
      <c r="AC14" s="360"/>
      <c r="AD14" s="357"/>
      <c r="AE14" s="357"/>
      <c r="AF14" s="357"/>
      <c r="AG14" s="357"/>
      <c r="AH14" s="357"/>
      <c r="AI14" s="355"/>
      <c r="AJ14" s="360"/>
      <c r="AK14" s="357"/>
      <c r="AL14" s="357"/>
      <c r="AM14" s="357"/>
      <c r="AN14" s="357"/>
      <c r="AO14" s="357"/>
      <c r="AP14" s="355"/>
      <c r="AQ14" s="360"/>
      <c r="AR14" s="357"/>
      <c r="AS14" s="357"/>
      <c r="AT14" s="357"/>
      <c r="AU14" s="357"/>
      <c r="AV14" s="357"/>
      <c r="AW14" s="178"/>
      <c r="AX14" s="122">
        <f>COUNTIF('เวลาเรียน (2)'!G14:BC14,"/")+COUNTIF('เวลาเรียน (3)'!G14:BC14,"/")+COUNTIF('เวลาเรียน (4)'!H14:AW14,"/")</f>
        <v>0</v>
      </c>
    </row>
    <row r="15" spans="1:50" ht="18" customHeight="1" x14ac:dyDescent="0.3">
      <c r="A15" s="5">
        <v>10</v>
      </c>
      <c r="B15" s="17"/>
      <c r="C15" s="60"/>
      <c r="D15" s="31"/>
      <c r="E15" s="21"/>
      <c r="F15" s="22"/>
      <c r="G15" s="23"/>
      <c r="H15" s="178"/>
      <c r="I15" s="357"/>
      <c r="J15" s="357"/>
      <c r="K15" s="357"/>
      <c r="L15" s="357"/>
      <c r="M15" s="357"/>
      <c r="N15" s="355"/>
      <c r="O15" s="366"/>
      <c r="P15" s="357"/>
      <c r="Q15" s="357"/>
      <c r="R15" s="357"/>
      <c r="S15" s="357"/>
      <c r="T15" s="357"/>
      <c r="U15" s="355"/>
      <c r="V15" s="360"/>
      <c r="W15" s="357"/>
      <c r="X15" s="357"/>
      <c r="Y15" s="357"/>
      <c r="Z15" s="357"/>
      <c r="AA15" s="357"/>
      <c r="AB15" s="355"/>
      <c r="AC15" s="360"/>
      <c r="AD15" s="357"/>
      <c r="AE15" s="357"/>
      <c r="AF15" s="357"/>
      <c r="AG15" s="357"/>
      <c r="AH15" s="357"/>
      <c r="AI15" s="355"/>
      <c r="AJ15" s="360"/>
      <c r="AK15" s="357"/>
      <c r="AL15" s="357"/>
      <c r="AM15" s="357"/>
      <c r="AN15" s="357"/>
      <c r="AO15" s="357"/>
      <c r="AP15" s="355"/>
      <c r="AQ15" s="360"/>
      <c r="AR15" s="357"/>
      <c r="AS15" s="357"/>
      <c r="AT15" s="357"/>
      <c r="AU15" s="357"/>
      <c r="AV15" s="357"/>
      <c r="AW15" s="178"/>
      <c r="AX15" s="122">
        <f>COUNTIF('เวลาเรียน (2)'!G15:BC15,"/")+COUNTIF('เวลาเรียน (3)'!G15:BC15,"/")+COUNTIF('เวลาเรียน (4)'!H15:AW15,"/")</f>
        <v>0</v>
      </c>
    </row>
    <row r="16" spans="1:50" ht="18" customHeight="1" x14ac:dyDescent="0.3">
      <c r="A16" s="5">
        <v>11</v>
      </c>
      <c r="B16" s="17"/>
      <c r="C16" s="60"/>
      <c r="D16" s="31"/>
      <c r="E16" s="21"/>
      <c r="F16" s="22"/>
      <c r="G16" s="23"/>
      <c r="H16" s="178"/>
      <c r="I16" s="357"/>
      <c r="J16" s="357"/>
      <c r="K16" s="357"/>
      <c r="L16" s="357"/>
      <c r="M16" s="357"/>
      <c r="N16" s="355"/>
      <c r="O16" s="366"/>
      <c r="P16" s="357"/>
      <c r="Q16" s="357"/>
      <c r="R16" s="357"/>
      <c r="S16" s="357"/>
      <c r="T16" s="357"/>
      <c r="U16" s="355"/>
      <c r="V16" s="360"/>
      <c r="W16" s="357"/>
      <c r="X16" s="357"/>
      <c r="Y16" s="357"/>
      <c r="Z16" s="357"/>
      <c r="AA16" s="357"/>
      <c r="AB16" s="355"/>
      <c r="AC16" s="360"/>
      <c r="AD16" s="357"/>
      <c r="AE16" s="357"/>
      <c r="AF16" s="357"/>
      <c r="AG16" s="357"/>
      <c r="AH16" s="357"/>
      <c r="AI16" s="355"/>
      <c r="AJ16" s="360"/>
      <c r="AK16" s="357"/>
      <c r="AL16" s="357"/>
      <c r="AM16" s="357"/>
      <c r="AN16" s="357"/>
      <c r="AO16" s="357"/>
      <c r="AP16" s="355"/>
      <c r="AQ16" s="360"/>
      <c r="AR16" s="357"/>
      <c r="AS16" s="357"/>
      <c r="AT16" s="357"/>
      <c r="AU16" s="357"/>
      <c r="AV16" s="357"/>
      <c r="AW16" s="178"/>
      <c r="AX16" s="122"/>
    </row>
    <row r="17" spans="1:50" ht="18" customHeight="1" x14ac:dyDescent="0.3">
      <c r="A17" s="5">
        <v>12</v>
      </c>
      <c r="B17" s="17"/>
      <c r="C17" s="60"/>
      <c r="D17" s="31"/>
      <c r="E17" s="21"/>
      <c r="F17" s="22"/>
      <c r="G17" s="23"/>
      <c r="H17" s="178"/>
      <c r="I17" s="357"/>
      <c r="J17" s="357"/>
      <c r="K17" s="357"/>
      <c r="L17" s="357"/>
      <c r="M17" s="357"/>
      <c r="N17" s="355"/>
      <c r="O17" s="366"/>
      <c r="P17" s="357"/>
      <c r="Q17" s="357"/>
      <c r="R17" s="357"/>
      <c r="S17" s="357"/>
      <c r="T17" s="357"/>
      <c r="U17" s="355"/>
      <c r="V17" s="360"/>
      <c r="W17" s="357"/>
      <c r="X17" s="357"/>
      <c r="Y17" s="357"/>
      <c r="Z17" s="357"/>
      <c r="AA17" s="357"/>
      <c r="AB17" s="355"/>
      <c r="AC17" s="360"/>
      <c r="AD17" s="357"/>
      <c r="AE17" s="357"/>
      <c r="AF17" s="357"/>
      <c r="AG17" s="357"/>
      <c r="AH17" s="357"/>
      <c r="AI17" s="355"/>
      <c r="AJ17" s="360"/>
      <c r="AK17" s="357"/>
      <c r="AL17" s="357"/>
      <c r="AM17" s="357"/>
      <c r="AN17" s="357"/>
      <c r="AO17" s="357"/>
      <c r="AP17" s="355"/>
      <c r="AQ17" s="360"/>
      <c r="AR17" s="357"/>
      <c r="AS17" s="357"/>
      <c r="AT17" s="357"/>
      <c r="AU17" s="357"/>
      <c r="AV17" s="357"/>
      <c r="AW17" s="178"/>
      <c r="AX17" s="122"/>
    </row>
    <row r="18" spans="1:50" ht="18" customHeight="1" x14ac:dyDescent="0.3">
      <c r="A18" s="5">
        <v>13</v>
      </c>
      <c r="B18" s="17"/>
      <c r="C18" s="60"/>
      <c r="D18" s="31"/>
      <c r="E18" s="21"/>
      <c r="F18" s="22"/>
      <c r="G18" s="23"/>
      <c r="H18" s="178"/>
      <c r="I18" s="357"/>
      <c r="J18" s="357"/>
      <c r="K18" s="357"/>
      <c r="L18" s="357"/>
      <c r="M18" s="357"/>
      <c r="N18" s="355"/>
      <c r="O18" s="366"/>
      <c r="P18" s="357"/>
      <c r="Q18" s="357"/>
      <c r="R18" s="357"/>
      <c r="S18" s="357"/>
      <c r="T18" s="357"/>
      <c r="U18" s="355"/>
      <c r="V18" s="360"/>
      <c r="W18" s="357"/>
      <c r="X18" s="357"/>
      <c r="Y18" s="357"/>
      <c r="Z18" s="357"/>
      <c r="AA18" s="357"/>
      <c r="AB18" s="355"/>
      <c r="AC18" s="360"/>
      <c r="AD18" s="357"/>
      <c r="AE18" s="357"/>
      <c r="AF18" s="357"/>
      <c r="AG18" s="357"/>
      <c r="AH18" s="357"/>
      <c r="AI18" s="355"/>
      <c r="AJ18" s="360"/>
      <c r="AK18" s="357"/>
      <c r="AL18" s="357"/>
      <c r="AM18" s="357"/>
      <c r="AN18" s="357"/>
      <c r="AO18" s="357"/>
      <c r="AP18" s="355"/>
      <c r="AQ18" s="360"/>
      <c r="AR18" s="357"/>
      <c r="AS18" s="357"/>
      <c r="AT18" s="357"/>
      <c r="AU18" s="357"/>
      <c r="AV18" s="357"/>
      <c r="AW18" s="178"/>
      <c r="AX18" s="122"/>
    </row>
    <row r="19" spans="1:50" ht="18" customHeight="1" x14ac:dyDescent="0.3">
      <c r="A19" s="5">
        <v>14</v>
      </c>
      <c r="B19" s="17"/>
      <c r="C19" s="60"/>
      <c r="D19" s="31"/>
      <c r="E19" s="21"/>
      <c r="F19" s="22"/>
      <c r="G19" s="23"/>
      <c r="H19" s="178"/>
      <c r="I19" s="357"/>
      <c r="J19" s="357"/>
      <c r="K19" s="357"/>
      <c r="L19" s="357"/>
      <c r="M19" s="357"/>
      <c r="N19" s="355"/>
      <c r="O19" s="366"/>
      <c r="P19" s="357"/>
      <c r="Q19" s="357"/>
      <c r="R19" s="357"/>
      <c r="S19" s="357"/>
      <c r="T19" s="357"/>
      <c r="U19" s="355"/>
      <c r="V19" s="360"/>
      <c r="W19" s="357"/>
      <c r="X19" s="357"/>
      <c r="Y19" s="357"/>
      <c r="Z19" s="357"/>
      <c r="AA19" s="357"/>
      <c r="AB19" s="355"/>
      <c r="AC19" s="360"/>
      <c r="AD19" s="357"/>
      <c r="AE19" s="357"/>
      <c r="AF19" s="357"/>
      <c r="AG19" s="357"/>
      <c r="AH19" s="357"/>
      <c r="AI19" s="355"/>
      <c r="AJ19" s="360"/>
      <c r="AK19" s="357"/>
      <c r="AL19" s="357"/>
      <c r="AM19" s="357"/>
      <c r="AN19" s="357"/>
      <c r="AO19" s="357"/>
      <c r="AP19" s="355"/>
      <c r="AQ19" s="360"/>
      <c r="AR19" s="357"/>
      <c r="AS19" s="357"/>
      <c r="AT19" s="357"/>
      <c r="AU19" s="357"/>
      <c r="AV19" s="357"/>
      <c r="AW19" s="178"/>
      <c r="AX19" s="122"/>
    </row>
    <row r="20" spans="1:50" ht="18" customHeight="1" x14ac:dyDescent="0.3">
      <c r="A20" s="5">
        <v>15</v>
      </c>
      <c r="B20" s="17"/>
      <c r="C20" s="60"/>
      <c r="D20" s="31"/>
      <c r="E20" s="21"/>
      <c r="F20" s="22"/>
      <c r="G20" s="23"/>
      <c r="H20" s="178"/>
      <c r="I20" s="357"/>
      <c r="J20" s="357"/>
      <c r="K20" s="357"/>
      <c r="L20" s="362"/>
      <c r="M20" s="357"/>
      <c r="N20" s="355"/>
      <c r="O20" s="366"/>
      <c r="P20" s="357"/>
      <c r="Q20" s="357"/>
      <c r="R20" s="362"/>
      <c r="S20" s="362"/>
      <c r="T20" s="357"/>
      <c r="U20" s="355"/>
      <c r="V20" s="360"/>
      <c r="W20" s="357"/>
      <c r="X20" s="357"/>
      <c r="Y20" s="357"/>
      <c r="Z20" s="362"/>
      <c r="AA20" s="357"/>
      <c r="AB20" s="355"/>
      <c r="AC20" s="360"/>
      <c r="AD20" s="357"/>
      <c r="AE20" s="357"/>
      <c r="AF20" s="357"/>
      <c r="AG20" s="362"/>
      <c r="AH20" s="357"/>
      <c r="AI20" s="355"/>
      <c r="AJ20" s="360"/>
      <c r="AK20" s="357"/>
      <c r="AL20" s="357"/>
      <c r="AM20" s="357"/>
      <c r="AN20" s="362"/>
      <c r="AO20" s="357"/>
      <c r="AP20" s="355"/>
      <c r="AQ20" s="360"/>
      <c r="AR20" s="357"/>
      <c r="AS20" s="357"/>
      <c r="AT20" s="357"/>
      <c r="AU20" s="362"/>
      <c r="AV20" s="357"/>
      <c r="AW20" s="178"/>
      <c r="AX20" s="122"/>
    </row>
    <row r="21" spans="1:50" ht="18" customHeight="1" x14ac:dyDescent="0.3">
      <c r="A21" s="5">
        <v>16</v>
      </c>
      <c r="B21" s="17"/>
      <c r="C21" s="60"/>
      <c r="D21" s="31"/>
      <c r="E21" s="21"/>
      <c r="F21" s="22"/>
      <c r="G21" s="26"/>
      <c r="H21" s="178"/>
      <c r="I21" s="357"/>
      <c r="J21" s="357"/>
      <c r="K21" s="357"/>
      <c r="L21" s="362"/>
      <c r="M21" s="357"/>
      <c r="N21" s="355"/>
      <c r="O21" s="366"/>
      <c r="P21" s="357"/>
      <c r="Q21" s="357"/>
      <c r="R21" s="362"/>
      <c r="S21" s="362"/>
      <c r="T21" s="357"/>
      <c r="U21" s="355"/>
      <c r="V21" s="360"/>
      <c r="W21" s="357"/>
      <c r="X21" s="357"/>
      <c r="Y21" s="357"/>
      <c r="Z21" s="362"/>
      <c r="AA21" s="357"/>
      <c r="AB21" s="355"/>
      <c r="AC21" s="360"/>
      <c r="AD21" s="357"/>
      <c r="AE21" s="357"/>
      <c r="AF21" s="357"/>
      <c r="AG21" s="362"/>
      <c r="AH21" s="357"/>
      <c r="AI21" s="355"/>
      <c r="AJ21" s="360"/>
      <c r="AK21" s="357"/>
      <c r="AL21" s="357"/>
      <c r="AM21" s="357"/>
      <c r="AN21" s="362"/>
      <c r="AO21" s="357"/>
      <c r="AP21" s="355"/>
      <c r="AQ21" s="360"/>
      <c r="AR21" s="357"/>
      <c r="AS21" s="357"/>
      <c r="AT21" s="357"/>
      <c r="AU21" s="362"/>
      <c r="AV21" s="357"/>
      <c r="AW21" s="178"/>
      <c r="AX21" s="122"/>
    </row>
    <row r="22" spans="1:50" ht="18" customHeight="1" x14ac:dyDescent="0.3">
      <c r="A22" s="5">
        <v>17</v>
      </c>
      <c r="B22" s="17"/>
      <c r="C22" s="60"/>
      <c r="D22" s="31"/>
      <c r="E22" s="21"/>
      <c r="F22" s="22"/>
      <c r="G22" s="23"/>
      <c r="H22" s="178"/>
      <c r="I22" s="27"/>
      <c r="J22" s="27"/>
      <c r="K22" s="27"/>
      <c r="L22" s="15"/>
      <c r="M22" s="27"/>
      <c r="N22" s="173"/>
      <c r="O22" s="178"/>
      <c r="P22" s="27"/>
      <c r="Q22" s="27"/>
      <c r="R22" s="128"/>
      <c r="S22" s="15"/>
      <c r="T22" s="27"/>
      <c r="U22" s="173"/>
      <c r="V22" s="176"/>
      <c r="W22" s="27"/>
      <c r="X22" s="27"/>
      <c r="Y22" s="27"/>
      <c r="Z22" s="15"/>
      <c r="AA22" s="27"/>
      <c r="AB22" s="173"/>
      <c r="AC22" s="176"/>
      <c r="AD22" s="27"/>
      <c r="AE22" s="27"/>
      <c r="AF22" s="27"/>
      <c r="AG22" s="15"/>
      <c r="AH22" s="27"/>
      <c r="AI22" s="173"/>
      <c r="AJ22" s="176"/>
      <c r="AK22" s="27"/>
      <c r="AL22" s="27"/>
      <c r="AM22" s="27"/>
      <c r="AN22" s="15"/>
      <c r="AO22" s="27"/>
      <c r="AP22" s="173"/>
      <c r="AQ22" s="176"/>
      <c r="AR22" s="27"/>
      <c r="AS22" s="27"/>
      <c r="AT22" s="27"/>
      <c r="AU22" s="15"/>
      <c r="AV22" s="27"/>
      <c r="AW22" s="178"/>
      <c r="AX22" s="122"/>
    </row>
    <row r="23" spans="1:50" ht="18" customHeight="1" x14ac:dyDescent="0.3">
      <c r="A23" s="5">
        <v>18</v>
      </c>
      <c r="B23" s="17"/>
      <c r="C23" s="60"/>
      <c r="D23" s="31"/>
      <c r="E23" s="21"/>
      <c r="F23" s="22"/>
      <c r="G23" s="23"/>
      <c r="H23" s="178"/>
      <c r="I23" s="27"/>
      <c r="J23" s="27"/>
      <c r="K23" s="27"/>
      <c r="L23" s="15"/>
      <c r="M23" s="27"/>
      <c r="N23" s="173"/>
      <c r="O23" s="178"/>
      <c r="P23" s="27"/>
      <c r="Q23" s="27"/>
      <c r="R23" s="128"/>
      <c r="S23" s="15"/>
      <c r="T23" s="27"/>
      <c r="U23" s="173"/>
      <c r="V23" s="176"/>
      <c r="W23" s="27"/>
      <c r="X23" s="27"/>
      <c r="Y23" s="27"/>
      <c r="Z23" s="15"/>
      <c r="AA23" s="27"/>
      <c r="AB23" s="173"/>
      <c r="AC23" s="176"/>
      <c r="AD23" s="27"/>
      <c r="AE23" s="27"/>
      <c r="AF23" s="27"/>
      <c r="AG23" s="15"/>
      <c r="AH23" s="27"/>
      <c r="AI23" s="173"/>
      <c r="AJ23" s="176"/>
      <c r="AK23" s="27"/>
      <c r="AL23" s="27"/>
      <c r="AM23" s="27"/>
      <c r="AN23" s="15"/>
      <c r="AO23" s="27"/>
      <c r="AP23" s="173"/>
      <c r="AQ23" s="176"/>
      <c r="AR23" s="27"/>
      <c r="AS23" s="27"/>
      <c r="AT23" s="27"/>
      <c r="AU23" s="15"/>
      <c r="AV23" s="27"/>
      <c r="AW23" s="178"/>
      <c r="AX23" s="122"/>
    </row>
    <row r="24" spans="1:50" ht="18" customHeight="1" x14ac:dyDescent="0.3">
      <c r="A24" s="5">
        <v>19</v>
      </c>
      <c r="B24" s="17"/>
      <c r="C24" s="60"/>
      <c r="D24" s="31"/>
      <c r="E24" s="21"/>
      <c r="F24" s="22"/>
      <c r="G24" s="26"/>
      <c r="H24" s="178"/>
      <c r="I24" s="27"/>
      <c r="J24" s="27"/>
      <c r="K24" s="27"/>
      <c r="L24" s="15"/>
      <c r="M24" s="15"/>
      <c r="N24" s="173"/>
      <c r="O24" s="178"/>
      <c r="P24" s="27"/>
      <c r="Q24" s="27"/>
      <c r="R24" s="128"/>
      <c r="S24" s="15"/>
      <c r="T24" s="15"/>
      <c r="U24" s="173"/>
      <c r="V24" s="176"/>
      <c r="W24" s="24"/>
      <c r="X24" s="24"/>
      <c r="Y24" s="27"/>
      <c r="Z24" s="15"/>
      <c r="AA24" s="15"/>
      <c r="AB24" s="173"/>
      <c r="AC24" s="176"/>
      <c r="AD24" s="24"/>
      <c r="AE24" s="24"/>
      <c r="AF24" s="27"/>
      <c r="AG24" s="15"/>
      <c r="AH24" s="15"/>
      <c r="AI24" s="173"/>
      <c r="AJ24" s="176"/>
      <c r="AK24" s="24"/>
      <c r="AL24" s="24"/>
      <c r="AM24" s="27"/>
      <c r="AN24" s="15"/>
      <c r="AO24" s="15"/>
      <c r="AP24" s="173"/>
      <c r="AQ24" s="176"/>
      <c r="AR24" s="24"/>
      <c r="AS24" s="24"/>
      <c r="AT24" s="27"/>
      <c r="AU24" s="15"/>
      <c r="AV24" s="15"/>
      <c r="AW24" s="178"/>
      <c r="AX24" s="122"/>
    </row>
    <row r="25" spans="1:50" ht="18" customHeight="1" x14ac:dyDescent="0.3">
      <c r="A25" s="5">
        <v>20</v>
      </c>
      <c r="B25" s="17"/>
      <c r="C25" s="60"/>
      <c r="D25" s="31"/>
      <c r="E25" s="21"/>
      <c r="F25" s="22"/>
      <c r="G25" s="23"/>
      <c r="H25" s="178"/>
      <c r="I25" s="27"/>
      <c r="J25" s="27"/>
      <c r="K25" s="27"/>
      <c r="L25" s="15"/>
      <c r="M25" s="15"/>
      <c r="N25" s="173"/>
      <c r="O25" s="178"/>
      <c r="P25" s="27"/>
      <c r="Q25" s="27"/>
      <c r="R25" s="128"/>
      <c r="S25" s="15"/>
      <c r="T25" s="15"/>
      <c r="U25" s="173"/>
      <c r="V25" s="176"/>
      <c r="W25" s="24"/>
      <c r="X25" s="24"/>
      <c r="Y25" s="27"/>
      <c r="Z25" s="15"/>
      <c r="AA25" s="15"/>
      <c r="AB25" s="173"/>
      <c r="AC25" s="176"/>
      <c r="AD25" s="24"/>
      <c r="AE25" s="24"/>
      <c r="AF25" s="27"/>
      <c r="AG25" s="15"/>
      <c r="AH25" s="15"/>
      <c r="AI25" s="173"/>
      <c r="AJ25" s="176"/>
      <c r="AK25" s="24"/>
      <c r="AL25" s="24"/>
      <c r="AM25" s="27"/>
      <c r="AN25" s="15"/>
      <c r="AO25" s="15"/>
      <c r="AP25" s="173"/>
      <c r="AQ25" s="176"/>
      <c r="AR25" s="24"/>
      <c r="AS25" s="24"/>
      <c r="AT25" s="27"/>
      <c r="AU25" s="15"/>
      <c r="AV25" s="15"/>
      <c r="AW25" s="178"/>
      <c r="AX25" s="122"/>
    </row>
    <row r="26" spans="1:50" ht="18" customHeight="1" x14ac:dyDescent="0.3">
      <c r="A26" s="5">
        <v>21</v>
      </c>
      <c r="B26" s="17"/>
      <c r="C26" s="60"/>
      <c r="D26" s="31"/>
      <c r="E26" s="21"/>
      <c r="F26" s="22"/>
      <c r="G26" s="23"/>
      <c r="H26" s="178"/>
      <c r="I26" s="27"/>
      <c r="J26" s="27"/>
      <c r="K26" s="27"/>
      <c r="L26" s="15"/>
      <c r="M26" s="15"/>
      <c r="N26" s="173"/>
      <c r="O26" s="178"/>
      <c r="P26" s="27"/>
      <c r="Q26" s="27"/>
      <c r="R26" s="128"/>
      <c r="S26" s="15"/>
      <c r="T26" s="15"/>
      <c r="U26" s="173"/>
      <c r="V26" s="176"/>
      <c r="W26" s="24"/>
      <c r="X26" s="24"/>
      <c r="Y26" s="27"/>
      <c r="Z26" s="15"/>
      <c r="AA26" s="15"/>
      <c r="AB26" s="173"/>
      <c r="AC26" s="176"/>
      <c r="AD26" s="24"/>
      <c r="AE26" s="24"/>
      <c r="AF26" s="27"/>
      <c r="AG26" s="15"/>
      <c r="AH26" s="15"/>
      <c r="AI26" s="173"/>
      <c r="AJ26" s="176"/>
      <c r="AK26" s="24"/>
      <c r="AL26" s="24"/>
      <c r="AM26" s="27"/>
      <c r="AN26" s="15"/>
      <c r="AO26" s="15"/>
      <c r="AP26" s="173"/>
      <c r="AQ26" s="176"/>
      <c r="AR26" s="24"/>
      <c r="AS26" s="24"/>
      <c r="AT26" s="27"/>
      <c r="AU26" s="15"/>
      <c r="AV26" s="15"/>
      <c r="AW26" s="178"/>
      <c r="AX26" s="122"/>
    </row>
    <row r="27" spans="1:50" ht="18" customHeight="1" x14ac:dyDescent="0.3">
      <c r="A27" s="5">
        <v>22</v>
      </c>
      <c r="B27" s="17"/>
      <c r="C27" s="60"/>
      <c r="D27" s="31"/>
      <c r="E27" s="32"/>
      <c r="F27" s="22"/>
      <c r="G27" s="23"/>
      <c r="H27" s="178"/>
      <c r="I27" s="27"/>
      <c r="J27" s="27"/>
      <c r="K27" s="27"/>
      <c r="L27" s="15"/>
      <c r="M27" s="15"/>
      <c r="N27" s="173"/>
      <c r="O27" s="178"/>
      <c r="P27" s="27"/>
      <c r="Q27" s="27"/>
      <c r="R27" s="128"/>
      <c r="S27" s="15"/>
      <c r="T27" s="15"/>
      <c r="U27" s="173"/>
      <c r="V27" s="176"/>
      <c r="W27" s="24"/>
      <c r="X27" s="24"/>
      <c r="Y27" s="27"/>
      <c r="Z27" s="15"/>
      <c r="AA27" s="15"/>
      <c r="AB27" s="173"/>
      <c r="AC27" s="176"/>
      <c r="AD27" s="24"/>
      <c r="AE27" s="24"/>
      <c r="AF27" s="27"/>
      <c r="AG27" s="15"/>
      <c r="AH27" s="15"/>
      <c r="AI27" s="173"/>
      <c r="AJ27" s="176"/>
      <c r="AK27" s="24"/>
      <c r="AL27" s="24"/>
      <c r="AM27" s="27"/>
      <c r="AN27" s="15"/>
      <c r="AO27" s="15"/>
      <c r="AP27" s="173"/>
      <c r="AQ27" s="176"/>
      <c r="AR27" s="24"/>
      <c r="AS27" s="24"/>
      <c r="AT27" s="27"/>
      <c r="AU27" s="15"/>
      <c r="AV27" s="15"/>
      <c r="AW27" s="178"/>
      <c r="AX27" s="122"/>
    </row>
    <row r="28" spans="1:50" ht="18" customHeight="1" x14ac:dyDescent="0.3">
      <c r="A28" s="6">
        <v>23</v>
      </c>
      <c r="B28" s="17"/>
      <c r="C28" s="60"/>
      <c r="D28" s="31"/>
      <c r="E28" s="32"/>
      <c r="F28" s="22"/>
      <c r="G28" s="23"/>
      <c r="H28" s="178"/>
      <c r="I28" s="27"/>
      <c r="J28" s="27"/>
      <c r="K28" s="27"/>
      <c r="L28" s="15"/>
      <c r="M28" s="15"/>
      <c r="N28" s="173"/>
      <c r="O28" s="178"/>
      <c r="P28" s="27"/>
      <c r="Q28" s="27"/>
      <c r="R28" s="128"/>
      <c r="S28" s="15"/>
      <c r="T28" s="15"/>
      <c r="U28" s="173"/>
      <c r="V28" s="176"/>
      <c r="W28" s="24"/>
      <c r="X28" s="24"/>
      <c r="Y28" s="27"/>
      <c r="Z28" s="15"/>
      <c r="AA28" s="15"/>
      <c r="AB28" s="173"/>
      <c r="AC28" s="176"/>
      <c r="AD28" s="24"/>
      <c r="AE28" s="24"/>
      <c r="AF28" s="27"/>
      <c r="AG28" s="15"/>
      <c r="AH28" s="15"/>
      <c r="AI28" s="173"/>
      <c r="AJ28" s="176"/>
      <c r="AK28" s="24"/>
      <c r="AL28" s="24"/>
      <c r="AM28" s="27"/>
      <c r="AN28" s="15"/>
      <c r="AO28" s="15"/>
      <c r="AP28" s="173"/>
      <c r="AQ28" s="176"/>
      <c r="AR28" s="24"/>
      <c r="AS28" s="24"/>
      <c r="AT28" s="27"/>
      <c r="AU28" s="15"/>
      <c r="AV28" s="15"/>
      <c r="AW28" s="178"/>
      <c r="AX28" s="122"/>
    </row>
    <row r="29" spans="1:50" ht="18" customHeight="1" x14ac:dyDescent="0.3">
      <c r="A29" s="5">
        <v>24</v>
      </c>
      <c r="B29" s="17"/>
      <c r="C29" s="60"/>
      <c r="D29" s="31"/>
      <c r="E29" s="32"/>
      <c r="F29" s="22"/>
      <c r="G29" s="23"/>
      <c r="H29" s="178"/>
      <c r="I29" s="27"/>
      <c r="J29" s="27"/>
      <c r="K29" s="27"/>
      <c r="L29" s="15"/>
      <c r="M29" s="15"/>
      <c r="N29" s="173"/>
      <c r="O29" s="178"/>
      <c r="P29" s="27"/>
      <c r="Q29" s="27"/>
      <c r="R29" s="128"/>
      <c r="S29" s="15"/>
      <c r="T29" s="15"/>
      <c r="U29" s="173"/>
      <c r="V29" s="176"/>
      <c r="W29" s="24"/>
      <c r="X29" s="24"/>
      <c r="Y29" s="27"/>
      <c r="Z29" s="15"/>
      <c r="AA29" s="15"/>
      <c r="AB29" s="173"/>
      <c r="AC29" s="176"/>
      <c r="AD29" s="24"/>
      <c r="AE29" s="24"/>
      <c r="AF29" s="27"/>
      <c r="AG29" s="15"/>
      <c r="AH29" s="15"/>
      <c r="AI29" s="173"/>
      <c r="AJ29" s="176"/>
      <c r="AK29" s="24"/>
      <c r="AL29" s="24"/>
      <c r="AM29" s="27"/>
      <c r="AN29" s="15"/>
      <c r="AO29" s="15"/>
      <c r="AP29" s="173"/>
      <c r="AQ29" s="176"/>
      <c r="AR29" s="24"/>
      <c r="AS29" s="24"/>
      <c r="AT29" s="27"/>
      <c r="AU29" s="15"/>
      <c r="AV29" s="15"/>
      <c r="AW29" s="178"/>
      <c r="AX29" s="122"/>
    </row>
    <row r="30" spans="1:50" ht="18" customHeight="1" x14ac:dyDescent="0.3">
      <c r="A30" s="5">
        <v>25</v>
      </c>
      <c r="B30" s="17"/>
      <c r="C30" s="60"/>
      <c r="D30" s="31"/>
      <c r="E30" s="32"/>
      <c r="F30" s="22"/>
      <c r="G30" s="23"/>
      <c r="H30" s="178"/>
      <c r="I30" s="27"/>
      <c r="J30" s="27"/>
      <c r="K30" s="27"/>
      <c r="L30" s="15"/>
      <c r="M30" s="15"/>
      <c r="N30" s="173"/>
      <c r="O30" s="178"/>
      <c r="P30" s="27"/>
      <c r="Q30" s="27"/>
      <c r="R30" s="128"/>
      <c r="S30" s="15"/>
      <c r="T30" s="15"/>
      <c r="U30" s="173"/>
      <c r="V30" s="176"/>
      <c r="W30" s="24"/>
      <c r="X30" s="24"/>
      <c r="Y30" s="27"/>
      <c r="Z30" s="15"/>
      <c r="AA30" s="15"/>
      <c r="AB30" s="173"/>
      <c r="AC30" s="176"/>
      <c r="AD30" s="24"/>
      <c r="AE30" s="24"/>
      <c r="AF30" s="27"/>
      <c r="AG30" s="15"/>
      <c r="AH30" s="15"/>
      <c r="AI30" s="173"/>
      <c r="AJ30" s="176"/>
      <c r="AK30" s="24"/>
      <c r="AL30" s="24"/>
      <c r="AM30" s="27"/>
      <c r="AN30" s="15"/>
      <c r="AO30" s="15"/>
      <c r="AP30" s="173"/>
      <c r="AQ30" s="176"/>
      <c r="AR30" s="24"/>
      <c r="AS30" s="24"/>
      <c r="AT30" s="27"/>
      <c r="AU30" s="15"/>
      <c r="AV30" s="15"/>
      <c r="AW30" s="178"/>
      <c r="AX30" s="122"/>
    </row>
    <row r="31" spans="1:50" ht="18" customHeight="1" x14ac:dyDescent="0.3">
      <c r="A31" s="5">
        <v>26</v>
      </c>
      <c r="B31" s="17"/>
      <c r="C31" s="60"/>
      <c r="D31" s="31"/>
      <c r="E31" s="32"/>
      <c r="F31" s="22"/>
      <c r="G31" s="23"/>
      <c r="H31" s="178"/>
      <c r="I31" s="27"/>
      <c r="J31" s="27"/>
      <c r="K31" s="27"/>
      <c r="L31" s="15"/>
      <c r="M31" s="15"/>
      <c r="N31" s="173"/>
      <c r="O31" s="178"/>
      <c r="P31" s="27"/>
      <c r="Q31" s="27"/>
      <c r="R31" s="128"/>
      <c r="S31" s="15"/>
      <c r="T31" s="15"/>
      <c r="U31" s="173"/>
      <c r="V31" s="176"/>
      <c r="W31" s="24"/>
      <c r="X31" s="24"/>
      <c r="Y31" s="27"/>
      <c r="Z31" s="15"/>
      <c r="AA31" s="15"/>
      <c r="AB31" s="173"/>
      <c r="AC31" s="176"/>
      <c r="AD31" s="24"/>
      <c r="AE31" s="24"/>
      <c r="AF31" s="27"/>
      <c r="AG31" s="15"/>
      <c r="AH31" s="15"/>
      <c r="AI31" s="173"/>
      <c r="AJ31" s="176"/>
      <c r="AK31" s="24"/>
      <c r="AL31" s="24"/>
      <c r="AM31" s="27"/>
      <c r="AN31" s="15"/>
      <c r="AO31" s="15"/>
      <c r="AP31" s="173"/>
      <c r="AQ31" s="176"/>
      <c r="AR31" s="24"/>
      <c r="AS31" s="24"/>
      <c r="AT31" s="27"/>
      <c r="AU31" s="15"/>
      <c r="AV31" s="15"/>
      <c r="AW31" s="178"/>
      <c r="AX31" s="122"/>
    </row>
    <row r="32" spans="1:50" ht="18" customHeight="1" x14ac:dyDescent="0.3">
      <c r="A32" s="5">
        <v>27</v>
      </c>
      <c r="B32" s="17"/>
      <c r="C32" s="60"/>
      <c r="D32" s="31"/>
      <c r="E32" s="32"/>
      <c r="F32" s="22"/>
      <c r="G32" s="23"/>
      <c r="H32" s="178"/>
      <c r="I32" s="27"/>
      <c r="J32" s="27"/>
      <c r="K32" s="27"/>
      <c r="L32" s="15"/>
      <c r="M32" s="15"/>
      <c r="N32" s="173"/>
      <c r="O32" s="178"/>
      <c r="P32" s="27"/>
      <c r="Q32" s="27"/>
      <c r="R32" s="128"/>
      <c r="S32" s="15"/>
      <c r="T32" s="15"/>
      <c r="U32" s="173"/>
      <c r="V32" s="176"/>
      <c r="W32" s="24"/>
      <c r="X32" s="24"/>
      <c r="Y32" s="27"/>
      <c r="Z32" s="15"/>
      <c r="AA32" s="15"/>
      <c r="AB32" s="173"/>
      <c r="AC32" s="176"/>
      <c r="AD32" s="24"/>
      <c r="AE32" s="24"/>
      <c r="AF32" s="27"/>
      <c r="AG32" s="15"/>
      <c r="AH32" s="15"/>
      <c r="AI32" s="173"/>
      <c r="AJ32" s="176"/>
      <c r="AK32" s="24"/>
      <c r="AL32" s="24"/>
      <c r="AM32" s="27"/>
      <c r="AN32" s="15"/>
      <c r="AO32" s="15"/>
      <c r="AP32" s="173"/>
      <c r="AQ32" s="176"/>
      <c r="AR32" s="24"/>
      <c r="AS32" s="24"/>
      <c r="AT32" s="27"/>
      <c r="AU32" s="15"/>
      <c r="AV32" s="15"/>
      <c r="AW32" s="178"/>
      <c r="AX32" s="122"/>
    </row>
    <row r="33" spans="1:50" ht="18" customHeight="1" x14ac:dyDescent="0.3">
      <c r="A33" s="6">
        <v>28</v>
      </c>
      <c r="B33" s="17"/>
      <c r="C33" s="60"/>
      <c r="D33" s="31"/>
      <c r="E33" s="32"/>
      <c r="F33" s="22"/>
      <c r="G33" s="23"/>
      <c r="H33" s="178"/>
      <c r="I33" s="27"/>
      <c r="J33" s="27"/>
      <c r="K33" s="27"/>
      <c r="L33" s="15"/>
      <c r="M33" s="15"/>
      <c r="N33" s="173"/>
      <c r="O33" s="178"/>
      <c r="P33" s="27"/>
      <c r="Q33" s="27"/>
      <c r="R33" s="128"/>
      <c r="S33" s="15"/>
      <c r="T33" s="15"/>
      <c r="U33" s="173"/>
      <c r="V33" s="176"/>
      <c r="W33" s="24"/>
      <c r="X33" s="24"/>
      <c r="Y33" s="27"/>
      <c r="Z33" s="15"/>
      <c r="AA33" s="15"/>
      <c r="AB33" s="173"/>
      <c r="AC33" s="176"/>
      <c r="AD33" s="24"/>
      <c r="AE33" s="24"/>
      <c r="AF33" s="27"/>
      <c r="AG33" s="15"/>
      <c r="AH33" s="15"/>
      <c r="AI33" s="173"/>
      <c r="AJ33" s="176"/>
      <c r="AK33" s="24"/>
      <c r="AL33" s="24"/>
      <c r="AM33" s="27"/>
      <c r="AN33" s="15"/>
      <c r="AO33" s="15"/>
      <c r="AP33" s="173"/>
      <c r="AQ33" s="176"/>
      <c r="AR33" s="24"/>
      <c r="AS33" s="24"/>
      <c r="AT33" s="27"/>
      <c r="AU33" s="15"/>
      <c r="AV33" s="15"/>
      <c r="AW33" s="178"/>
      <c r="AX33" s="122"/>
    </row>
    <row r="34" spans="1:50" ht="18" customHeight="1" x14ac:dyDescent="0.3">
      <c r="A34" s="5">
        <v>29</v>
      </c>
      <c r="B34" s="17"/>
      <c r="C34" s="60"/>
      <c r="D34" s="31"/>
      <c r="E34" s="33"/>
      <c r="F34" s="22"/>
      <c r="G34" s="23"/>
      <c r="H34" s="178"/>
      <c r="I34" s="27"/>
      <c r="J34" s="27"/>
      <c r="K34" s="27"/>
      <c r="L34" s="15"/>
      <c r="M34" s="15"/>
      <c r="N34" s="173"/>
      <c r="O34" s="178"/>
      <c r="P34" s="27"/>
      <c r="Q34" s="27"/>
      <c r="R34" s="128"/>
      <c r="S34" s="15"/>
      <c r="T34" s="15"/>
      <c r="U34" s="173"/>
      <c r="V34" s="176"/>
      <c r="W34" s="24"/>
      <c r="X34" s="24"/>
      <c r="Y34" s="27"/>
      <c r="Z34" s="15"/>
      <c r="AA34" s="15"/>
      <c r="AB34" s="173"/>
      <c r="AC34" s="176"/>
      <c r="AD34" s="24"/>
      <c r="AE34" s="24"/>
      <c r="AF34" s="27"/>
      <c r="AG34" s="15"/>
      <c r="AH34" s="15"/>
      <c r="AI34" s="173"/>
      <c r="AJ34" s="176"/>
      <c r="AK34" s="24"/>
      <c r="AL34" s="24"/>
      <c r="AM34" s="27"/>
      <c r="AN34" s="15"/>
      <c r="AO34" s="15"/>
      <c r="AP34" s="173"/>
      <c r="AQ34" s="176"/>
      <c r="AR34" s="24"/>
      <c r="AS34" s="24"/>
      <c r="AT34" s="27"/>
      <c r="AU34" s="15"/>
      <c r="AV34" s="15"/>
      <c r="AW34" s="178"/>
      <c r="AX34" s="122"/>
    </row>
    <row r="35" spans="1:50" ht="18" customHeight="1" x14ac:dyDescent="0.3">
      <c r="A35" s="5">
        <v>30</v>
      </c>
      <c r="B35" s="17"/>
      <c r="C35" s="60"/>
      <c r="D35" s="31"/>
      <c r="E35" s="33"/>
      <c r="F35" s="22"/>
      <c r="G35" s="23"/>
      <c r="H35" s="178"/>
      <c r="I35" s="27"/>
      <c r="J35" s="27"/>
      <c r="K35" s="27"/>
      <c r="L35" s="15"/>
      <c r="M35" s="15"/>
      <c r="N35" s="173"/>
      <c r="O35" s="178"/>
      <c r="P35" s="27"/>
      <c r="Q35" s="27"/>
      <c r="R35" s="128"/>
      <c r="S35" s="15"/>
      <c r="T35" s="15"/>
      <c r="U35" s="173"/>
      <c r="V35" s="176"/>
      <c r="W35" s="24"/>
      <c r="X35" s="24"/>
      <c r="Y35" s="27"/>
      <c r="Z35" s="15"/>
      <c r="AA35" s="15"/>
      <c r="AB35" s="173"/>
      <c r="AC35" s="176"/>
      <c r="AD35" s="24"/>
      <c r="AE35" s="24"/>
      <c r="AF35" s="27"/>
      <c r="AG35" s="15"/>
      <c r="AH35" s="15"/>
      <c r="AI35" s="173"/>
      <c r="AJ35" s="176"/>
      <c r="AK35" s="24"/>
      <c r="AL35" s="24"/>
      <c r="AM35" s="27"/>
      <c r="AN35" s="15"/>
      <c r="AO35" s="15"/>
      <c r="AP35" s="173"/>
      <c r="AQ35" s="176"/>
      <c r="AR35" s="24"/>
      <c r="AS35" s="24"/>
      <c r="AT35" s="27"/>
      <c r="AU35" s="15"/>
      <c r="AV35" s="15"/>
      <c r="AW35" s="178"/>
      <c r="AX35" s="122"/>
    </row>
    <row r="36" spans="1:50" ht="18" customHeight="1" x14ac:dyDescent="0.3">
      <c r="A36" s="5">
        <v>31</v>
      </c>
      <c r="B36" s="17"/>
      <c r="C36" s="60"/>
      <c r="D36" s="33"/>
      <c r="E36" s="33"/>
      <c r="F36" s="22"/>
      <c r="G36" s="23"/>
      <c r="H36" s="178"/>
      <c r="I36" s="27"/>
      <c r="J36" s="27"/>
      <c r="K36" s="27"/>
      <c r="L36" s="15"/>
      <c r="M36" s="15"/>
      <c r="N36" s="173"/>
      <c r="O36" s="178"/>
      <c r="P36" s="27"/>
      <c r="Q36" s="27"/>
      <c r="R36" s="128"/>
      <c r="S36" s="15"/>
      <c r="T36" s="15"/>
      <c r="U36" s="173"/>
      <c r="V36" s="176"/>
      <c r="W36" s="24"/>
      <c r="X36" s="24"/>
      <c r="Y36" s="27"/>
      <c r="Z36" s="15"/>
      <c r="AA36" s="15"/>
      <c r="AB36" s="173"/>
      <c r="AC36" s="176"/>
      <c r="AD36" s="24"/>
      <c r="AE36" s="24"/>
      <c r="AF36" s="27"/>
      <c r="AG36" s="15"/>
      <c r="AH36" s="15"/>
      <c r="AI36" s="173"/>
      <c r="AJ36" s="176"/>
      <c r="AK36" s="24"/>
      <c r="AL36" s="24"/>
      <c r="AM36" s="27"/>
      <c r="AN36" s="15"/>
      <c r="AO36" s="15"/>
      <c r="AP36" s="173"/>
      <c r="AQ36" s="176"/>
      <c r="AR36" s="24"/>
      <c r="AS36" s="24"/>
      <c r="AT36" s="27"/>
      <c r="AU36" s="15"/>
      <c r="AV36" s="15"/>
      <c r="AW36" s="178"/>
      <c r="AX36" s="122"/>
    </row>
    <row r="37" spans="1:50" ht="18" customHeight="1" x14ac:dyDescent="0.3">
      <c r="A37" s="5">
        <v>32</v>
      </c>
      <c r="B37" s="17"/>
      <c r="C37" s="60"/>
      <c r="D37" s="33"/>
      <c r="E37" s="33"/>
      <c r="F37" s="22"/>
      <c r="G37" s="23"/>
      <c r="H37" s="178"/>
      <c r="I37" s="27"/>
      <c r="J37" s="27"/>
      <c r="K37" s="27"/>
      <c r="L37" s="15"/>
      <c r="M37" s="15"/>
      <c r="N37" s="173"/>
      <c r="O37" s="178"/>
      <c r="P37" s="27"/>
      <c r="Q37" s="27"/>
      <c r="R37" s="128"/>
      <c r="S37" s="15"/>
      <c r="T37" s="15"/>
      <c r="U37" s="173"/>
      <c r="V37" s="176"/>
      <c r="W37" s="24"/>
      <c r="X37" s="24"/>
      <c r="Y37" s="27"/>
      <c r="Z37" s="15"/>
      <c r="AA37" s="15"/>
      <c r="AB37" s="173"/>
      <c r="AC37" s="176"/>
      <c r="AD37" s="24"/>
      <c r="AE37" s="24"/>
      <c r="AF37" s="27"/>
      <c r="AG37" s="15"/>
      <c r="AH37" s="15"/>
      <c r="AI37" s="173"/>
      <c r="AJ37" s="176"/>
      <c r="AK37" s="24"/>
      <c r="AL37" s="24"/>
      <c r="AM37" s="27"/>
      <c r="AN37" s="15"/>
      <c r="AO37" s="15"/>
      <c r="AP37" s="173"/>
      <c r="AQ37" s="176"/>
      <c r="AR37" s="24"/>
      <c r="AS37" s="24"/>
      <c r="AT37" s="27"/>
      <c r="AU37" s="15"/>
      <c r="AV37" s="15"/>
      <c r="AW37" s="178"/>
      <c r="AX37" s="122"/>
    </row>
    <row r="38" spans="1:50" ht="18" customHeight="1" x14ac:dyDescent="0.3">
      <c r="A38" s="5">
        <v>33</v>
      </c>
      <c r="B38" s="17"/>
      <c r="C38" s="60"/>
      <c r="D38" s="33"/>
      <c r="E38" s="33"/>
      <c r="F38" s="22"/>
      <c r="G38" s="23"/>
      <c r="H38" s="178"/>
      <c r="I38" s="27"/>
      <c r="J38" s="27"/>
      <c r="K38" s="27"/>
      <c r="L38" s="15"/>
      <c r="M38" s="15"/>
      <c r="N38" s="173"/>
      <c r="O38" s="178"/>
      <c r="P38" s="27"/>
      <c r="Q38" s="27"/>
      <c r="R38" s="128"/>
      <c r="S38" s="15"/>
      <c r="T38" s="15"/>
      <c r="U38" s="173"/>
      <c r="V38" s="176"/>
      <c r="W38" s="24"/>
      <c r="X38" s="24"/>
      <c r="Y38" s="27"/>
      <c r="Z38" s="15"/>
      <c r="AA38" s="15"/>
      <c r="AB38" s="173"/>
      <c r="AC38" s="176"/>
      <c r="AD38" s="24"/>
      <c r="AE38" s="24"/>
      <c r="AF38" s="27"/>
      <c r="AG38" s="15"/>
      <c r="AH38" s="15"/>
      <c r="AI38" s="173"/>
      <c r="AJ38" s="176"/>
      <c r="AK38" s="24"/>
      <c r="AL38" s="24"/>
      <c r="AM38" s="27"/>
      <c r="AN38" s="15"/>
      <c r="AO38" s="15"/>
      <c r="AP38" s="173"/>
      <c r="AQ38" s="176"/>
      <c r="AR38" s="24"/>
      <c r="AS38" s="24"/>
      <c r="AT38" s="27"/>
      <c r="AU38" s="15"/>
      <c r="AV38" s="15"/>
      <c r="AW38" s="178"/>
      <c r="AX38" s="122"/>
    </row>
    <row r="39" spans="1:50" ht="18" customHeight="1" x14ac:dyDescent="0.3">
      <c r="A39" s="5">
        <v>34</v>
      </c>
      <c r="B39" s="17"/>
      <c r="C39" s="60"/>
      <c r="D39" s="33"/>
      <c r="E39" s="33"/>
      <c r="F39" s="22"/>
      <c r="G39" s="23"/>
      <c r="H39" s="178"/>
      <c r="I39" s="27"/>
      <c r="J39" s="27"/>
      <c r="K39" s="27"/>
      <c r="L39" s="15"/>
      <c r="M39" s="15"/>
      <c r="N39" s="173"/>
      <c r="O39" s="178"/>
      <c r="P39" s="27"/>
      <c r="Q39" s="27"/>
      <c r="R39" s="128"/>
      <c r="S39" s="15"/>
      <c r="T39" s="15"/>
      <c r="U39" s="173"/>
      <c r="V39" s="176"/>
      <c r="W39" s="24"/>
      <c r="X39" s="24"/>
      <c r="Y39" s="27"/>
      <c r="Z39" s="15"/>
      <c r="AA39" s="15"/>
      <c r="AB39" s="173"/>
      <c r="AC39" s="176"/>
      <c r="AD39" s="24"/>
      <c r="AE39" s="24"/>
      <c r="AF39" s="27"/>
      <c r="AG39" s="15"/>
      <c r="AH39" s="15"/>
      <c r="AI39" s="173"/>
      <c r="AJ39" s="176"/>
      <c r="AK39" s="24"/>
      <c r="AL39" s="24"/>
      <c r="AM39" s="27"/>
      <c r="AN39" s="15"/>
      <c r="AO39" s="15"/>
      <c r="AP39" s="173"/>
      <c r="AQ39" s="176"/>
      <c r="AR39" s="24"/>
      <c r="AS39" s="24"/>
      <c r="AT39" s="27"/>
      <c r="AU39" s="15"/>
      <c r="AV39" s="15"/>
      <c r="AW39" s="178"/>
      <c r="AX39" s="122"/>
    </row>
    <row r="40" spans="1:50" ht="18" customHeight="1" x14ac:dyDescent="0.3">
      <c r="A40" s="5">
        <v>35</v>
      </c>
      <c r="B40" s="17"/>
      <c r="C40" s="60"/>
      <c r="D40" s="33"/>
      <c r="E40" s="33"/>
      <c r="F40" s="22"/>
      <c r="G40" s="23"/>
      <c r="H40" s="178"/>
      <c r="I40" s="27"/>
      <c r="J40" s="27"/>
      <c r="K40" s="27"/>
      <c r="L40" s="15"/>
      <c r="M40" s="15"/>
      <c r="N40" s="173"/>
      <c r="O40" s="178"/>
      <c r="P40" s="27"/>
      <c r="Q40" s="27"/>
      <c r="R40" s="128"/>
      <c r="S40" s="15"/>
      <c r="T40" s="15"/>
      <c r="U40" s="173"/>
      <c r="V40" s="176"/>
      <c r="W40" s="24"/>
      <c r="X40" s="24"/>
      <c r="Y40" s="27"/>
      <c r="Z40" s="15"/>
      <c r="AA40" s="15"/>
      <c r="AB40" s="173"/>
      <c r="AC40" s="176"/>
      <c r="AD40" s="24"/>
      <c r="AE40" s="24"/>
      <c r="AF40" s="27"/>
      <c r="AG40" s="15"/>
      <c r="AH40" s="15"/>
      <c r="AI40" s="173"/>
      <c r="AJ40" s="176"/>
      <c r="AK40" s="24"/>
      <c r="AL40" s="24"/>
      <c r="AM40" s="27"/>
      <c r="AN40" s="15"/>
      <c r="AO40" s="15"/>
      <c r="AP40" s="173"/>
      <c r="AQ40" s="176"/>
      <c r="AR40" s="24"/>
      <c r="AS40" s="24"/>
      <c r="AT40" s="27"/>
      <c r="AU40" s="15"/>
      <c r="AV40" s="15"/>
      <c r="AW40" s="178"/>
      <c r="AX40" s="122"/>
    </row>
  </sheetData>
  <mergeCells count="19">
    <mergeCell ref="AC3:AI3"/>
    <mergeCell ref="AJ3:AP3"/>
    <mergeCell ref="AQ3:AW3"/>
    <mergeCell ref="AC2:AI2"/>
    <mergeCell ref="AJ2:AP2"/>
    <mergeCell ref="AQ2:AW2"/>
    <mergeCell ref="V2:AB2"/>
    <mergeCell ref="H3:N3"/>
    <mergeCell ref="O3:U3"/>
    <mergeCell ref="V3:AB3"/>
    <mergeCell ref="H2:N2"/>
    <mergeCell ref="O2:U2"/>
    <mergeCell ref="A2:A5"/>
    <mergeCell ref="B2:B5"/>
    <mergeCell ref="C2:D5"/>
    <mergeCell ref="E2:G2"/>
    <mergeCell ref="E5:G5"/>
    <mergeCell ref="E4:G4"/>
    <mergeCell ref="E3:G3"/>
  </mergeCells>
  <pageMargins left="0.96875" right="0" top="0.35433070866141736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C40"/>
  <sheetViews>
    <sheetView view="pageBreakPreview" topLeftCell="A7" zoomScale="120" zoomScaleNormal="150" zoomScaleSheetLayoutView="120" workbookViewId="0">
      <selection activeCell="C17" sqref="C17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56" max="16384" width="9.125" style="1"/>
  </cols>
  <sheetData>
    <row r="1" spans="1:55" ht="18" customHeight="1" thickBot="1" x14ac:dyDescent="0.4">
      <c r="A1" s="53"/>
      <c r="S1" s="455"/>
      <c r="T1" s="455"/>
      <c r="AA1" s="7"/>
      <c r="BB1" s="448">
        <v>5</v>
      </c>
      <c r="BC1" s="448"/>
    </row>
    <row r="2" spans="1:55" ht="18" customHeight="1" thickBot="1" x14ac:dyDescent="0.35">
      <c r="A2" s="431" t="s">
        <v>27</v>
      </c>
      <c r="B2" s="434" t="s">
        <v>28</v>
      </c>
      <c r="C2" s="436" t="s">
        <v>29</v>
      </c>
      <c r="D2" s="439" t="s">
        <v>30</v>
      </c>
      <c r="E2" s="440"/>
      <c r="F2" s="441"/>
      <c r="G2" s="452" t="s">
        <v>217</v>
      </c>
      <c r="H2" s="453"/>
      <c r="I2" s="453"/>
      <c r="J2" s="453"/>
      <c r="K2" s="453"/>
      <c r="L2" s="453"/>
      <c r="M2" s="454"/>
      <c r="N2" s="452" t="s">
        <v>217</v>
      </c>
      <c r="O2" s="453"/>
      <c r="P2" s="453"/>
      <c r="Q2" s="453"/>
      <c r="R2" s="453"/>
      <c r="S2" s="453"/>
      <c r="T2" s="454"/>
      <c r="U2" s="452" t="s">
        <v>217</v>
      </c>
      <c r="V2" s="453"/>
      <c r="W2" s="453"/>
      <c r="X2" s="453"/>
      <c r="Y2" s="453"/>
      <c r="Z2" s="453"/>
      <c r="AA2" s="454"/>
      <c r="AB2" s="456" t="s">
        <v>217</v>
      </c>
      <c r="AC2" s="457"/>
      <c r="AD2" s="457"/>
      <c r="AE2" s="457"/>
      <c r="AF2" s="457"/>
      <c r="AG2" s="457"/>
      <c r="AH2" s="458"/>
      <c r="AI2" s="456" t="s">
        <v>218</v>
      </c>
      <c r="AJ2" s="457"/>
      <c r="AK2" s="457"/>
      <c r="AL2" s="457"/>
      <c r="AM2" s="457"/>
      <c r="AN2" s="457"/>
      <c r="AO2" s="458"/>
      <c r="AP2" s="456" t="s">
        <v>219</v>
      </c>
      <c r="AQ2" s="457"/>
      <c r="AR2" s="457"/>
      <c r="AS2" s="457"/>
      <c r="AT2" s="457"/>
      <c r="AU2" s="457"/>
      <c r="AV2" s="458"/>
      <c r="AW2" s="456" t="s">
        <v>219</v>
      </c>
      <c r="AX2" s="457"/>
      <c r="AY2" s="457"/>
      <c r="AZ2" s="457"/>
      <c r="BA2" s="457"/>
      <c r="BB2" s="457"/>
      <c r="BC2" s="458"/>
    </row>
    <row r="3" spans="1:55" ht="18" customHeight="1" thickBot="1" x14ac:dyDescent="0.35">
      <c r="A3" s="432"/>
      <c r="B3" s="435"/>
      <c r="C3" s="437"/>
      <c r="D3" s="442" t="s">
        <v>31</v>
      </c>
      <c r="E3" s="443"/>
      <c r="F3" s="444"/>
      <c r="G3" s="449">
        <v>1</v>
      </c>
      <c r="H3" s="450"/>
      <c r="I3" s="450"/>
      <c r="J3" s="450"/>
      <c r="K3" s="450"/>
      <c r="L3" s="450"/>
      <c r="M3" s="451"/>
      <c r="N3" s="449">
        <v>2</v>
      </c>
      <c r="O3" s="450"/>
      <c r="P3" s="450"/>
      <c r="Q3" s="450"/>
      <c r="R3" s="450"/>
      <c r="S3" s="450"/>
      <c r="T3" s="451"/>
      <c r="U3" s="449">
        <v>3</v>
      </c>
      <c r="V3" s="450"/>
      <c r="W3" s="450"/>
      <c r="X3" s="450"/>
      <c r="Y3" s="450"/>
      <c r="Z3" s="450"/>
      <c r="AA3" s="451"/>
      <c r="AB3" s="460">
        <v>4</v>
      </c>
      <c r="AC3" s="460"/>
      <c r="AD3" s="461"/>
      <c r="AE3" s="461"/>
      <c r="AF3" s="461"/>
      <c r="AG3" s="462"/>
      <c r="AH3" s="463"/>
      <c r="AI3" s="464">
        <v>5</v>
      </c>
      <c r="AJ3" s="461"/>
      <c r="AK3" s="461"/>
      <c r="AL3" s="461"/>
      <c r="AM3" s="461"/>
      <c r="AN3" s="461"/>
      <c r="AO3" s="462"/>
      <c r="AP3" s="464">
        <v>6</v>
      </c>
      <c r="AQ3" s="460"/>
      <c r="AR3" s="460"/>
      <c r="AS3" s="461"/>
      <c r="AT3" s="461"/>
      <c r="AU3" s="461"/>
      <c r="AV3" s="463"/>
      <c r="AW3" s="464">
        <v>7</v>
      </c>
      <c r="AX3" s="460"/>
      <c r="AY3" s="460"/>
      <c r="AZ3" s="461"/>
      <c r="BA3" s="461"/>
      <c r="BB3" s="461"/>
      <c r="BC3" s="463"/>
    </row>
    <row r="4" spans="1:55" ht="18" customHeight="1" x14ac:dyDescent="0.3">
      <c r="A4" s="432"/>
      <c r="B4" s="435"/>
      <c r="C4" s="437"/>
      <c r="D4" s="442" t="s">
        <v>32</v>
      </c>
      <c r="E4" s="443"/>
      <c r="F4" s="444"/>
      <c r="G4" s="157">
        <v>1</v>
      </c>
      <c r="H4" s="155">
        <v>2</v>
      </c>
      <c r="I4" s="155">
        <v>3</v>
      </c>
      <c r="J4" s="10">
        <v>4</v>
      </c>
      <c r="K4" s="10">
        <v>5</v>
      </c>
      <c r="L4" s="10">
        <v>6</v>
      </c>
      <c r="M4" s="162">
        <v>7</v>
      </c>
      <c r="N4" s="157">
        <v>8</v>
      </c>
      <c r="O4" s="155">
        <v>9</v>
      </c>
      <c r="P4" s="155">
        <v>10</v>
      </c>
      <c r="Q4" s="10">
        <v>11</v>
      </c>
      <c r="R4" s="10">
        <v>12</v>
      </c>
      <c r="S4" s="10">
        <v>13</v>
      </c>
      <c r="T4" s="162">
        <v>14</v>
      </c>
      <c r="U4" s="157">
        <v>15</v>
      </c>
      <c r="V4" s="155">
        <v>16</v>
      </c>
      <c r="W4" s="155">
        <v>17</v>
      </c>
      <c r="X4" s="10">
        <v>18</v>
      </c>
      <c r="Y4" s="10">
        <v>19</v>
      </c>
      <c r="Z4" s="10">
        <v>20</v>
      </c>
      <c r="AA4" s="162">
        <v>21</v>
      </c>
      <c r="AB4" s="157">
        <v>22</v>
      </c>
      <c r="AC4" s="156">
        <v>23</v>
      </c>
      <c r="AD4" s="123">
        <v>24</v>
      </c>
      <c r="AE4" s="123">
        <v>25</v>
      </c>
      <c r="AF4" s="123">
        <v>26</v>
      </c>
      <c r="AG4" s="123">
        <v>27</v>
      </c>
      <c r="AH4" s="162">
        <v>28</v>
      </c>
      <c r="AI4" s="157">
        <v>29</v>
      </c>
      <c r="AJ4" s="123">
        <v>30</v>
      </c>
      <c r="AK4" s="123">
        <v>1</v>
      </c>
      <c r="AL4" s="123">
        <v>2</v>
      </c>
      <c r="AM4" s="123">
        <v>3</v>
      </c>
      <c r="AN4" s="123">
        <v>4</v>
      </c>
      <c r="AO4" s="162">
        <v>5</v>
      </c>
      <c r="AP4" s="157">
        <v>6</v>
      </c>
      <c r="AQ4" s="156">
        <v>7</v>
      </c>
      <c r="AR4" s="156">
        <v>8</v>
      </c>
      <c r="AS4" s="123">
        <v>9</v>
      </c>
      <c r="AT4" s="123">
        <v>10</v>
      </c>
      <c r="AU4" s="123">
        <v>11</v>
      </c>
      <c r="AV4" s="162">
        <v>12</v>
      </c>
      <c r="AW4" s="157">
        <v>13</v>
      </c>
      <c r="AX4" s="156">
        <v>14</v>
      </c>
      <c r="AY4" s="156">
        <v>15</v>
      </c>
      <c r="AZ4" s="123">
        <v>16</v>
      </c>
      <c r="BA4" s="123">
        <v>17</v>
      </c>
      <c r="BB4" s="123">
        <v>18</v>
      </c>
      <c r="BC4" s="228">
        <v>19</v>
      </c>
    </row>
    <row r="5" spans="1:55" ht="18" customHeight="1" thickBot="1" x14ac:dyDescent="0.35">
      <c r="A5" s="433"/>
      <c r="B5" s="459"/>
      <c r="C5" s="438"/>
      <c r="D5" s="445" t="s">
        <v>33</v>
      </c>
      <c r="E5" s="446"/>
      <c r="F5" s="447"/>
      <c r="G5" s="249"/>
      <c r="H5" s="250"/>
      <c r="I5" s="250"/>
      <c r="J5" s="251"/>
      <c r="K5" s="251"/>
      <c r="L5" s="251"/>
      <c r="M5" s="252"/>
      <c r="N5" s="249"/>
      <c r="O5" s="250"/>
      <c r="P5" s="250"/>
      <c r="Q5" s="251"/>
      <c r="R5" s="251"/>
      <c r="S5" s="251"/>
      <c r="T5" s="252"/>
      <c r="U5" s="249"/>
      <c r="V5" s="250"/>
      <c r="W5" s="250"/>
      <c r="X5" s="251"/>
      <c r="Y5" s="251"/>
      <c r="Z5" s="251"/>
      <c r="AA5" s="252"/>
      <c r="AB5" s="246"/>
      <c r="AC5" s="256"/>
      <c r="AD5" s="257"/>
      <c r="AE5" s="258"/>
      <c r="AF5" s="258"/>
      <c r="AG5" s="258"/>
      <c r="AH5" s="248"/>
      <c r="AI5" s="246"/>
      <c r="AJ5" s="257"/>
      <c r="AK5" s="258"/>
      <c r="AL5" s="258"/>
      <c r="AM5" s="258"/>
      <c r="AN5" s="258"/>
      <c r="AO5" s="248"/>
      <c r="AP5" s="246"/>
      <c r="AQ5" s="256"/>
      <c r="AR5" s="256"/>
      <c r="AS5" s="257"/>
      <c r="AT5" s="258"/>
      <c r="AU5" s="258"/>
      <c r="AV5" s="248"/>
      <c r="AW5" s="246"/>
      <c r="AX5" s="256"/>
      <c r="AY5" s="256"/>
      <c r="AZ5" s="257"/>
      <c r="BA5" s="258"/>
      <c r="BB5" s="258"/>
      <c r="BC5" s="259"/>
    </row>
    <row r="6" spans="1:55" ht="18" customHeight="1" x14ac:dyDescent="0.3">
      <c r="A6" s="3">
        <v>1</v>
      </c>
      <c r="B6" s="150">
        <f>'เวลาเรียน (2)'!B6</f>
        <v>4997</v>
      </c>
      <c r="C6" s="149" t="str">
        <f>'เวลาเรียน (2)'!C6</f>
        <v>เด็กชายธนาธร    กิติกาแดง</v>
      </c>
      <c r="D6" s="55"/>
      <c r="E6" s="55"/>
      <c r="F6" s="56"/>
      <c r="G6" s="158"/>
      <c r="H6" s="351"/>
      <c r="I6" s="351"/>
      <c r="J6" s="351"/>
      <c r="K6" s="351"/>
      <c r="L6" s="127"/>
      <c r="M6" s="163"/>
      <c r="N6" s="158"/>
      <c r="O6" s="351"/>
      <c r="P6" s="351"/>
      <c r="Q6" s="351"/>
      <c r="R6" s="351"/>
      <c r="S6" s="127"/>
      <c r="T6" s="163"/>
      <c r="U6" s="158"/>
      <c r="V6" s="351"/>
      <c r="W6" s="351"/>
      <c r="X6" s="351"/>
      <c r="Y6" s="351"/>
      <c r="Z6" s="127"/>
      <c r="AA6" s="163"/>
      <c r="AB6" s="175"/>
      <c r="AC6" s="351"/>
      <c r="AD6" s="351"/>
      <c r="AE6" s="351"/>
      <c r="AF6" s="351"/>
      <c r="AG6" s="127"/>
      <c r="AH6" s="173"/>
      <c r="AI6" s="175"/>
      <c r="AJ6" s="351"/>
      <c r="AK6" s="351"/>
      <c r="AL6" s="351"/>
      <c r="AM6" s="351"/>
      <c r="AN6" s="127"/>
      <c r="AO6" s="173"/>
      <c r="AP6" s="175"/>
      <c r="AQ6" s="351"/>
      <c r="AR6" s="351"/>
      <c r="AS6" s="351"/>
      <c r="AT6" s="351"/>
      <c r="AU6" s="127"/>
      <c r="AV6" s="173"/>
      <c r="AW6" s="229"/>
      <c r="AX6" s="351"/>
      <c r="AY6" s="351"/>
      <c r="AZ6" s="351"/>
      <c r="BA6" s="351"/>
      <c r="BB6" s="127"/>
      <c r="BC6" s="173"/>
    </row>
    <row r="7" spans="1:55" ht="18" customHeight="1" x14ac:dyDescent="0.3">
      <c r="A7" s="5">
        <v>2</v>
      </c>
      <c r="B7" s="151">
        <f>'เวลาเรียน (2)'!B7</f>
        <v>4998</v>
      </c>
      <c r="C7" s="149" t="str">
        <f>'เวลาเรียน (2)'!C7</f>
        <v>เด็กชายนิรวุฒิ  วันทอง</v>
      </c>
      <c r="D7" s="57"/>
      <c r="E7" s="57"/>
      <c r="F7" s="58"/>
      <c r="G7" s="159"/>
      <c r="H7" s="357"/>
      <c r="I7" s="357"/>
      <c r="J7" s="357"/>
      <c r="K7" s="357"/>
      <c r="L7" s="27"/>
      <c r="M7" s="165"/>
      <c r="N7" s="159"/>
      <c r="O7" s="357"/>
      <c r="P7" s="357"/>
      <c r="Q7" s="357"/>
      <c r="R7" s="357"/>
      <c r="S7" s="27"/>
      <c r="T7" s="165"/>
      <c r="U7" s="159"/>
      <c r="V7" s="357"/>
      <c r="W7" s="357"/>
      <c r="X7" s="357"/>
      <c r="Y7" s="357"/>
      <c r="Z7" s="27"/>
      <c r="AA7" s="165"/>
      <c r="AB7" s="176"/>
      <c r="AC7" s="357"/>
      <c r="AD7" s="357"/>
      <c r="AE7" s="357"/>
      <c r="AF7" s="357"/>
      <c r="AG7" s="27"/>
      <c r="AH7" s="173"/>
      <c r="AI7" s="176"/>
      <c r="AJ7" s="357"/>
      <c r="AK7" s="357"/>
      <c r="AL7" s="357"/>
      <c r="AM7" s="357"/>
      <c r="AN7" s="27"/>
      <c r="AO7" s="173"/>
      <c r="AP7" s="176"/>
      <c r="AQ7" s="357"/>
      <c r="AR7" s="357"/>
      <c r="AS7" s="357"/>
      <c r="AT7" s="357"/>
      <c r="AU7" s="27"/>
      <c r="AV7" s="173"/>
      <c r="AW7" s="230"/>
      <c r="AX7" s="357"/>
      <c r="AY7" s="357"/>
      <c r="AZ7" s="357"/>
      <c r="BA7" s="357"/>
      <c r="BB7" s="27"/>
      <c r="BC7" s="173"/>
    </row>
    <row r="8" spans="1:55" ht="18" customHeight="1" x14ac:dyDescent="0.3">
      <c r="A8" s="5">
        <v>3</v>
      </c>
      <c r="B8" s="151">
        <f>'เวลาเรียน (2)'!B8</f>
        <v>4999</v>
      </c>
      <c r="C8" s="149" t="str">
        <f>'เวลาเรียน (2)'!C8</f>
        <v>เด็กชายศรันยู  รัตนมงคล</v>
      </c>
      <c r="D8" s="57"/>
      <c r="E8" s="57"/>
      <c r="F8" s="58"/>
      <c r="G8" s="159"/>
      <c r="H8" s="357"/>
      <c r="I8" s="357"/>
      <c r="J8" s="357"/>
      <c r="K8" s="357"/>
      <c r="L8" s="27"/>
      <c r="M8" s="165"/>
      <c r="N8" s="159"/>
      <c r="O8" s="357"/>
      <c r="P8" s="357"/>
      <c r="Q8" s="357"/>
      <c r="R8" s="357"/>
      <c r="S8" s="27"/>
      <c r="T8" s="165"/>
      <c r="U8" s="159"/>
      <c r="V8" s="357"/>
      <c r="W8" s="357"/>
      <c r="X8" s="357"/>
      <c r="Y8" s="357"/>
      <c r="Z8" s="27"/>
      <c r="AA8" s="165"/>
      <c r="AB8" s="176"/>
      <c r="AC8" s="357"/>
      <c r="AD8" s="357"/>
      <c r="AE8" s="357"/>
      <c r="AF8" s="357"/>
      <c r="AG8" s="27"/>
      <c r="AH8" s="173"/>
      <c r="AI8" s="176"/>
      <c r="AJ8" s="357"/>
      <c r="AK8" s="357"/>
      <c r="AL8" s="357"/>
      <c r="AM8" s="357"/>
      <c r="AN8" s="27"/>
      <c r="AO8" s="173"/>
      <c r="AP8" s="176"/>
      <c r="AQ8" s="357"/>
      <c r="AR8" s="357"/>
      <c r="AS8" s="357"/>
      <c r="AT8" s="357"/>
      <c r="AU8" s="27"/>
      <c r="AV8" s="173"/>
      <c r="AW8" s="230"/>
      <c r="AX8" s="357"/>
      <c r="AY8" s="357"/>
      <c r="AZ8" s="357"/>
      <c r="BA8" s="357"/>
      <c r="BB8" s="27"/>
      <c r="BC8" s="173"/>
    </row>
    <row r="9" spans="1:55" ht="18" customHeight="1" x14ac:dyDescent="0.3">
      <c r="A9" s="5">
        <v>4</v>
      </c>
      <c r="B9" s="151">
        <f>'เวลาเรียน (2)'!B9</f>
        <v>5000</v>
      </c>
      <c r="C9" s="149" t="str">
        <f>'เวลาเรียน (2)'!C9</f>
        <v>เด็กชายสิรธีร์  เวียงอินทร์</v>
      </c>
      <c r="D9" s="57"/>
      <c r="E9" s="57"/>
      <c r="F9" s="58"/>
      <c r="G9" s="159"/>
      <c r="H9" s="357"/>
      <c r="I9" s="357"/>
      <c r="J9" s="357"/>
      <c r="K9" s="357"/>
      <c r="L9" s="27"/>
      <c r="M9" s="165"/>
      <c r="N9" s="159"/>
      <c r="O9" s="357"/>
      <c r="P9" s="357"/>
      <c r="Q9" s="357"/>
      <c r="R9" s="357"/>
      <c r="S9" s="27"/>
      <c r="T9" s="165"/>
      <c r="U9" s="159"/>
      <c r="V9" s="357"/>
      <c r="W9" s="357"/>
      <c r="X9" s="357"/>
      <c r="Y9" s="357"/>
      <c r="Z9" s="27"/>
      <c r="AA9" s="165"/>
      <c r="AB9" s="176"/>
      <c r="AC9" s="357"/>
      <c r="AD9" s="357"/>
      <c r="AE9" s="357"/>
      <c r="AF9" s="357"/>
      <c r="AG9" s="27"/>
      <c r="AH9" s="173"/>
      <c r="AI9" s="176"/>
      <c r="AJ9" s="357"/>
      <c r="AK9" s="357"/>
      <c r="AL9" s="357"/>
      <c r="AM9" s="357"/>
      <c r="AN9" s="27"/>
      <c r="AO9" s="173"/>
      <c r="AP9" s="176"/>
      <c r="AQ9" s="357"/>
      <c r="AR9" s="357"/>
      <c r="AS9" s="357"/>
      <c r="AT9" s="357"/>
      <c r="AU9" s="27"/>
      <c r="AV9" s="173"/>
      <c r="AW9" s="230"/>
      <c r="AX9" s="357"/>
      <c r="AY9" s="357"/>
      <c r="AZ9" s="357"/>
      <c r="BA9" s="357"/>
      <c r="BB9" s="27"/>
      <c r="BC9" s="173"/>
    </row>
    <row r="10" spans="1:55" ht="18" customHeight="1" x14ac:dyDescent="0.3">
      <c r="A10" s="5">
        <v>5</v>
      </c>
      <c r="B10" s="151">
        <f>'เวลาเรียน (2)'!B10</f>
        <v>5001</v>
      </c>
      <c r="C10" s="149" t="str">
        <f>'เวลาเรียน (2)'!C10</f>
        <v>เด็กหญิงจิรภิญญา  เขื่อนพงษ์</v>
      </c>
      <c r="D10" s="57"/>
      <c r="E10" s="57"/>
      <c r="F10" s="58"/>
      <c r="G10" s="159"/>
      <c r="H10" s="357"/>
      <c r="I10" s="357"/>
      <c r="J10" s="357"/>
      <c r="K10" s="357"/>
      <c r="L10" s="27"/>
      <c r="M10" s="165"/>
      <c r="N10" s="159"/>
      <c r="O10" s="357"/>
      <c r="P10" s="357"/>
      <c r="Q10" s="357"/>
      <c r="R10" s="357"/>
      <c r="S10" s="27"/>
      <c r="T10" s="165"/>
      <c r="U10" s="159"/>
      <c r="V10" s="357"/>
      <c r="W10" s="357"/>
      <c r="X10" s="357"/>
      <c r="Y10" s="357"/>
      <c r="Z10" s="27"/>
      <c r="AA10" s="165"/>
      <c r="AB10" s="176"/>
      <c r="AC10" s="357"/>
      <c r="AD10" s="357"/>
      <c r="AE10" s="357"/>
      <c r="AF10" s="357"/>
      <c r="AG10" s="27"/>
      <c r="AH10" s="173"/>
      <c r="AI10" s="176"/>
      <c r="AJ10" s="357"/>
      <c r="AK10" s="357"/>
      <c r="AL10" s="357"/>
      <c r="AM10" s="357"/>
      <c r="AN10" s="27"/>
      <c r="AO10" s="173"/>
      <c r="AP10" s="176"/>
      <c r="AQ10" s="357"/>
      <c r="AR10" s="357"/>
      <c r="AS10" s="357"/>
      <c r="AT10" s="357"/>
      <c r="AU10" s="27"/>
      <c r="AV10" s="173"/>
      <c r="AW10" s="230"/>
      <c r="AX10" s="357"/>
      <c r="AY10" s="357"/>
      <c r="AZ10" s="357"/>
      <c r="BA10" s="357"/>
      <c r="BB10" s="27"/>
      <c r="BC10" s="173"/>
    </row>
    <row r="11" spans="1:55" ht="18" customHeight="1" x14ac:dyDescent="0.3">
      <c r="A11" s="5">
        <v>6</v>
      </c>
      <c r="B11" s="151">
        <f>'เวลาเรียน (2)'!B11</f>
        <v>5002</v>
      </c>
      <c r="C11" s="149" t="str">
        <f>'เวลาเรียน (2)'!C11</f>
        <v>เด็กหญิงภคพร  วงค์สา</v>
      </c>
      <c r="D11" s="57"/>
      <c r="E11" s="57"/>
      <c r="F11" s="58"/>
      <c r="G11" s="159"/>
      <c r="H11" s="357"/>
      <c r="I11" s="357"/>
      <c r="J11" s="357"/>
      <c r="K11" s="357"/>
      <c r="L11" s="27"/>
      <c r="M11" s="165"/>
      <c r="N11" s="159"/>
      <c r="O11" s="357"/>
      <c r="P11" s="357"/>
      <c r="Q11" s="357"/>
      <c r="R11" s="357"/>
      <c r="S11" s="27"/>
      <c r="T11" s="165"/>
      <c r="U11" s="159"/>
      <c r="V11" s="357"/>
      <c r="W11" s="357"/>
      <c r="X11" s="357"/>
      <c r="Y11" s="357"/>
      <c r="Z11" s="27"/>
      <c r="AA11" s="165"/>
      <c r="AB11" s="176"/>
      <c r="AC11" s="357"/>
      <c r="AD11" s="357"/>
      <c r="AE11" s="357"/>
      <c r="AF11" s="357"/>
      <c r="AG11" s="27"/>
      <c r="AH11" s="173"/>
      <c r="AI11" s="176"/>
      <c r="AJ11" s="357"/>
      <c r="AK11" s="357"/>
      <c r="AL11" s="357"/>
      <c r="AM11" s="357"/>
      <c r="AN11" s="27"/>
      <c r="AO11" s="173"/>
      <c r="AP11" s="176"/>
      <c r="AQ11" s="357"/>
      <c r="AR11" s="357"/>
      <c r="AS11" s="357"/>
      <c r="AT11" s="357"/>
      <c r="AU11" s="27"/>
      <c r="AV11" s="173"/>
      <c r="AW11" s="230"/>
      <c r="AX11" s="357"/>
      <c r="AY11" s="357"/>
      <c r="AZ11" s="357"/>
      <c r="BA11" s="357"/>
      <c r="BB11" s="27"/>
      <c r="BC11" s="173"/>
    </row>
    <row r="12" spans="1:55" ht="18" customHeight="1" x14ac:dyDescent="0.3">
      <c r="A12" s="5">
        <v>7</v>
      </c>
      <c r="B12" s="151">
        <f>'เวลาเรียน (2)'!B12</f>
        <v>5003</v>
      </c>
      <c r="C12" s="149" t="str">
        <f>'เวลาเรียน (2)'!C12</f>
        <v>เด็กหญิงศิริณภา  สุวรรณจันทร์</v>
      </c>
      <c r="D12" s="57"/>
      <c r="E12" s="57"/>
      <c r="F12" s="58"/>
      <c r="G12" s="159"/>
      <c r="H12" s="357"/>
      <c r="I12" s="357"/>
      <c r="J12" s="357"/>
      <c r="K12" s="357"/>
      <c r="L12" s="27"/>
      <c r="M12" s="165"/>
      <c r="N12" s="159"/>
      <c r="O12" s="357"/>
      <c r="P12" s="357"/>
      <c r="Q12" s="357"/>
      <c r="R12" s="357"/>
      <c r="S12" s="27"/>
      <c r="T12" s="165"/>
      <c r="U12" s="159"/>
      <c r="V12" s="357"/>
      <c r="W12" s="357"/>
      <c r="X12" s="357"/>
      <c r="Y12" s="357"/>
      <c r="Z12" s="27"/>
      <c r="AA12" s="165"/>
      <c r="AB12" s="176"/>
      <c r="AC12" s="357"/>
      <c r="AD12" s="357"/>
      <c r="AE12" s="357"/>
      <c r="AF12" s="357"/>
      <c r="AG12" s="27"/>
      <c r="AH12" s="173"/>
      <c r="AI12" s="176"/>
      <c r="AJ12" s="357"/>
      <c r="AK12" s="357"/>
      <c r="AL12" s="357"/>
      <c r="AM12" s="357"/>
      <c r="AN12" s="27"/>
      <c r="AO12" s="173"/>
      <c r="AP12" s="176"/>
      <c r="AQ12" s="357"/>
      <c r="AR12" s="357"/>
      <c r="AS12" s="357"/>
      <c r="AT12" s="357"/>
      <c r="AU12" s="27"/>
      <c r="AV12" s="173"/>
      <c r="AW12" s="230"/>
      <c r="AX12" s="357"/>
      <c r="AY12" s="357"/>
      <c r="AZ12" s="357"/>
      <c r="BA12" s="357"/>
      <c r="BB12" s="27"/>
      <c r="BC12" s="173"/>
    </row>
    <row r="13" spans="1:55" ht="18" customHeight="1" x14ac:dyDescent="0.3">
      <c r="A13" s="5">
        <v>8</v>
      </c>
      <c r="B13" s="151">
        <f>'เวลาเรียน (2)'!B13</f>
        <v>5004</v>
      </c>
      <c r="C13" s="149" t="str">
        <f>'เวลาเรียน (2)'!C13</f>
        <v>เด็กหญิงศุภิสรา  โม้แซง</v>
      </c>
      <c r="D13" s="57"/>
      <c r="E13" s="57"/>
      <c r="F13" s="58"/>
      <c r="G13" s="159"/>
      <c r="H13" s="357"/>
      <c r="I13" s="357"/>
      <c r="J13" s="357"/>
      <c r="K13" s="357"/>
      <c r="L13" s="27"/>
      <c r="M13" s="165"/>
      <c r="N13" s="159"/>
      <c r="O13" s="357"/>
      <c r="P13" s="357"/>
      <c r="Q13" s="357"/>
      <c r="R13" s="357"/>
      <c r="S13" s="27"/>
      <c r="T13" s="165"/>
      <c r="U13" s="159"/>
      <c r="V13" s="357"/>
      <c r="W13" s="357"/>
      <c r="X13" s="357"/>
      <c r="Y13" s="357"/>
      <c r="Z13" s="27"/>
      <c r="AA13" s="165"/>
      <c r="AB13" s="176"/>
      <c r="AC13" s="357"/>
      <c r="AD13" s="357"/>
      <c r="AE13" s="357"/>
      <c r="AF13" s="357"/>
      <c r="AG13" s="27"/>
      <c r="AH13" s="173"/>
      <c r="AI13" s="176"/>
      <c r="AJ13" s="357"/>
      <c r="AK13" s="357"/>
      <c r="AL13" s="357"/>
      <c r="AM13" s="357"/>
      <c r="AN13" s="27"/>
      <c r="AO13" s="173"/>
      <c r="AP13" s="176"/>
      <c r="AQ13" s="357"/>
      <c r="AR13" s="357"/>
      <c r="AS13" s="357"/>
      <c r="AT13" s="357"/>
      <c r="AU13" s="27"/>
      <c r="AV13" s="173"/>
      <c r="AW13" s="230"/>
      <c r="AX13" s="357"/>
      <c r="AY13" s="357"/>
      <c r="AZ13" s="357"/>
      <c r="BA13" s="357"/>
      <c r="BB13" s="27"/>
      <c r="BC13" s="173"/>
    </row>
    <row r="14" spans="1:55" ht="18" customHeight="1" x14ac:dyDescent="0.3">
      <c r="A14" s="5">
        <v>9</v>
      </c>
      <c r="B14" s="151">
        <f>'เวลาเรียน (2)'!B14</f>
        <v>5005</v>
      </c>
      <c r="C14" s="149" t="str">
        <f>'เวลาเรียน (2)'!C14</f>
        <v>เด็กหญิงสุพิชชา  ชาวนาฮี</v>
      </c>
      <c r="D14" s="57"/>
      <c r="E14" s="57"/>
      <c r="F14" s="58"/>
      <c r="G14" s="159"/>
      <c r="H14" s="357"/>
      <c r="I14" s="357"/>
      <c r="J14" s="357"/>
      <c r="K14" s="357"/>
      <c r="L14" s="27"/>
      <c r="M14" s="165"/>
      <c r="N14" s="159"/>
      <c r="O14" s="357"/>
      <c r="P14" s="357"/>
      <c r="Q14" s="357"/>
      <c r="R14" s="357"/>
      <c r="S14" s="27"/>
      <c r="T14" s="165"/>
      <c r="U14" s="159"/>
      <c r="V14" s="357"/>
      <c r="W14" s="357"/>
      <c r="X14" s="357"/>
      <c r="Y14" s="357"/>
      <c r="Z14" s="27"/>
      <c r="AA14" s="165"/>
      <c r="AB14" s="176"/>
      <c r="AC14" s="357"/>
      <c r="AD14" s="357"/>
      <c r="AE14" s="357"/>
      <c r="AF14" s="357"/>
      <c r="AG14" s="27"/>
      <c r="AH14" s="173"/>
      <c r="AI14" s="176"/>
      <c r="AJ14" s="357"/>
      <c r="AK14" s="357"/>
      <c r="AL14" s="357"/>
      <c r="AM14" s="357"/>
      <c r="AN14" s="27"/>
      <c r="AO14" s="173"/>
      <c r="AP14" s="176"/>
      <c r="AQ14" s="357"/>
      <c r="AR14" s="357"/>
      <c r="AS14" s="357"/>
      <c r="AT14" s="357"/>
      <c r="AU14" s="27"/>
      <c r="AV14" s="173"/>
      <c r="AW14" s="230"/>
      <c r="AX14" s="357"/>
      <c r="AY14" s="357"/>
      <c r="AZ14" s="357"/>
      <c r="BA14" s="357"/>
      <c r="BB14" s="27"/>
      <c r="BC14" s="173"/>
    </row>
    <row r="15" spans="1:55" ht="18" customHeight="1" x14ac:dyDescent="0.3">
      <c r="A15" s="5">
        <v>10</v>
      </c>
      <c r="B15" s="151"/>
      <c r="C15" s="149"/>
      <c r="D15" s="57"/>
      <c r="E15" s="57"/>
      <c r="F15" s="58"/>
      <c r="G15" s="159"/>
      <c r="H15" s="357"/>
      <c r="I15" s="357"/>
      <c r="J15" s="357"/>
      <c r="K15" s="357"/>
      <c r="L15" s="27"/>
      <c r="M15" s="165"/>
      <c r="N15" s="159"/>
      <c r="O15" s="357"/>
      <c r="P15" s="357"/>
      <c r="Q15" s="357"/>
      <c r="R15" s="357"/>
      <c r="S15" s="27"/>
      <c r="T15" s="165"/>
      <c r="U15" s="159"/>
      <c r="V15" s="357"/>
      <c r="W15" s="357"/>
      <c r="X15" s="357"/>
      <c r="Y15" s="357"/>
      <c r="Z15" s="27"/>
      <c r="AA15" s="165"/>
      <c r="AB15" s="176"/>
      <c r="AC15" s="357"/>
      <c r="AD15" s="357"/>
      <c r="AE15" s="357"/>
      <c r="AF15" s="357"/>
      <c r="AG15" s="27"/>
      <c r="AH15" s="173"/>
      <c r="AI15" s="176"/>
      <c r="AJ15" s="357"/>
      <c r="AK15" s="357"/>
      <c r="AL15" s="357"/>
      <c r="AM15" s="357"/>
      <c r="AN15" s="27"/>
      <c r="AO15" s="173"/>
      <c r="AP15" s="176"/>
      <c r="AQ15" s="357"/>
      <c r="AR15" s="357"/>
      <c r="AS15" s="357"/>
      <c r="AT15" s="357"/>
      <c r="AU15" s="27"/>
      <c r="AV15" s="173"/>
      <c r="AW15" s="230"/>
      <c r="AX15" s="357"/>
      <c r="AY15" s="357"/>
      <c r="AZ15" s="357"/>
      <c r="BA15" s="357"/>
      <c r="BB15" s="27"/>
      <c r="BC15" s="173"/>
    </row>
    <row r="16" spans="1:55" ht="18" customHeight="1" x14ac:dyDescent="0.3">
      <c r="A16" s="5">
        <v>11</v>
      </c>
      <c r="B16" s="151"/>
      <c r="C16" s="149"/>
      <c r="D16" s="57"/>
      <c r="E16" s="57"/>
      <c r="F16" s="58"/>
      <c r="G16" s="159"/>
      <c r="H16" s="357"/>
      <c r="I16" s="357"/>
      <c r="J16" s="357"/>
      <c r="K16" s="357"/>
      <c r="L16" s="27"/>
      <c r="M16" s="165"/>
      <c r="N16" s="159"/>
      <c r="O16" s="357"/>
      <c r="P16" s="357"/>
      <c r="Q16" s="357"/>
      <c r="R16" s="357"/>
      <c r="S16" s="27"/>
      <c r="T16" s="165"/>
      <c r="U16" s="159"/>
      <c r="V16" s="357"/>
      <c r="W16" s="357"/>
      <c r="X16" s="357"/>
      <c r="Y16" s="357"/>
      <c r="Z16" s="27"/>
      <c r="AA16" s="165"/>
      <c r="AB16" s="176"/>
      <c r="AC16" s="357"/>
      <c r="AD16" s="357"/>
      <c r="AE16" s="357"/>
      <c r="AF16" s="357"/>
      <c r="AG16" s="27"/>
      <c r="AH16" s="173"/>
      <c r="AI16" s="176"/>
      <c r="AJ16" s="357"/>
      <c r="AK16" s="357"/>
      <c r="AL16" s="357"/>
      <c r="AM16" s="357"/>
      <c r="AN16" s="27"/>
      <c r="AO16" s="173"/>
      <c r="AP16" s="176"/>
      <c r="AQ16" s="357"/>
      <c r="AR16" s="357"/>
      <c r="AS16" s="357"/>
      <c r="AT16" s="357"/>
      <c r="AU16" s="27"/>
      <c r="AV16" s="173"/>
      <c r="AW16" s="230"/>
      <c r="AX16" s="357"/>
      <c r="AY16" s="357"/>
      <c r="AZ16" s="357"/>
      <c r="BA16" s="357"/>
      <c r="BB16" s="27"/>
      <c r="BC16" s="173"/>
    </row>
    <row r="17" spans="1:55" ht="18" customHeight="1" x14ac:dyDescent="0.3">
      <c r="A17" s="5">
        <v>12</v>
      </c>
      <c r="B17" s="151"/>
      <c r="C17" s="149"/>
      <c r="D17" s="57"/>
      <c r="E17" s="57"/>
      <c r="F17" s="58"/>
      <c r="G17" s="159"/>
      <c r="H17" s="357"/>
      <c r="I17" s="357"/>
      <c r="J17" s="357"/>
      <c r="K17" s="357"/>
      <c r="L17" s="27"/>
      <c r="M17" s="165"/>
      <c r="N17" s="159"/>
      <c r="O17" s="357"/>
      <c r="P17" s="357"/>
      <c r="Q17" s="357"/>
      <c r="R17" s="357"/>
      <c r="S17" s="27"/>
      <c r="T17" s="165"/>
      <c r="U17" s="159"/>
      <c r="V17" s="357"/>
      <c r="W17" s="357"/>
      <c r="X17" s="357"/>
      <c r="Y17" s="357"/>
      <c r="Z17" s="27"/>
      <c r="AA17" s="165"/>
      <c r="AB17" s="176"/>
      <c r="AC17" s="357"/>
      <c r="AD17" s="357"/>
      <c r="AE17" s="357"/>
      <c r="AF17" s="357"/>
      <c r="AG17" s="27"/>
      <c r="AH17" s="173"/>
      <c r="AI17" s="176"/>
      <c r="AJ17" s="357"/>
      <c r="AK17" s="357"/>
      <c r="AL17" s="357"/>
      <c r="AM17" s="357"/>
      <c r="AN17" s="27"/>
      <c r="AO17" s="173"/>
      <c r="AP17" s="176"/>
      <c r="AQ17" s="357"/>
      <c r="AR17" s="357"/>
      <c r="AS17" s="357"/>
      <c r="AT17" s="357"/>
      <c r="AU17" s="27"/>
      <c r="AV17" s="173"/>
      <c r="AW17" s="230"/>
      <c r="AX17" s="357"/>
      <c r="AY17" s="357"/>
      <c r="AZ17" s="357"/>
      <c r="BA17" s="357"/>
      <c r="BB17" s="27"/>
      <c r="BC17" s="173"/>
    </row>
    <row r="18" spans="1:55" ht="18" customHeight="1" x14ac:dyDescent="0.3">
      <c r="A18" s="5">
        <v>13</v>
      </c>
      <c r="B18" s="151"/>
      <c r="C18" s="149"/>
      <c r="D18" s="57"/>
      <c r="E18" s="57"/>
      <c r="F18" s="58"/>
      <c r="G18" s="159"/>
      <c r="H18" s="357"/>
      <c r="I18" s="357"/>
      <c r="J18" s="357"/>
      <c r="K18" s="357"/>
      <c r="L18" s="27"/>
      <c r="M18" s="165"/>
      <c r="N18" s="159"/>
      <c r="O18" s="357"/>
      <c r="P18" s="357"/>
      <c r="Q18" s="357"/>
      <c r="R18" s="357"/>
      <c r="S18" s="27"/>
      <c r="T18" s="165"/>
      <c r="U18" s="159"/>
      <c r="V18" s="357"/>
      <c r="W18" s="357"/>
      <c r="X18" s="357"/>
      <c r="Y18" s="357"/>
      <c r="Z18" s="27"/>
      <c r="AA18" s="165"/>
      <c r="AB18" s="176"/>
      <c r="AC18" s="357"/>
      <c r="AD18" s="357"/>
      <c r="AE18" s="357"/>
      <c r="AF18" s="357"/>
      <c r="AG18" s="27"/>
      <c r="AH18" s="173"/>
      <c r="AI18" s="176"/>
      <c r="AJ18" s="357"/>
      <c r="AK18" s="357"/>
      <c r="AL18" s="357"/>
      <c r="AM18" s="357"/>
      <c r="AN18" s="27"/>
      <c r="AO18" s="173"/>
      <c r="AP18" s="176"/>
      <c r="AQ18" s="357"/>
      <c r="AR18" s="357"/>
      <c r="AS18" s="357"/>
      <c r="AT18" s="357"/>
      <c r="AU18" s="27"/>
      <c r="AV18" s="173"/>
      <c r="AW18" s="230"/>
      <c r="AX18" s="357"/>
      <c r="AY18" s="357"/>
      <c r="AZ18" s="357"/>
      <c r="BA18" s="357"/>
      <c r="BB18" s="27"/>
      <c r="BC18" s="173"/>
    </row>
    <row r="19" spans="1:55" ht="18" customHeight="1" x14ac:dyDescent="0.3">
      <c r="A19" s="5">
        <v>14</v>
      </c>
      <c r="B19" s="151"/>
      <c r="C19" s="149"/>
      <c r="D19" s="57"/>
      <c r="E19" s="57"/>
      <c r="F19" s="58"/>
      <c r="G19" s="159"/>
      <c r="H19" s="357"/>
      <c r="I19" s="357"/>
      <c r="J19" s="357"/>
      <c r="K19" s="357"/>
      <c r="L19" s="27"/>
      <c r="M19" s="165"/>
      <c r="N19" s="159"/>
      <c r="O19" s="357"/>
      <c r="P19" s="357"/>
      <c r="Q19" s="357"/>
      <c r="R19" s="357"/>
      <c r="S19" s="27"/>
      <c r="T19" s="165"/>
      <c r="U19" s="159"/>
      <c r="V19" s="357"/>
      <c r="W19" s="357"/>
      <c r="X19" s="357"/>
      <c r="Y19" s="357"/>
      <c r="Z19" s="27"/>
      <c r="AA19" s="165"/>
      <c r="AB19" s="176"/>
      <c r="AC19" s="357"/>
      <c r="AD19" s="357"/>
      <c r="AE19" s="357"/>
      <c r="AF19" s="357"/>
      <c r="AG19" s="27"/>
      <c r="AH19" s="173"/>
      <c r="AI19" s="176"/>
      <c r="AJ19" s="357"/>
      <c r="AK19" s="357"/>
      <c r="AL19" s="357"/>
      <c r="AM19" s="357"/>
      <c r="AN19" s="27"/>
      <c r="AO19" s="173"/>
      <c r="AP19" s="176"/>
      <c r="AQ19" s="357"/>
      <c r="AR19" s="357"/>
      <c r="AS19" s="357"/>
      <c r="AT19" s="357"/>
      <c r="AU19" s="27"/>
      <c r="AV19" s="173"/>
      <c r="AW19" s="230"/>
      <c r="AX19" s="357"/>
      <c r="AY19" s="357"/>
      <c r="AZ19" s="357"/>
      <c r="BA19" s="357"/>
      <c r="BB19" s="27"/>
      <c r="BC19" s="173"/>
    </row>
    <row r="20" spans="1:55" ht="18" customHeight="1" x14ac:dyDescent="0.3">
      <c r="A20" s="5">
        <v>15</v>
      </c>
      <c r="B20" s="151"/>
      <c r="C20" s="149"/>
      <c r="D20" s="57"/>
      <c r="E20" s="57"/>
      <c r="F20" s="58"/>
      <c r="G20" s="159"/>
      <c r="H20" s="27"/>
      <c r="I20" s="27"/>
      <c r="J20" s="27"/>
      <c r="K20" s="12"/>
      <c r="L20" s="27"/>
      <c r="M20" s="165"/>
      <c r="N20" s="159"/>
      <c r="O20" s="27"/>
      <c r="P20" s="27"/>
      <c r="Q20" s="27"/>
      <c r="R20" s="12"/>
      <c r="S20" s="27"/>
      <c r="T20" s="165"/>
      <c r="U20" s="159"/>
      <c r="V20" s="27"/>
      <c r="W20" s="27"/>
      <c r="X20" s="27"/>
      <c r="Y20" s="12"/>
      <c r="Z20" s="27"/>
      <c r="AA20" s="165"/>
      <c r="AB20" s="176"/>
      <c r="AC20" s="27"/>
      <c r="AD20" s="27"/>
      <c r="AE20" s="15"/>
      <c r="AF20" s="15"/>
      <c r="AG20" s="27"/>
      <c r="AH20" s="173"/>
      <c r="AI20" s="176"/>
      <c r="AJ20" s="27"/>
      <c r="AK20" s="27"/>
      <c r="AL20" s="27"/>
      <c r="AM20" s="15"/>
      <c r="AN20" s="27"/>
      <c r="AO20" s="173"/>
      <c r="AP20" s="176"/>
      <c r="AQ20" s="27"/>
      <c r="AR20" s="27"/>
      <c r="AS20" s="27"/>
      <c r="AT20" s="15"/>
      <c r="AU20" s="27"/>
      <c r="AV20" s="173"/>
      <c r="AW20" s="230"/>
      <c r="AX20" s="27"/>
      <c r="AY20" s="27"/>
      <c r="AZ20" s="27"/>
      <c r="BA20" s="15"/>
      <c r="BB20" s="27"/>
      <c r="BC20" s="173"/>
    </row>
    <row r="21" spans="1:55" ht="18" customHeight="1" x14ac:dyDescent="0.3">
      <c r="A21" s="5">
        <v>16</v>
      </c>
      <c r="B21" s="151"/>
      <c r="C21" s="149"/>
      <c r="D21" s="57"/>
      <c r="E21" s="57"/>
      <c r="F21" s="58"/>
      <c r="G21" s="159"/>
      <c r="H21" s="27"/>
      <c r="I21" s="27"/>
      <c r="J21" s="27"/>
      <c r="K21" s="12"/>
      <c r="L21" s="27"/>
      <c r="M21" s="165"/>
      <c r="N21" s="159"/>
      <c r="O21" s="27"/>
      <c r="P21" s="27"/>
      <c r="Q21" s="27"/>
      <c r="R21" s="12"/>
      <c r="S21" s="27"/>
      <c r="T21" s="165"/>
      <c r="U21" s="159"/>
      <c r="V21" s="27"/>
      <c r="W21" s="27"/>
      <c r="X21" s="27"/>
      <c r="Y21" s="12"/>
      <c r="Z21" s="27"/>
      <c r="AA21" s="165"/>
      <c r="AB21" s="176"/>
      <c r="AC21" s="27"/>
      <c r="AD21" s="27"/>
      <c r="AE21" s="15"/>
      <c r="AF21" s="15"/>
      <c r="AG21" s="27"/>
      <c r="AH21" s="173"/>
      <c r="AI21" s="176"/>
      <c r="AJ21" s="27"/>
      <c r="AK21" s="27"/>
      <c r="AL21" s="27"/>
      <c r="AM21" s="15"/>
      <c r="AN21" s="27"/>
      <c r="AO21" s="173"/>
      <c r="AP21" s="176"/>
      <c r="AQ21" s="27"/>
      <c r="AR21" s="27"/>
      <c r="AS21" s="27"/>
      <c r="AT21" s="15"/>
      <c r="AU21" s="27"/>
      <c r="AV21" s="173"/>
      <c r="AW21" s="230"/>
      <c r="AX21" s="27"/>
      <c r="AY21" s="27"/>
      <c r="AZ21" s="27"/>
      <c r="BA21" s="15"/>
      <c r="BB21" s="27"/>
      <c r="BC21" s="173"/>
    </row>
    <row r="22" spans="1:55" ht="18" customHeight="1" x14ac:dyDescent="0.3">
      <c r="A22" s="5">
        <v>17</v>
      </c>
      <c r="B22" s="151"/>
      <c r="C22" s="149"/>
      <c r="D22" s="57"/>
      <c r="E22" s="57"/>
      <c r="F22" s="58"/>
      <c r="G22" s="159"/>
      <c r="H22" s="27"/>
      <c r="I22" s="27"/>
      <c r="J22" s="27"/>
      <c r="K22" s="12"/>
      <c r="L22" s="27"/>
      <c r="M22" s="165"/>
      <c r="N22" s="159"/>
      <c r="O22" s="27"/>
      <c r="P22" s="27"/>
      <c r="Q22" s="27"/>
      <c r="R22" s="12"/>
      <c r="S22" s="27"/>
      <c r="T22" s="165"/>
      <c r="U22" s="159"/>
      <c r="V22" s="27"/>
      <c r="W22" s="27"/>
      <c r="X22" s="27"/>
      <c r="Y22" s="12"/>
      <c r="Z22" s="27"/>
      <c r="AA22" s="165"/>
      <c r="AB22" s="176"/>
      <c r="AC22" s="27"/>
      <c r="AD22" s="27"/>
      <c r="AE22" s="15"/>
      <c r="AF22" s="15"/>
      <c r="AG22" s="27"/>
      <c r="AH22" s="173"/>
      <c r="AI22" s="176"/>
      <c r="AJ22" s="27"/>
      <c r="AK22" s="27"/>
      <c r="AL22" s="27"/>
      <c r="AM22" s="15"/>
      <c r="AN22" s="27"/>
      <c r="AO22" s="173"/>
      <c r="AP22" s="176"/>
      <c r="AQ22" s="27"/>
      <c r="AR22" s="27"/>
      <c r="AS22" s="27"/>
      <c r="AT22" s="15"/>
      <c r="AU22" s="27"/>
      <c r="AV22" s="173"/>
      <c r="AW22" s="230"/>
      <c r="AX22" s="27"/>
      <c r="AY22" s="27"/>
      <c r="AZ22" s="27"/>
      <c r="BA22" s="15"/>
      <c r="BB22" s="27"/>
      <c r="BC22" s="173"/>
    </row>
    <row r="23" spans="1:55" ht="18" customHeight="1" x14ac:dyDescent="0.3">
      <c r="A23" s="5">
        <v>18</v>
      </c>
      <c r="B23" s="151"/>
      <c r="C23" s="149"/>
      <c r="D23" s="57"/>
      <c r="E23" s="57"/>
      <c r="F23" s="58"/>
      <c r="G23" s="159"/>
      <c r="H23" s="27"/>
      <c r="I23" s="27"/>
      <c r="J23" s="27"/>
      <c r="K23" s="12"/>
      <c r="L23" s="27"/>
      <c r="M23" s="165"/>
      <c r="N23" s="159"/>
      <c r="O23" s="27"/>
      <c r="P23" s="27"/>
      <c r="Q23" s="27"/>
      <c r="R23" s="12"/>
      <c r="S23" s="27"/>
      <c r="T23" s="165"/>
      <c r="U23" s="159"/>
      <c r="V23" s="27"/>
      <c r="W23" s="27"/>
      <c r="X23" s="27"/>
      <c r="Y23" s="12"/>
      <c r="Z23" s="27"/>
      <c r="AA23" s="165"/>
      <c r="AB23" s="176"/>
      <c r="AC23" s="27"/>
      <c r="AD23" s="27"/>
      <c r="AE23" s="15"/>
      <c r="AF23" s="15"/>
      <c r="AG23" s="27"/>
      <c r="AH23" s="173"/>
      <c r="AI23" s="176"/>
      <c r="AJ23" s="27"/>
      <c r="AK23" s="27"/>
      <c r="AL23" s="27"/>
      <c r="AM23" s="15"/>
      <c r="AN23" s="27"/>
      <c r="AO23" s="173"/>
      <c r="AP23" s="176"/>
      <c r="AQ23" s="27"/>
      <c r="AR23" s="27"/>
      <c r="AS23" s="27"/>
      <c r="AT23" s="15"/>
      <c r="AU23" s="27"/>
      <c r="AV23" s="173"/>
      <c r="AW23" s="230"/>
      <c r="AX23" s="24"/>
      <c r="AY23" s="27"/>
      <c r="AZ23" s="27"/>
      <c r="BA23" s="15"/>
      <c r="BB23" s="27"/>
      <c r="BC23" s="173"/>
    </row>
    <row r="24" spans="1:55" ht="18" customHeight="1" x14ac:dyDescent="0.3">
      <c r="A24" s="5">
        <v>19</v>
      </c>
      <c r="B24" s="109"/>
      <c r="C24" s="149"/>
      <c r="D24" s="57"/>
      <c r="E24" s="57"/>
      <c r="F24" s="58"/>
      <c r="G24" s="159"/>
      <c r="H24" s="13"/>
      <c r="I24" s="13"/>
      <c r="J24" s="27"/>
      <c r="K24" s="12"/>
      <c r="L24" s="12"/>
      <c r="M24" s="165"/>
      <c r="N24" s="159"/>
      <c r="O24" s="13"/>
      <c r="P24" s="13"/>
      <c r="Q24" s="27"/>
      <c r="R24" s="12"/>
      <c r="S24" s="12"/>
      <c r="T24" s="165"/>
      <c r="U24" s="159"/>
      <c r="V24" s="13"/>
      <c r="W24" s="13"/>
      <c r="X24" s="27"/>
      <c r="Y24" s="12"/>
      <c r="Z24" s="12"/>
      <c r="AA24" s="165"/>
      <c r="AB24" s="176"/>
      <c r="AC24" s="24"/>
      <c r="AD24" s="27"/>
      <c r="AE24" s="15"/>
      <c r="AF24" s="15"/>
      <c r="AG24" s="16"/>
      <c r="AH24" s="173"/>
      <c r="AI24" s="176"/>
      <c r="AJ24" s="27"/>
      <c r="AK24" s="27"/>
      <c r="AL24" s="27"/>
      <c r="AM24" s="15"/>
      <c r="AN24" s="15"/>
      <c r="AO24" s="173"/>
      <c r="AP24" s="176"/>
      <c r="AQ24" s="24"/>
      <c r="AR24" s="24"/>
      <c r="AS24" s="27"/>
      <c r="AT24" s="15"/>
      <c r="AU24" s="15"/>
      <c r="AV24" s="173"/>
      <c r="AW24" s="230"/>
      <c r="AX24" s="24"/>
      <c r="AY24" s="24"/>
      <c r="AZ24" s="27"/>
      <c r="BA24" s="15"/>
      <c r="BB24" s="15"/>
      <c r="BC24" s="173"/>
    </row>
    <row r="25" spans="1:55" ht="18" customHeight="1" x14ac:dyDescent="0.3">
      <c r="A25" s="5">
        <v>20</v>
      </c>
      <c r="B25" s="109"/>
      <c r="C25" s="149"/>
      <c r="D25" s="57"/>
      <c r="E25" s="57"/>
      <c r="F25" s="58"/>
      <c r="G25" s="159"/>
      <c r="H25" s="13"/>
      <c r="I25" s="13"/>
      <c r="J25" s="27"/>
      <c r="K25" s="12"/>
      <c r="L25" s="12"/>
      <c r="M25" s="165"/>
      <c r="N25" s="159"/>
      <c r="O25" s="13"/>
      <c r="P25" s="13"/>
      <c r="Q25" s="27"/>
      <c r="R25" s="12"/>
      <c r="S25" s="12"/>
      <c r="T25" s="165"/>
      <c r="U25" s="159"/>
      <c r="V25" s="13"/>
      <c r="W25" s="13"/>
      <c r="X25" s="27"/>
      <c r="Y25" s="12"/>
      <c r="Z25" s="12"/>
      <c r="AA25" s="165"/>
      <c r="AB25" s="176"/>
      <c r="AC25" s="24"/>
      <c r="AD25" s="27"/>
      <c r="AE25" s="15"/>
      <c r="AF25" s="15"/>
      <c r="AG25" s="16"/>
      <c r="AH25" s="173"/>
      <c r="AI25" s="176"/>
      <c r="AJ25" s="27"/>
      <c r="AK25" s="27"/>
      <c r="AL25" s="27"/>
      <c r="AM25" s="15"/>
      <c r="AN25" s="15"/>
      <c r="AO25" s="173"/>
      <c r="AP25" s="176"/>
      <c r="AQ25" s="24"/>
      <c r="AR25" s="24"/>
      <c r="AS25" s="27"/>
      <c r="AT25" s="15"/>
      <c r="AU25" s="15"/>
      <c r="AV25" s="173"/>
      <c r="AW25" s="230"/>
      <c r="AX25" s="24"/>
      <c r="AY25" s="24"/>
      <c r="AZ25" s="27"/>
      <c r="BA25" s="15"/>
      <c r="BB25" s="15"/>
      <c r="BC25" s="173"/>
    </row>
    <row r="26" spans="1:55" ht="18" customHeight="1" x14ac:dyDescent="0.3">
      <c r="A26" s="5">
        <v>21</v>
      </c>
      <c r="B26" s="109"/>
      <c r="C26" s="149"/>
      <c r="D26" s="57"/>
      <c r="E26" s="57"/>
      <c r="F26" s="58"/>
      <c r="G26" s="159"/>
      <c r="H26" s="13"/>
      <c r="I26" s="13"/>
      <c r="J26" s="27"/>
      <c r="K26" s="12"/>
      <c r="L26" s="12"/>
      <c r="M26" s="165"/>
      <c r="N26" s="159"/>
      <c r="O26" s="13"/>
      <c r="P26" s="13"/>
      <c r="Q26" s="27"/>
      <c r="R26" s="12"/>
      <c r="S26" s="12"/>
      <c r="T26" s="165"/>
      <c r="U26" s="159"/>
      <c r="V26" s="13"/>
      <c r="W26" s="13"/>
      <c r="X26" s="27"/>
      <c r="Y26" s="12"/>
      <c r="Z26" s="12"/>
      <c r="AA26" s="165"/>
      <c r="AB26" s="176"/>
      <c r="AC26" s="24"/>
      <c r="AD26" s="27"/>
      <c r="AE26" s="15"/>
      <c r="AF26" s="15"/>
      <c r="AG26" s="16"/>
      <c r="AH26" s="173"/>
      <c r="AI26" s="176"/>
      <c r="AJ26" s="27"/>
      <c r="AK26" s="27"/>
      <c r="AL26" s="27"/>
      <c r="AM26" s="15"/>
      <c r="AN26" s="15"/>
      <c r="AO26" s="173"/>
      <c r="AP26" s="176"/>
      <c r="AQ26" s="24"/>
      <c r="AR26" s="24"/>
      <c r="AS26" s="27"/>
      <c r="AT26" s="15"/>
      <c r="AU26" s="15"/>
      <c r="AV26" s="173"/>
      <c r="AW26" s="230"/>
      <c r="AX26" s="24"/>
      <c r="AY26" s="24"/>
      <c r="AZ26" s="27"/>
      <c r="BA26" s="15"/>
      <c r="BB26" s="15"/>
      <c r="BC26" s="173"/>
    </row>
    <row r="27" spans="1:55" ht="18" customHeight="1" x14ac:dyDescent="0.3">
      <c r="A27" s="5">
        <v>22</v>
      </c>
      <c r="B27" s="109"/>
      <c r="C27" s="149"/>
      <c r="D27" s="57"/>
      <c r="E27" s="57"/>
      <c r="F27" s="58"/>
      <c r="G27" s="159"/>
      <c r="H27" s="13"/>
      <c r="I27" s="13"/>
      <c r="J27" s="27"/>
      <c r="K27" s="12"/>
      <c r="L27" s="12"/>
      <c r="M27" s="165"/>
      <c r="N27" s="159"/>
      <c r="O27" s="13"/>
      <c r="P27" s="13"/>
      <c r="Q27" s="27"/>
      <c r="R27" s="12"/>
      <c r="S27" s="12"/>
      <c r="T27" s="165"/>
      <c r="U27" s="159"/>
      <c r="V27" s="13"/>
      <c r="W27" s="13"/>
      <c r="X27" s="27"/>
      <c r="Y27" s="12"/>
      <c r="Z27" s="12"/>
      <c r="AA27" s="165"/>
      <c r="AB27" s="176"/>
      <c r="AC27" s="24"/>
      <c r="AD27" s="27"/>
      <c r="AE27" s="15"/>
      <c r="AF27" s="15"/>
      <c r="AG27" s="16"/>
      <c r="AH27" s="173"/>
      <c r="AI27" s="176"/>
      <c r="AJ27" s="27"/>
      <c r="AK27" s="27"/>
      <c r="AL27" s="27"/>
      <c r="AM27" s="15"/>
      <c r="AN27" s="15"/>
      <c r="AO27" s="173"/>
      <c r="AP27" s="176"/>
      <c r="AQ27" s="24"/>
      <c r="AR27" s="24"/>
      <c r="AS27" s="27"/>
      <c r="AT27" s="15"/>
      <c r="AU27" s="15"/>
      <c r="AV27" s="173"/>
      <c r="AW27" s="230"/>
      <c r="AX27" s="24"/>
      <c r="AY27" s="24"/>
      <c r="AZ27" s="27"/>
      <c r="BA27" s="15"/>
      <c r="BB27" s="15"/>
      <c r="BC27" s="173"/>
    </row>
    <row r="28" spans="1:55" ht="18" customHeight="1" x14ac:dyDescent="0.3">
      <c r="A28" s="5">
        <v>23</v>
      </c>
      <c r="B28" s="109"/>
      <c r="C28" s="149"/>
      <c r="D28" s="57"/>
      <c r="E28" s="57"/>
      <c r="F28" s="58"/>
      <c r="G28" s="159"/>
      <c r="H28" s="13"/>
      <c r="I28" s="13"/>
      <c r="J28" s="27"/>
      <c r="K28" s="12"/>
      <c r="L28" s="12"/>
      <c r="M28" s="165"/>
      <c r="N28" s="159"/>
      <c r="O28" s="13"/>
      <c r="P28" s="13"/>
      <c r="Q28" s="27"/>
      <c r="R28" s="12"/>
      <c r="S28" s="12"/>
      <c r="T28" s="165"/>
      <c r="U28" s="159"/>
      <c r="V28" s="13"/>
      <c r="W28" s="13"/>
      <c r="X28" s="27"/>
      <c r="Y28" s="12"/>
      <c r="Z28" s="12"/>
      <c r="AA28" s="165"/>
      <c r="AB28" s="176"/>
      <c r="AC28" s="24"/>
      <c r="AD28" s="27"/>
      <c r="AE28" s="15"/>
      <c r="AF28" s="15"/>
      <c r="AG28" s="16"/>
      <c r="AH28" s="173"/>
      <c r="AI28" s="176"/>
      <c r="AJ28" s="27"/>
      <c r="AK28" s="27"/>
      <c r="AL28" s="27"/>
      <c r="AM28" s="15"/>
      <c r="AN28" s="15"/>
      <c r="AO28" s="173"/>
      <c r="AP28" s="176"/>
      <c r="AQ28" s="24"/>
      <c r="AR28" s="24"/>
      <c r="AS28" s="27"/>
      <c r="AT28" s="15"/>
      <c r="AU28" s="15"/>
      <c r="AV28" s="173"/>
      <c r="AW28" s="230"/>
      <c r="AX28" s="24"/>
      <c r="AY28" s="24"/>
      <c r="AZ28" s="27"/>
      <c r="BA28" s="15"/>
      <c r="BB28" s="15"/>
      <c r="BC28" s="173"/>
    </row>
    <row r="29" spans="1:55" ht="18" customHeight="1" x14ac:dyDescent="0.3">
      <c r="A29" s="5">
        <v>24</v>
      </c>
      <c r="B29" s="109"/>
      <c r="C29" s="149"/>
      <c r="D29" s="57"/>
      <c r="E29" s="57"/>
      <c r="F29" s="58"/>
      <c r="G29" s="159"/>
      <c r="H29" s="13"/>
      <c r="I29" s="13"/>
      <c r="J29" s="27"/>
      <c r="K29" s="12"/>
      <c r="L29" s="12"/>
      <c r="M29" s="165"/>
      <c r="N29" s="159"/>
      <c r="O29" s="13"/>
      <c r="P29" s="13"/>
      <c r="Q29" s="27"/>
      <c r="R29" s="12"/>
      <c r="S29" s="12"/>
      <c r="T29" s="165"/>
      <c r="U29" s="159"/>
      <c r="V29" s="13"/>
      <c r="W29" s="13"/>
      <c r="X29" s="27"/>
      <c r="Y29" s="12"/>
      <c r="Z29" s="12"/>
      <c r="AA29" s="165"/>
      <c r="AB29" s="176"/>
      <c r="AC29" s="24"/>
      <c r="AD29" s="27"/>
      <c r="AE29" s="15"/>
      <c r="AF29" s="15"/>
      <c r="AG29" s="16"/>
      <c r="AH29" s="173"/>
      <c r="AI29" s="176"/>
      <c r="AJ29" s="27"/>
      <c r="AK29" s="27"/>
      <c r="AL29" s="27"/>
      <c r="AM29" s="15"/>
      <c r="AN29" s="15"/>
      <c r="AO29" s="173"/>
      <c r="AP29" s="176"/>
      <c r="AQ29" s="24"/>
      <c r="AR29" s="24"/>
      <c r="AS29" s="27"/>
      <c r="AT29" s="15"/>
      <c r="AU29" s="15"/>
      <c r="AV29" s="173"/>
      <c r="AW29" s="230"/>
      <c r="AX29" s="24"/>
      <c r="AY29" s="24"/>
      <c r="AZ29" s="27"/>
      <c r="BA29" s="15"/>
      <c r="BB29" s="15"/>
      <c r="BC29" s="173"/>
    </row>
    <row r="30" spans="1:55" ht="18" customHeight="1" x14ac:dyDescent="0.3">
      <c r="A30" s="5">
        <v>25</v>
      </c>
      <c r="B30" s="109"/>
      <c r="C30" s="149"/>
      <c r="D30" s="57"/>
      <c r="E30" s="57"/>
      <c r="F30" s="58"/>
      <c r="G30" s="159"/>
      <c r="H30" s="13"/>
      <c r="I30" s="13"/>
      <c r="J30" s="27"/>
      <c r="K30" s="12"/>
      <c r="L30" s="12"/>
      <c r="M30" s="165"/>
      <c r="N30" s="159"/>
      <c r="O30" s="13"/>
      <c r="P30" s="13"/>
      <c r="Q30" s="27"/>
      <c r="R30" s="12"/>
      <c r="S30" s="12"/>
      <c r="T30" s="165"/>
      <c r="U30" s="159"/>
      <c r="V30" s="13"/>
      <c r="W30" s="13"/>
      <c r="X30" s="27"/>
      <c r="Y30" s="12"/>
      <c r="Z30" s="12"/>
      <c r="AA30" s="165"/>
      <c r="AB30" s="176"/>
      <c r="AC30" s="24"/>
      <c r="AD30" s="27"/>
      <c r="AE30" s="15"/>
      <c r="AF30" s="15"/>
      <c r="AG30" s="16"/>
      <c r="AH30" s="173"/>
      <c r="AI30" s="176"/>
      <c r="AJ30" s="27"/>
      <c r="AK30" s="27"/>
      <c r="AL30" s="27"/>
      <c r="AM30" s="15"/>
      <c r="AN30" s="15"/>
      <c r="AO30" s="173"/>
      <c r="AP30" s="176"/>
      <c r="AQ30" s="24"/>
      <c r="AR30" s="24"/>
      <c r="AS30" s="27"/>
      <c r="AT30" s="15"/>
      <c r="AU30" s="15"/>
      <c r="AV30" s="173"/>
      <c r="AW30" s="230"/>
      <c r="AX30" s="24"/>
      <c r="AY30" s="24"/>
      <c r="AZ30" s="27"/>
      <c r="BA30" s="15"/>
      <c r="BB30" s="15"/>
      <c r="BC30" s="173"/>
    </row>
    <row r="31" spans="1:55" ht="18" customHeight="1" x14ac:dyDescent="0.3">
      <c r="A31" s="5">
        <v>26</v>
      </c>
      <c r="B31" s="109"/>
      <c r="C31" s="149"/>
      <c r="D31" s="57"/>
      <c r="E31" s="57"/>
      <c r="F31" s="58"/>
      <c r="G31" s="159"/>
      <c r="H31" s="13"/>
      <c r="I31" s="13"/>
      <c r="J31" s="27"/>
      <c r="K31" s="12"/>
      <c r="L31" s="12"/>
      <c r="M31" s="165"/>
      <c r="N31" s="159"/>
      <c r="O31" s="13"/>
      <c r="P31" s="13"/>
      <c r="Q31" s="27"/>
      <c r="R31" s="12"/>
      <c r="S31" s="12"/>
      <c r="T31" s="165"/>
      <c r="U31" s="159"/>
      <c r="V31" s="13"/>
      <c r="W31" s="13"/>
      <c r="X31" s="27"/>
      <c r="Y31" s="12"/>
      <c r="Z31" s="12"/>
      <c r="AA31" s="165"/>
      <c r="AB31" s="176"/>
      <c r="AC31" s="24"/>
      <c r="AD31" s="27"/>
      <c r="AE31" s="15"/>
      <c r="AF31" s="15"/>
      <c r="AG31" s="16"/>
      <c r="AH31" s="173"/>
      <c r="AI31" s="176"/>
      <c r="AJ31" s="27"/>
      <c r="AK31" s="27"/>
      <c r="AL31" s="27"/>
      <c r="AM31" s="15"/>
      <c r="AN31" s="15"/>
      <c r="AO31" s="173"/>
      <c r="AP31" s="176"/>
      <c r="AQ31" s="24"/>
      <c r="AR31" s="24"/>
      <c r="AS31" s="27"/>
      <c r="AT31" s="15"/>
      <c r="AU31" s="15"/>
      <c r="AV31" s="173"/>
      <c r="AW31" s="230"/>
      <c r="AX31" s="24"/>
      <c r="AY31" s="24"/>
      <c r="AZ31" s="27"/>
      <c r="BA31" s="15"/>
      <c r="BB31" s="15"/>
      <c r="BC31" s="173"/>
    </row>
    <row r="32" spans="1:55" ht="18" customHeight="1" x14ac:dyDescent="0.3">
      <c r="A32" s="5">
        <v>27</v>
      </c>
      <c r="B32" s="110"/>
      <c r="C32" s="149"/>
      <c r="D32" s="57"/>
      <c r="E32" s="57"/>
      <c r="F32" s="58"/>
      <c r="G32" s="159"/>
      <c r="H32" s="13"/>
      <c r="I32" s="13"/>
      <c r="J32" s="27"/>
      <c r="K32" s="12"/>
      <c r="L32" s="12"/>
      <c r="M32" s="165"/>
      <c r="N32" s="159"/>
      <c r="O32" s="13"/>
      <c r="P32" s="13"/>
      <c r="Q32" s="27"/>
      <c r="R32" s="12"/>
      <c r="S32" s="12"/>
      <c r="T32" s="165"/>
      <c r="U32" s="159"/>
      <c r="V32" s="13"/>
      <c r="W32" s="13"/>
      <c r="X32" s="27"/>
      <c r="Y32" s="12"/>
      <c r="Z32" s="12"/>
      <c r="AA32" s="165"/>
      <c r="AB32" s="176"/>
      <c r="AC32" s="24"/>
      <c r="AD32" s="27"/>
      <c r="AE32" s="15"/>
      <c r="AF32" s="15"/>
      <c r="AG32" s="16"/>
      <c r="AH32" s="173"/>
      <c r="AI32" s="176"/>
      <c r="AJ32" s="27"/>
      <c r="AK32" s="27"/>
      <c r="AL32" s="27"/>
      <c r="AM32" s="15"/>
      <c r="AN32" s="15"/>
      <c r="AO32" s="173"/>
      <c r="AP32" s="176"/>
      <c r="AQ32" s="24"/>
      <c r="AR32" s="24"/>
      <c r="AS32" s="27"/>
      <c r="AT32" s="15"/>
      <c r="AU32" s="15"/>
      <c r="AV32" s="173"/>
      <c r="AW32" s="230"/>
      <c r="AX32" s="24"/>
      <c r="AY32" s="24"/>
      <c r="AZ32" s="27"/>
      <c r="BA32" s="15"/>
      <c r="BB32" s="15"/>
      <c r="BC32" s="173"/>
    </row>
    <row r="33" spans="1:55" ht="18" customHeight="1" x14ac:dyDescent="0.3">
      <c r="A33" s="5">
        <v>28</v>
      </c>
      <c r="B33" s="111"/>
      <c r="C33" s="149"/>
      <c r="D33" s="57"/>
      <c r="E33" s="57"/>
      <c r="F33" s="58"/>
      <c r="G33" s="159"/>
      <c r="H33" s="13"/>
      <c r="I33" s="13"/>
      <c r="J33" s="27"/>
      <c r="K33" s="12"/>
      <c r="L33" s="12"/>
      <c r="M33" s="165"/>
      <c r="N33" s="159"/>
      <c r="O33" s="13"/>
      <c r="P33" s="13"/>
      <c r="Q33" s="27"/>
      <c r="R33" s="12"/>
      <c r="S33" s="12"/>
      <c r="T33" s="165"/>
      <c r="U33" s="159"/>
      <c r="V33" s="13"/>
      <c r="W33" s="13"/>
      <c r="X33" s="27"/>
      <c r="Y33" s="12"/>
      <c r="Z33" s="12"/>
      <c r="AA33" s="165"/>
      <c r="AB33" s="176"/>
      <c r="AC33" s="24"/>
      <c r="AD33" s="27"/>
      <c r="AE33" s="15"/>
      <c r="AF33" s="15"/>
      <c r="AG33" s="16"/>
      <c r="AH33" s="173"/>
      <c r="AI33" s="176"/>
      <c r="AJ33" s="27"/>
      <c r="AK33" s="27"/>
      <c r="AL33" s="27"/>
      <c r="AM33" s="15"/>
      <c r="AN33" s="15"/>
      <c r="AO33" s="173"/>
      <c r="AP33" s="176"/>
      <c r="AQ33" s="24"/>
      <c r="AR33" s="24"/>
      <c r="AS33" s="27"/>
      <c r="AT33" s="15"/>
      <c r="AU33" s="15"/>
      <c r="AV33" s="173"/>
      <c r="AW33" s="230"/>
      <c r="AX33" s="24"/>
      <c r="AY33" s="24"/>
      <c r="AZ33" s="27"/>
      <c r="BA33" s="15"/>
      <c r="BB33" s="15"/>
      <c r="BC33" s="173"/>
    </row>
    <row r="34" spans="1:55" ht="18" customHeight="1" x14ac:dyDescent="0.3">
      <c r="A34" s="5">
        <v>29</v>
      </c>
      <c r="B34" s="109"/>
      <c r="C34" s="149"/>
      <c r="D34" s="57"/>
      <c r="E34" s="57"/>
      <c r="F34" s="58"/>
      <c r="G34" s="159"/>
      <c r="H34" s="13"/>
      <c r="I34" s="13"/>
      <c r="J34" s="27"/>
      <c r="K34" s="12"/>
      <c r="L34" s="12"/>
      <c r="M34" s="165"/>
      <c r="N34" s="159"/>
      <c r="O34" s="13"/>
      <c r="P34" s="13"/>
      <c r="Q34" s="27"/>
      <c r="R34" s="12"/>
      <c r="S34" s="12"/>
      <c r="T34" s="165"/>
      <c r="U34" s="159"/>
      <c r="V34" s="13"/>
      <c r="W34" s="13"/>
      <c r="X34" s="27"/>
      <c r="Y34" s="12"/>
      <c r="Z34" s="12"/>
      <c r="AA34" s="165"/>
      <c r="AB34" s="176"/>
      <c r="AC34" s="24"/>
      <c r="AD34" s="27"/>
      <c r="AE34" s="15"/>
      <c r="AF34" s="15"/>
      <c r="AG34" s="16"/>
      <c r="AH34" s="173"/>
      <c r="AI34" s="176"/>
      <c r="AJ34" s="27"/>
      <c r="AK34" s="27"/>
      <c r="AL34" s="27"/>
      <c r="AM34" s="15"/>
      <c r="AN34" s="15"/>
      <c r="AO34" s="173"/>
      <c r="AP34" s="176"/>
      <c r="AQ34" s="24"/>
      <c r="AR34" s="24"/>
      <c r="AS34" s="27"/>
      <c r="AT34" s="15"/>
      <c r="AU34" s="15"/>
      <c r="AV34" s="173"/>
      <c r="AW34" s="230"/>
      <c r="AX34" s="24"/>
      <c r="AY34" s="24"/>
      <c r="AZ34" s="27"/>
      <c r="BA34" s="15"/>
      <c r="BB34" s="15"/>
      <c r="BC34" s="173"/>
    </row>
    <row r="35" spans="1:55" ht="18" customHeight="1" x14ac:dyDescent="0.3">
      <c r="A35" s="5">
        <v>30</v>
      </c>
      <c r="B35" s="109"/>
      <c r="C35" s="149"/>
      <c r="D35" s="57"/>
      <c r="E35" s="57"/>
      <c r="F35" s="58"/>
      <c r="G35" s="159"/>
      <c r="H35" s="13"/>
      <c r="I35" s="13"/>
      <c r="J35" s="27"/>
      <c r="K35" s="12"/>
      <c r="L35" s="12"/>
      <c r="M35" s="165"/>
      <c r="N35" s="159"/>
      <c r="O35" s="13"/>
      <c r="P35" s="13"/>
      <c r="Q35" s="27"/>
      <c r="R35" s="12"/>
      <c r="S35" s="12"/>
      <c r="T35" s="165"/>
      <c r="U35" s="159"/>
      <c r="V35" s="13"/>
      <c r="W35" s="13"/>
      <c r="X35" s="27"/>
      <c r="Y35" s="12"/>
      <c r="Z35" s="12"/>
      <c r="AA35" s="165"/>
      <c r="AB35" s="176"/>
      <c r="AC35" s="24"/>
      <c r="AD35" s="27"/>
      <c r="AE35" s="15"/>
      <c r="AF35" s="15"/>
      <c r="AG35" s="16"/>
      <c r="AH35" s="173"/>
      <c r="AI35" s="176"/>
      <c r="AJ35" s="27"/>
      <c r="AK35" s="27"/>
      <c r="AL35" s="27"/>
      <c r="AM35" s="15"/>
      <c r="AN35" s="15"/>
      <c r="AO35" s="173"/>
      <c r="AP35" s="176"/>
      <c r="AQ35" s="24"/>
      <c r="AR35" s="24"/>
      <c r="AS35" s="27"/>
      <c r="AT35" s="15"/>
      <c r="AU35" s="15"/>
      <c r="AV35" s="173"/>
      <c r="AW35" s="230"/>
      <c r="AX35" s="24"/>
      <c r="AY35" s="24"/>
      <c r="AZ35" s="27"/>
      <c r="BA35" s="15"/>
      <c r="BB35" s="15"/>
      <c r="BC35" s="173"/>
    </row>
    <row r="36" spans="1:55" ht="18" customHeight="1" x14ac:dyDescent="0.3">
      <c r="A36" s="5">
        <v>31</v>
      </c>
      <c r="B36" s="109"/>
      <c r="C36" s="149"/>
      <c r="D36" s="57"/>
      <c r="E36" s="57"/>
      <c r="F36" s="58"/>
      <c r="G36" s="159"/>
      <c r="H36" s="13"/>
      <c r="I36" s="13"/>
      <c r="J36" s="27"/>
      <c r="K36" s="12"/>
      <c r="L36" s="12"/>
      <c r="M36" s="165"/>
      <c r="N36" s="159"/>
      <c r="O36" s="13"/>
      <c r="P36" s="13"/>
      <c r="Q36" s="27"/>
      <c r="R36" s="12"/>
      <c r="S36" s="12"/>
      <c r="T36" s="165"/>
      <c r="U36" s="159"/>
      <c r="V36" s="13"/>
      <c r="W36" s="13"/>
      <c r="X36" s="27"/>
      <c r="Y36" s="12"/>
      <c r="Z36" s="12"/>
      <c r="AA36" s="165"/>
      <c r="AB36" s="176"/>
      <c r="AC36" s="24"/>
      <c r="AD36" s="27"/>
      <c r="AE36" s="15"/>
      <c r="AF36" s="15"/>
      <c r="AG36" s="16"/>
      <c r="AH36" s="173"/>
      <c r="AI36" s="176"/>
      <c r="AJ36" s="27"/>
      <c r="AK36" s="27"/>
      <c r="AL36" s="27"/>
      <c r="AM36" s="15"/>
      <c r="AN36" s="15"/>
      <c r="AO36" s="173"/>
      <c r="AP36" s="176"/>
      <c r="AQ36" s="24"/>
      <c r="AR36" s="24"/>
      <c r="AS36" s="27"/>
      <c r="AT36" s="15"/>
      <c r="AU36" s="15"/>
      <c r="AV36" s="173"/>
      <c r="AW36" s="230"/>
      <c r="AX36" s="24"/>
      <c r="AY36" s="24"/>
      <c r="AZ36" s="27"/>
      <c r="BA36" s="15"/>
      <c r="BB36" s="15"/>
      <c r="BC36" s="173"/>
    </row>
    <row r="37" spans="1:55" ht="18" customHeight="1" x14ac:dyDescent="0.3">
      <c r="A37" s="5">
        <v>32</v>
      </c>
      <c r="B37" s="110"/>
      <c r="C37" s="149"/>
      <c r="D37" s="57"/>
      <c r="E37" s="57"/>
      <c r="F37" s="58"/>
      <c r="G37" s="160"/>
      <c r="H37" s="37"/>
      <c r="I37" s="37"/>
      <c r="J37" s="27"/>
      <c r="K37" s="36"/>
      <c r="L37" s="36"/>
      <c r="M37" s="167"/>
      <c r="N37" s="160"/>
      <c r="O37" s="37"/>
      <c r="P37" s="37"/>
      <c r="Q37" s="27"/>
      <c r="R37" s="36"/>
      <c r="S37" s="36"/>
      <c r="T37" s="167"/>
      <c r="U37" s="160"/>
      <c r="V37" s="37"/>
      <c r="W37" s="37"/>
      <c r="X37" s="27"/>
      <c r="Y37" s="36"/>
      <c r="Z37" s="36"/>
      <c r="AA37" s="167"/>
      <c r="AB37" s="176"/>
      <c r="AC37" s="24"/>
      <c r="AD37" s="27"/>
      <c r="AE37" s="15"/>
      <c r="AF37" s="15"/>
      <c r="AG37" s="16"/>
      <c r="AH37" s="173"/>
      <c r="AI37" s="176"/>
      <c r="AJ37" s="27"/>
      <c r="AK37" s="27"/>
      <c r="AL37" s="27"/>
      <c r="AM37" s="15"/>
      <c r="AN37" s="15"/>
      <c r="AO37" s="173"/>
      <c r="AP37" s="176"/>
      <c r="AQ37" s="24"/>
      <c r="AR37" s="24"/>
      <c r="AS37" s="27"/>
      <c r="AT37" s="15"/>
      <c r="AU37" s="15"/>
      <c r="AV37" s="173"/>
      <c r="AW37" s="230"/>
      <c r="AX37" s="24"/>
      <c r="AY37" s="24"/>
      <c r="AZ37" s="27"/>
      <c r="BA37" s="15"/>
      <c r="BB37" s="15"/>
      <c r="BC37" s="173"/>
    </row>
    <row r="38" spans="1:55" ht="18" customHeight="1" x14ac:dyDescent="0.3">
      <c r="A38" s="5">
        <v>33</v>
      </c>
      <c r="B38" s="111"/>
      <c r="C38" s="149"/>
      <c r="D38" s="57"/>
      <c r="E38" s="57"/>
      <c r="F38" s="58"/>
      <c r="G38" s="159"/>
      <c r="H38" s="13"/>
      <c r="I38" s="13"/>
      <c r="J38" s="27"/>
      <c r="K38" s="12"/>
      <c r="L38" s="12"/>
      <c r="M38" s="165"/>
      <c r="N38" s="159"/>
      <c r="O38" s="13"/>
      <c r="P38" s="13"/>
      <c r="Q38" s="27"/>
      <c r="R38" s="12"/>
      <c r="S38" s="12"/>
      <c r="T38" s="165"/>
      <c r="U38" s="159"/>
      <c r="V38" s="13"/>
      <c r="W38" s="13"/>
      <c r="X38" s="27"/>
      <c r="Y38" s="12"/>
      <c r="Z38" s="12"/>
      <c r="AA38" s="165"/>
      <c r="AB38" s="176"/>
      <c r="AC38" s="24"/>
      <c r="AD38" s="27"/>
      <c r="AE38" s="15"/>
      <c r="AF38" s="15"/>
      <c r="AG38" s="16"/>
      <c r="AH38" s="173"/>
      <c r="AI38" s="176"/>
      <c r="AJ38" s="27"/>
      <c r="AK38" s="27"/>
      <c r="AL38" s="27"/>
      <c r="AM38" s="15"/>
      <c r="AN38" s="15"/>
      <c r="AO38" s="173"/>
      <c r="AP38" s="176"/>
      <c r="AQ38" s="24"/>
      <c r="AR38" s="24"/>
      <c r="AS38" s="27"/>
      <c r="AT38" s="15"/>
      <c r="AU38" s="15"/>
      <c r="AV38" s="173"/>
      <c r="AW38" s="230"/>
      <c r="AX38" s="24"/>
      <c r="AY38" s="24"/>
      <c r="AZ38" s="27"/>
      <c r="BA38" s="15"/>
      <c r="BB38" s="15"/>
      <c r="BC38" s="173"/>
    </row>
    <row r="39" spans="1:55" ht="18" customHeight="1" x14ac:dyDescent="0.3">
      <c r="A39" s="5">
        <v>34</v>
      </c>
      <c r="B39" s="109"/>
      <c r="C39" s="149"/>
      <c r="D39" s="57"/>
      <c r="E39" s="57"/>
      <c r="F39" s="58"/>
      <c r="G39" s="159"/>
      <c r="H39" s="13"/>
      <c r="I39" s="13"/>
      <c r="J39" s="27"/>
      <c r="K39" s="12"/>
      <c r="L39" s="12"/>
      <c r="M39" s="165"/>
      <c r="N39" s="159"/>
      <c r="O39" s="13"/>
      <c r="P39" s="13"/>
      <c r="Q39" s="27"/>
      <c r="R39" s="12"/>
      <c r="S39" s="12"/>
      <c r="T39" s="165"/>
      <c r="U39" s="159"/>
      <c r="V39" s="13"/>
      <c r="W39" s="13"/>
      <c r="X39" s="27"/>
      <c r="Y39" s="12"/>
      <c r="Z39" s="12"/>
      <c r="AA39" s="165"/>
      <c r="AB39" s="176"/>
      <c r="AC39" s="24"/>
      <c r="AD39" s="27"/>
      <c r="AE39" s="15"/>
      <c r="AF39" s="15"/>
      <c r="AG39" s="16"/>
      <c r="AH39" s="173"/>
      <c r="AI39" s="176"/>
      <c r="AJ39" s="27"/>
      <c r="AK39" s="27"/>
      <c r="AL39" s="27"/>
      <c r="AM39" s="15"/>
      <c r="AN39" s="15"/>
      <c r="AO39" s="173"/>
      <c r="AP39" s="176"/>
      <c r="AQ39" s="24"/>
      <c r="AR39" s="24"/>
      <c r="AS39" s="27"/>
      <c r="AT39" s="15"/>
      <c r="AU39" s="15"/>
      <c r="AV39" s="173"/>
      <c r="AW39" s="230"/>
      <c r="AX39" s="24"/>
      <c r="AY39" s="24"/>
      <c r="AZ39" s="27"/>
      <c r="BA39" s="15"/>
      <c r="BB39" s="15"/>
      <c r="BC39" s="173"/>
    </row>
    <row r="40" spans="1:55" ht="18" customHeight="1" thickBot="1" x14ac:dyDescent="0.35">
      <c r="A40" s="5">
        <v>35</v>
      </c>
      <c r="B40" s="109"/>
      <c r="C40" s="149"/>
      <c r="D40" s="57"/>
      <c r="E40" s="57"/>
      <c r="F40" s="58"/>
      <c r="G40" s="159"/>
      <c r="H40" s="13"/>
      <c r="I40" s="13"/>
      <c r="J40" s="27"/>
      <c r="K40" s="12"/>
      <c r="L40" s="12"/>
      <c r="M40" s="165"/>
      <c r="N40" s="159"/>
      <c r="O40" s="13"/>
      <c r="P40" s="13"/>
      <c r="Q40" s="27"/>
      <c r="R40" s="12"/>
      <c r="S40" s="12"/>
      <c r="T40" s="165"/>
      <c r="U40" s="159"/>
      <c r="V40" s="13"/>
      <c r="W40" s="13"/>
      <c r="X40" s="27"/>
      <c r="Y40" s="12"/>
      <c r="Z40" s="12"/>
      <c r="AA40" s="165"/>
      <c r="AB40" s="176"/>
      <c r="AC40" s="24"/>
      <c r="AD40" s="27"/>
      <c r="AE40" s="15"/>
      <c r="AF40" s="15"/>
      <c r="AG40" s="16"/>
      <c r="AH40" s="173"/>
      <c r="AI40" s="176"/>
      <c r="AJ40" s="27"/>
      <c r="AK40" s="27"/>
      <c r="AL40" s="27"/>
      <c r="AM40" s="15"/>
      <c r="AN40" s="15"/>
      <c r="AO40" s="173"/>
      <c r="AP40" s="176"/>
      <c r="AQ40" s="24"/>
      <c r="AR40" s="24"/>
      <c r="AS40" s="27"/>
      <c r="AT40" s="15"/>
      <c r="AU40" s="15"/>
      <c r="AV40" s="173"/>
      <c r="AW40" s="231"/>
      <c r="AX40" s="232"/>
      <c r="AY40" s="232"/>
      <c r="AZ40" s="233"/>
      <c r="BA40" s="234"/>
      <c r="BB40" s="234"/>
      <c r="BC40" s="235"/>
    </row>
  </sheetData>
  <mergeCells count="23">
    <mergeCell ref="S1:T1"/>
    <mergeCell ref="BB1:BC1"/>
    <mergeCell ref="A2:A5"/>
    <mergeCell ref="B2:B5"/>
    <mergeCell ref="C2:C5"/>
    <mergeCell ref="D2:F2"/>
    <mergeCell ref="G2:M2"/>
    <mergeCell ref="N2:T2"/>
    <mergeCell ref="U2:AA2"/>
    <mergeCell ref="AB2:AH2"/>
    <mergeCell ref="AW3:BC3"/>
    <mergeCell ref="D4:F4"/>
    <mergeCell ref="D5:F5"/>
    <mergeCell ref="AI2:AO2"/>
    <mergeCell ref="AP2:AV2"/>
    <mergeCell ref="AW2:BC2"/>
    <mergeCell ref="AI3:AO3"/>
    <mergeCell ref="AP3:AV3"/>
    <mergeCell ref="D3:F3"/>
    <mergeCell ref="G3:M3"/>
    <mergeCell ref="N3:T3"/>
    <mergeCell ref="U3:AA3"/>
    <mergeCell ref="AB3:AH3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C40"/>
  <sheetViews>
    <sheetView view="pageBreakPreview" zoomScale="120" zoomScaleNormal="150" zoomScaleSheetLayoutView="120" workbookViewId="0">
      <selection activeCell="G17" sqref="G17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56" max="16384" width="9.125" style="1"/>
  </cols>
  <sheetData>
    <row r="1" spans="1:55" ht="18" customHeight="1" thickBot="1" x14ac:dyDescent="0.4">
      <c r="A1" s="53"/>
      <c r="S1" s="455"/>
      <c r="T1" s="455"/>
      <c r="AA1" s="7"/>
      <c r="BB1" s="448">
        <v>6</v>
      </c>
      <c r="BC1" s="448"/>
    </row>
    <row r="2" spans="1:55" ht="18" customHeight="1" thickBot="1" x14ac:dyDescent="0.35">
      <c r="A2" s="431" t="s">
        <v>27</v>
      </c>
      <c r="B2" s="434" t="s">
        <v>28</v>
      </c>
      <c r="C2" s="436" t="s">
        <v>29</v>
      </c>
      <c r="D2" s="439" t="s">
        <v>30</v>
      </c>
      <c r="E2" s="440"/>
      <c r="F2" s="441"/>
      <c r="G2" s="452" t="s">
        <v>219</v>
      </c>
      <c r="H2" s="453"/>
      <c r="I2" s="453"/>
      <c r="J2" s="453"/>
      <c r="K2" s="453"/>
      <c r="L2" s="453"/>
      <c r="M2" s="454"/>
      <c r="N2" s="452" t="s">
        <v>220</v>
      </c>
      <c r="O2" s="453"/>
      <c r="P2" s="453"/>
      <c r="Q2" s="453"/>
      <c r="R2" s="453"/>
      <c r="S2" s="453"/>
      <c r="T2" s="454"/>
      <c r="U2" s="452" t="s">
        <v>221</v>
      </c>
      <c r="V2" s="453"/>
      <c r="W2" s="453"/>
      <c r="X2" s="453"/>
      <c r="Y2" s="453"/>
      <c r="Z2" s="453"/>
      <c r="AA2" s="454"/>
      <c r="AB2" s="456" t="s">
        <v>221</v>
      </c>
      <c r="AC2" s="457"/>
      <c r="AD2" s="457"/>
      <c r="AE2" s="457"/>
      <c r="AF2" s="457"/>
      <c r="AG2" s="457"/>
      <c r="AH2" s="458"/>
      <c r="AI2" s="456" t="s">
        <v>221</v>
      </c>
      <c r="AJ2" s="457"/>
      <c r="AK2" s="457"/>
      <c r="AL2" s="457"/>
      <c r="AM2" s="457"/>
      <c r="AN2" s="457"/>
      <c r="AO2" s="458"/>
      <c r="AP2" s="456" t="s">
        <v>221</v>
      </c>
      <c r="AQ2" s="457"/>
      <c r="AR2" s="457"/>
      <c r="AS2" s="457"/>
      <c r="AT2" s="457"/>
      <c r="AU2" s="457"/>
      <c r="AV2" s="458"/>
      <c r="AW2" s="456" t="s">
        <v>235</v>
      </c>
      <c r="AX2" s="457"/>
      <c r="AY2" s="457"/>
      <c r="AZ2" s="457"/>
      <c r="BA2" s="457"/>
      <c r="BB2" s="457"/>
      <c r="BC2" s="458"/>
    </row>
    <row r="3" spans="1:55" ht="18" customHeight="1" thickBot="1" x14ac:dyDescent="0.35">
      <c r="A3" s="432"/>
      <c r="B3" s="435"/>
      <c r="C3" s="437"/>
      <c r="D3" s="442" t="s">
        <v>31</v>
      </c>
      <c r="E3" s="443"/>
      <c r="F3" s="444"/>
      <c r="G3" s="449">
        <v>8</v>
      </c>
      <c r="H3" s="450"/>
      <c r="I3" s="450"/>
      <c r="J3" s="450"/>
      <c r="K3" s="450"/>
      <c r="L3" s="450"/>
      <c r="M3" s="451"/>
      <c r="N3" s="449">
        <v>9</v>
      </c>
      <c r="O3" s="450"/>
      <c r="P3" s="450"/>
      <c r="Q3" s="450"/>
      <c r="R3" s="450"/>
      <c r="S3" s="450"/>
      <c r="T3" s="451"/>
      <c r="U3" s="449">
        <v>10</v>
      </c>
      <c r="V3" s="450"/>
      <c r="W3" s="450"/>
      <c r="X3" s="450"/>
      <c r="Y3" s="450"/>
      <c r="Z3" s="450"/>
      <c r="AA3" s="451"/>
      <c r="AB3" s="460">
        <v>11</v>
      </c>
      <c r="AC3" s="460"/>
      <c r="AD3" s="461"/>
      <c r="AE3" s="461"/>
      <c r="AF3" s="461"/>
      <c r="AG3" s="462"/>
      <c r="AH3" s="463"/>
      <c r="AI3" s="464">
        <v>12</v>
      </c>
      <c r="AJ3" s="461"/>
      <c r="AK3" s="461"/>
      <c r="AL3" s="461"/>
      <c r="AM3" s="461"/>
      <c r="AN3" s="461"/>
      <c r="AO3" s="462"/>
      <c r="AP3" s="464">
        <v>13</v>
      </c>
      <c r="AQ3" s="460"/>
      <c r="AR3" s="460"/>
      <c r="AS3" s="461"/>
      <c r="AT3" s="461"/>
      <c r="AU3" s="461"/>
      <c r="AV3" s="463"/>
      <c r="AW3" s="464">
        <v>14</v>
      </c>
      <c r="AX3" s="460"/>
      <c r="AY3" s="460"/>
      <c r="AZ3" s="461"/>
      <c r="BA3" s="461"/>
      <c r="BB3" s="461"/>
      <c r="BC3" s="463"/>
    </row>
    <row r="4" spans="1:55" ht="18" customHeight="1" x14ac:dyDescent="0.3">
      <c r="A4" s="432"/>
      <c r="B4" s="435"/>
      <c r="C4" s="437"/>
      <c r="D4" s="442" t="s">
        <v>32</v>
      </c>
      <c r="E4" s="443"/>
      <c r="F4" s="444"/>
      <c r="G4" s="157">
        <v>20</v>
      </c>
      <c r="H4" s="155">
        <v>21</v>
      </c>
      <c r="I4" s="155">
        <v>22</v>
      </c>
      <c r="J4" s="10">
        <v>23</v>
      </c>
      <c r="K4" s="10">
        <v>24</v>
      </c>
      <c r="L4" s="10">
        <v>25</v>
      </c>
      <c r="M4" s="162">
        <v>26</v>
      </c>
      <c r="N4" s="157">
        <v>27</v>
      </c>
      <c r="O4" s="155">
        <v>28</v>
      </c>
      <c r="P4" s="155">
        <v>29</v>
      </c>
      <c r="Q4" s="10">
        <v>30</v>
      </c>
      <c r="R4" s="10">
        <v>31</v>
      </c>
      <c r="S4" s="10">
        <v>1</v>
      </c>
      <c r="T4" s="162">
        <v>2</v>
      </c>
      <c r="U4" s="157">
        <v>3</v>
      </c>
      <c r="V4" s="155">
        <v>4</v>
      </c>
      <c r="W4" s="155">
        <v>5</v>
      </c>
      <c r="X4" s="10">
        <v>6</v>
      </c>
      <c r="Y4" s="10">
        <v>7</v>
      </c>
      <c r="Z4" s="10">
        <v>8</v>
      </c>
      <c r="AA4" s="162">
        <v>9</v>
      </c>
      <c r="AB4" s="157">
        <v>10</v>
      </c>
      <c r="AC4" s="156">
        <v>11</v>
      </c>
      <c r="AD4" s="123">
        <v>12</v>
      </c>
      <c r="AE4" s="123">
        <v>13</v>
      </c>
      <c r="AF4" s="123">
        <v>14</v>
      </c>
      <c r="AG4" s="123">
        <v>15</v>
      </c>
      <c r="AH4" s="162">
        <v>16</v>
      </c>
      <c r="AI4" s="157">
        <v>17</v>
      </c>
      <c r="AJ4" s="123">
        <v>18</v>
      </c>
      <c r="AK4" s="123">
        <v>19</v>
      </c>
      <c r="AL4" s="123">
        <v>20</v>
      </c>
      <c r="AM4" s="123">
        <v>21</v>
      </c>
      <c r="AN4" s="123">
        <v>22</v>
      </c>
      <c r="AO4" s="162">
        <v>23</v>
      </c>
      <c r="AP4" s="157">
        <v>24</v>
      </c>
      <c r="AQ4" s="156">
        <v>25</v>
      </c>
      <c r="AR4" s="156">
        <v>26</v>
      </c>
      <c r="AS4" s="123">
        <v>27</v>
      </c>
      <c r="AT4" s="123">
        <v>28</v>
      </c>
      <c r="AU4" s="123">
        <v>29</v>
      </c>
      <c r="AV4" s="162">
        <v>30</v>
      </c>
      <c r="AW4" s="157">
        <v>31</v>
      </c>
      <c r="AX4" s="156">
        <v>1</v>
      </c>
      <c r="AY4" s="156">
        <v>2</v>
      </c>
      <c r="AZ4" s="123">
        <v>3</v>
      </c>
      <c r="BA4" s="123">
        <v>4</v>
      </c>
      <c r="BB4" s="123">
        <v>5</v>
      </c>
      <c r="BC4" s="228">
        <v>6</v>
      </c>
    </row>
    <row r="5" spans="1:55" ht="18" customHeight="1" thickBot="1" x14ac:dyDescent="0.35">
      <c r="A5" s="433"/>
      <c r="B5" s="459"/>
      <c r="C5" s="438"/>
      <c r="D5" s="445" t="s">
        <v>33</v>
      </c>
      <c r="E5" s="446"/>
      <c r="F5" s="447"/>
      <c r="G5" s="249"/>
      <c r="H5" s="250"/>
      <c r="I5" s="250"/>
      <c r="J5" s="251"/>
      <c r="K5" s="251"/>
      <c r="L5" s="251"/>
      <c r="M5" s="252"/>
      <c r="N5" s="249"/>
      <c r="O5" s="250"/>
      <c r="P5" s="250"/>
      <c r="Q5" s="251"/>
      <c r="R5" s="251"/>
      <c r="S5" s="251"/>
      <c r="T5" s="252"/>
      <c r="U5" s="249"/>
      <c r="V5" s="250"/>
      <c r="W5" s="250"/>
      <c r="X5" s="251"/>
      <c r="Y5" s="251"/>
      <c r="Z5" s="251"/>
      <c r="AA5" s="252"/>
      <c r="AB5" s="246"/>
      <c r="AC5" s="256"/>
      <c r="AD5" s="257"/>
      <c r="AE5" s="258"/>
      <c r="AF5" s="258"/>
      <c r="AG5" s="258"/>
      <c r="AH5" s="248"/>
      <c r="AI5" s="246"/>
      <c r="AJ5" s="257"/>
      <c r="AK5" s="258"/>
      <c r="AL5" s="258"/>
      <c r="AM5" s="258"/>
      <c r="AN5" s="258"/>
      <c r="AO5" s="248"/>
      <c r="AP5" s="246"/>
      <c r="AQ5" s="256"/>
      <c r="AR5" s="256"/>
      <c r="AS5" s="257"/>
      <c r="AT5" s="258"/>
      <c r="AU5" s="258"/>
      <c r="AV5" s="248"/>
      <c r="AW5" s="246"/>
      <c r="AX5" s="256"/>
      <c r="AY5" s="256"/>
      <c r="AZ5" s="257"/>
      <c r="BA5" s="258"/>
      <c r="BB5" s="258"/>
      <c r="BC5" s="259"/>
    </row>
    <row r="6" spans="1:55" ht="18" customHeight="1" x14ac:dyDescent="0.3">
      <c r="A6" s="3">
        <v>1</v>
      </c>
      <c r="B6" s="150">
        <f>'เวลาเรียน (2)'!B6</f>
        <v>4997</v>
      </c>
      <c r="C6" s="149" t="str">
        <f>'เวลาเรียน (2)'!C6</f>
        <v>เด็กชายธนาธร    กิติกาแดง</v>
      </c>
      <c r="D6" s="55"/>
      <c r="E6" s="55"/>
      <c r="F6" s="56"/>
      <c r="G6" s="158"/>
      <c r="H6" s="351"/>
      <c r="I6" s="351"/>
      <c r="J6" s="351"/>
      <c r="K6" s="351"/>
      <c r="L6" s="127"/>
      <c r="M6" s="163"/>
      <c r="N6" s="158"/>
      <c r="O6" s="351"/>
      <c r="P6" s="351"/>
      <c r="Q6" s="351"/>
      <c r="R6" s="351"/>
      <c r="S6" s="127"/>
      <c r="T6" s="163"/>
      <c r="U6" s="158"/>
      <c r="V6" s="351"/>
      <c r="W6" s="351"/>
      <c r="X6" s="351"/>
      <c r="Y6" s="351"/>
      <c r="Z6" s="127"/>
      <c r="AA6" s="163"/>
      <c r="AB6" s="175"/>
      <c r="AC6" s="351"/>
      <c r="AD6" s="351"/>
      <c r="AE6" s="351"/>
      <c r="AF6" s="351"/>
      <c r="AG6" s="127"/>
      <c r="AH6" s="173"/>
      <c r="AI6" s="175"/>
      <c r="AJ6" s="351"/>
      <c r="AK6" s="351"/>
      <c r="AL6" s="351"/>
      <c r="AM6" s="351"/>
      <c r="AN6" s="127"/>
      <c r="AO6" s="173"/>
      <c r="AP6" s="175"/>
      <c r="AQ6" s="351"/>
      <c r="AR6" s="351"/>
      <c r="AS6" s="351"/>
      <c r="AT6" s="351"/>
      <c r="AU6" s="127"/>
      <c r="AV6" s="173"/>
      <c r="AW6" s="229"/>
      <c r="AX6" s="351"/>
      <c r="AY6" s="351"/>
      <c r="AZ6" s="351"/>
      <c r="BA6" s="351"/>
      <c r="BB6" s="127"/>
      <c r="BC6" s="173"/>
    </row>
    <row r="7" spans="1:55" ht="18" customHeight="1" x14ac:dyDescent="0.3">
      <c r="A7" s="5">
        <v>2</v>
      </c>
      <c r="B7" s="151">
        <f>'เวลาเรียน (2)'!B7</f>
        <v>4998</v>
      </c>
      <c r="C7" s="149" t="str">
        <f>'เวลาเรียน (2)'!C7</f>
        <v>เด็กชายนิรวุฒิ  วันทอง</v>
      </c>
      <c r="D7" s="57"/>
      <c r="E7" s="57"/>
      <c r="F7" s="58"/>
      <c r="G7" s="159"/>
      <c r="H7" s="357"/>
      <c r="I7" s="357"/>
      <c r="J7" s="357"/>
      <c r="K7" s="357"/>
      <c r="L7" s="27"/>
      <c r="M7" s="165"/>
      <c r="N7" s="159"/>
      <c r="O7" s="357"/>
      <c r="P7" s="357"/>
      <c r="Q7" s="357"/>
      <c r="R7" s="357"/>
      <c r="S7" s="27"/>
      <c r="T7" s="165"/>
      <c r="U7" s="159"/>
      <c r="V7" s="357"/>
      <c r="W7" s="357"/>
      <c r="X7" s="357"/>
      <c r="Y7" s="357"/>
      <c r="Z7" s="27"/>
      <c r="AA7" s="165"/>
      <c r="AB7" s="176"/>
      <c r="AC7" s="357"/>
      <c r="AD7" s="357"/>
      <c r="AE7" s="357"/>
      <c r="AF7" s="357"/>
      <c r="AG7" s="27"/>
      <c r="AH7" s="173"/>
      <c r="AI7" s="176"/>
      <c r="AJ7" s="357"/>
      <c r="AK7" s="357"/>
      <c r="AL7" s="357"/>
      <c r="AM7" s="357"/>
      <c r="AN7" s="27"/>
      <c r="AO7" s="173"/>
      <c r="AP7" s="176"/>
      <c r="AQ7" s="357"/>
      <c r="AR7" s="357"/>
      <c r="AS7" s="357"/>
      <c r="AT7" s="357"/>
      <c r="AU7" s="27"/>
      <c r="AV7" s="173"/>
      <c r="AW7" s="230"/>
      <c r="AX7" s="357"/>
      <c r="AY7" s="357"/>
      <c r="AZ7" s="357"/>
      <c r="BA7" s="357"/>
      <c r="BB7" s="27"/>
      <c r="BC7" s="173"/>
    </row>
    <row r="8" spans="1:55" ht="18" customHeight="1" x14ac:dyDescent="0.3">
      <c r="A8" s="5">
        <v>3</v>
      </c>
      <c r="B8" s="151">
        <f>'เวลาเรียน (2)'!B8</f>
        <v>4999</v>
      </c>
      <c r="C8" s="149" t="str">
        <f>'เวลาเรียน (2)'!C8</f>
        <v>เด็กชายศรันยู  รัตนมงคล</v>
      </c>
      <c r="D8" s="57"/>
      <c r="E8" s="57"/>
      <c r="F8" s="58"/>
      <c r="G8" s="159"/>
      <c r="H8" s="357"/>
      <c r="I8" s="357"/>
      <c r="J8" s="357"/>
      <c r="K8" s="357"/>
      <c r="L8" s="27"/>
      <c r="M8" s="165"/>
      <c r="N8" s="159"/>
      <c r="O8" s="357"/>
      <c r="P8" s="357"/>
      <c r="Q8" s="357"/>
      <c r="R8" s="357"/>
      <c r="S8" s="27"/>
      <c r="T8" s="165"/>
      <c r="U8" s="159"/>
      <c r="V8" s="357"/>
      <c r="W8" s="357"/>
      <c r="X8" s="357"/>
      <c r="Y8" s="357"/>
      <c r="Z8" s="27"/>
      <c r="AA8" s="165"/>
      <c r="AB8" s="176"/>
      <c r="AC8" s="357"/>
      <c r="AD8" s="357"/>
      <c r="AE8" s="357"/>
      <c r="AF8" s="357"/>
      <c r="AG8" s="27"/>
      <c r="AH8" s="173"/>
      <c r="AI8" s="176"/>
      <c r="AJ8" s="357"/>
      <c r="AK8" s="357"/>
      <c r="AL8" s="357"/>
      <c r="AM8" s="357"/>
      <c r="AN8" s="27"/>
      <c r="AO8" s="173"/>
      <c r="AP8" s="176"/>
      <c r="AQ8" s="357"/>
      <c r="AR8" s="357"/>
      <c r="AS8" s="357"/>
      <c r="AT8" s="357"/>
      <c r="AU8" s="27"/>
      <c r="AV8" s="173"/>
      <c r="AW8" s="230"/>
      <c r="AX8" s="357"/>
      <c r="AY8" s="357"/>
      <c r="AZ8" s="357"/>
      <c r="BA8" s="357"/>
      <c r="BB8" s="27"/>
      <c r="BC8" s="173"/>
    </row>
    <row r="9" spans="1:55" ht="18" customHeight="1" x14ac:dyDescent="0.3">
      <c r="A9" s="5">
        <v>4</v>
      </c>
      <c r="B9" s="151">
        <f>'เวลาเรียน (2)'!B9</f>
        <v>5000</v>
      </c>
      <c r="C9" s="149" t="str">
        <f>'เวลาเรียน (2)'!C9</f>
        <v>เด็กชายสิรธีร์  เวียงอินทร์</v>
      </c>
      <c r="D9" s="57"/>
      <c r="E9" s="57"/>
      <c r="F9" s="58"/>
      <c r="G9" s="159"/>
      <c r="H9" s="357"/>
      <c r="I9" s="357"/>
      <c r="J9" s="357"/>
      <c r="K9" s="357"/>
      <c r="L9" s="27"/>
      <c r="M9" s="165"/>
      <c r="N9" s="159"/>
      <c r="O9" s="357"/>
      <c r="P9" s="357"/>
      <c r="Q9" s="357"/>
      <c r="R9" s="357"/>
      <c r="S9" s="27"/>
      <c r="T9" s="165"/>
      <c r="U9" s="159"/>
      <c r="V9" s="357"/>
      <c r="W9" s="357"/>
      <c r="X9" s="357"/>
      <c r="Y9" s="357"/>
      <c r="Z9" s="27"/>
      <c r="AA9" s="165"/>
      <c r="AB9" s="176"/>
      <c r="AC9" s="357"/>
      <c r="AD9" s="357"/>
      <c r="AE9" s="357"/>
      <c r="AF9" s="357"/>
      <c r="AG9" s="27"/>
      <c r="AH9" s="173"/>
      <c r="AI9" s="176"/>
      <c r="AJ9" s="357"/>
      <c r="AK9" s="357"/>
      <c r="AL9" s="357"/>
      <c r="AM9" s="357"/>
      <c r="AN9" s="27"/>
      <c r="AO9" s="173"/>
      <c r="AP9" s="176"/>
      <c r="AQ9" s="357"/>
      <c r="AR9" s="357"/>
      <c r="AS9" s="357"/>
      <c r="AT9" s="357"/>
      <c r="AU9" s="27"/>
      <c r="AV9" s="173"/>
      <c r="AW9" s="230"/>
      <c r="AX9" s="357"/>
      <c r="AY9" s="357"/>
      <c r="AZ9" s="357"/>
      <c r="BA9" s="357"/>
      <c r="BB9" s="27"/>
      <c r="BC9" s="173"/>
    </row>
    <row r="10" spans="1:55" ht="18" customHeight="1" x14ac:dyDescent="0.3">
      <c r="A10" s="5">
        <v>5</v>
      </c>
      <c r="B10" s="151">
        <f>'เวลาเรียน (2)'!B10</f>
        <v>5001</v>
      </c>
      <c r="C10" s="149" t="str">
        <f>'เวลาเรียน (2)'!C10</f>
        <v>เด็กหญิงจิรภิญญา  เขื่อนพงษ์</v>
      </c>
      <c r="D10" s="57"/>
      <c r="E10" s="57"/>
      <c r="F10" s="58"/>
      <c r="G10" s="159"/>
      <c r="H10" s="357"/>
      <c r="I10" s="357"/>
      <c r="J10" s="357"/>
      <c r="K10" s="357"/>
      <c r="L10" s="27"/>
      <c r="M10" s="165"/>
      <c r="N10" s="159"/>
      <c r="O10" s="357"/>
      <c r="P10" s="357"/>
      <c r="Q10" s="357"/>
      <c r="R10" s="357"/>
      <c r="S10" s="27"/>
      <c r="T10" s="165"/>
      <c r="U10" s="159"/>
      <c r="V10" s="357"/>
      <c r="W10" s="357"/>
      <c r="X10" s="357"/>
      <c r="Y10" s="357"/>
      <c r="Z10" s="27"/>
      <c r="AA10" s="165"/>
      <c r="AB10" s="176"/>
      <c r="AC10" s="357"/>
      <c r="AD10" s="357"/>
      <c r="AE10" s="357"/>
      <c r="AF10" s="357"/>
      <c r="AG10" s="27"/>
      <c r="AH10" s="173"/>
      <c r="AI10" s="176"/>
      <c r="AJ10" s="357"/>
      <c r="AK10" s="357"/>
      <c r="AL10" s="357"/>
      <c r="AM10" s="357"/>
      <c r="AN10" s="27"/>
      <c r="AO10" s="173"/>
      <c r="AP10" s="176"/>
      <c r="AQ10" s="357"/>
      <c r="AR10" s="357"/>
      <c r="AS10" s="357"/>
      <c r="AT10" s="357"/>
      <c r="AU10" s="27"/>
      <c r="AV10" s="173"/>
      <c r="AW10" s="230"/>
      <c r="AX10" s="357"/>
      <c r="AY10" s="357"/>
      <c r="AZ10" s="357"/>
      <c r="BA10" s="357"/>
      <c r="BB10" s="27"/>
      <c r="BC10" s="173"/>
    </row>
    <row r="11" spans="1:55" ht="18" customHeight="1" x14ac:dyDescent="0.3">
      <c r="A11" s="5">
        <v>6</v>
      </c>
      <c r="B11" s="151">
        <f>'เวลาเรียน (2)'!B11</f>
        <v>5002</v>
      </c>
      <c r="C11" s="149" t="str">
        <f>'เวลาเรียน (2)'!C11</f>
        <v>เด็กหญิงภคพร  วงค์สา</v>
      </c>
      <c r="D11" s="57"/>
      <c r="E11" s="57"/>
      <c r="F11" s="58"/>
      <c r="G11" s="159"/>
      <c r="H11" s="357"/>
      <c r="I11" s="357"/>
      <c r="J11" s="357"/>
      <c r="K11" s="357"/>
      <c r="L11" s="27"/>
      <c r="M11" s="165"/>
      <c r="N11" s="159"/>
      <c r="O11" s="357"/>
      <c r="P11" s="357"/>
      <c r="Q11" s="357"/>
      <c r="R11" s="357"/>
      <c r="S11" s="27"/>
      <c r="T11" s="165"/>
      <c r="U11" s="159"/>
      <c r="V11" s="357"/>
      <c r="W11" s="357"/>
      <c r="X11" s="357"/>
      <c r="Y11" s="357"/>
      <c r="Z11" s="27"/>
      <c r="AA11" s="165"/>
      <c r="AB11" s="176"/>
      <c r="AC11" s="357"/>
      <c r="AD11" s="357"/>
      <c r="AE11" s="357"/>
      <c r="AF11" s="357"/>
      <c r="AG11" s="27"/>
      <c r="AH11" s="173"/>
      <c r="AI11" s="176"/>
      <c r="AJ11" s="357"/>
      <c r="AK11" s="357"/>
      <c r="AL11" s="357"/>
      <c r="AM11" s="357"/>
      <c r="AN11" s="27"/>
      <c r="AO11" s="173"/>
      <c r="AP11" s="176"/>
      <c r="AQ11" s="357"/>
      <c r="AR11" s="357"/>
      <c r="AS11" s="357"/>
      <c r="AT11" s="357"/>
      <c r="AU11" s="27"/>
      <c r="AV11" s="173"/>
      <c r="AW11" s="230"/>
      <c r="AX11" s="357"/>
      <c r="AY11" s="357"/>
      <c r="AZ11" s="357"/>
      <c r="BA11" s="357"/>
      <c r="BB11" s="27"/>
      <c r="BC11" s="173"/>
    </row>
    <row r="12" spans="1:55" ht="18" customHeight="1" x14ac:dyDescent="0.3">
      <c r="A12" s="5">
        <v>7</v>
      </c>
      <c r="B12" s="151">
        <f>'เวลาเรียน (2)'!B12</f>
        <v>5003</v>
      </c>
      <c r="C12" s="149" t="str">
        <f>'เวลาเรียน (2)'!C12</f>
        <v>เด็กหญิงศิริณภา  สุวรรณจันทร์</v>
      </c>
      <c r="D12" s="57"/>
      <c r="E12" s="57"/>
      <c r="F12" s="58"/>
      <c r="G12" s="159"/>
      <c r="H12" s="357"/>
      <c r="I12" s="357"/>
      <c r="J12" s="357"/>
      <c r="K12" s="357"/>
      <c r="L12" s="27"/>
      <c r="M12" s="165"/>
      <c r="N12" s="159"/>
      <c r="O12" s="357"/>
      <c r="P12" s="357"/>
      <c r="Q12" s="357"/>
      <c r="R12" s="357"/>
      <c r="S12" s="27"/>
      <c r="T12" s="165"/>
      <c r="U12" s="159"/>
      <c r="V12" s="357"/>
      <c r="W12" s="357"/>
      <c r="X12" s="357"/>
      <c r="Y12" s="357"/>
      <c r="Z12" s="27"/>
      <c r="AA12" s="165"/>
      <c r="AB12" s="176"/>
      <c r="AC12" s="357"/>
      <c r="AD12" s="357"/>
      <c r="AE12" s="357"/>
      <c r="AF12" s="357"/>
      <c r="AG12" s="27"/>
      <c r="AH12" s="173"/>
      <c r="AI12" s="176"/>
      <c r="AJ12" s="357"/>
      <c r="AK12" s="357"/>
      <c r="AL12" s="357"/>
      <c r="AM12" s="357"/>
      <c r="AN12" s="27"/>
      <c r="AO12" s="173"/>
      <c r="AP12" s="176"/>
      <c r="AQ12" s="357"/>
      <c r="AR12" s="357"/>
      <c r="AS12" s="357"/>
      <c r="AT12" s="357"/>
      <c r="AU12" s="27"/>
      <c r="AV12" s="173"/>
      <c r="AW12" s="230"/>
      <c r="AX12" s="357"/>
      <c r="AY12" s="357"/>
      <c r="AZ12" s="357"/>
      <c r="BA12" s="357"/>
      <c r="BB12" s="27"/>
      <c r="BC12" s="173"/>
    </row>
    <row r="13" spans="1:55" ht="18" customHeight="1" x14ac:dyDescent="0.3">
      <c r="A13" s="5">
        <v>8</v>
      </c>
      <c r="B13" s="151">
        <f>'เวลาเรียน (2)'!B13</f>
        <v>5004</v>
      </c>
      <c r="C13" s="149" t="str">
        <f>'เวลาเรียน (2)'!C13</f>
        <v>เด็กหญิงศุภิสรา  โม้แซง</v>
      </c>
      <c r="D13" s="57"/>
      <c r="E13" s="57"/>
      <c r="F13" s="58"/>
      <c r="G13" s="159"/>
      <c r="H13" s="357"/>
      <c r="I13" s="357"/>
      <c r="J13" s="357"/>
      <c r="K13" s="357"/>
      <c r="L13" s="27"/>
      <c r="M13" s="165"/>
      <c r="N13" s="159"/>
      <c r="O13" s="357"/>
      <c r="P13" s="357"/>
      <c r="Q13" s="357"/>
      <c r="R13" s="357"/>
      <c r="S13" s="27"/>
      <c r="T13" s="165"/>
      <c r="U13" s="159"/>
      <c r="V13" s="357"/>
      <c r="W13" s="357"/>
      <c r="X13" s="357"/>
      <c r="Y13" s="357"/>
      <c r="Z13" s="27"/>
      <c r="AA13" s="165"/>
      <c r="AB13" s="176"/>
      <c r="AC13" s="357"/>
      <c r="AD13" s="357"/>
      <c r="AE13" s="357"/>
      <c r="AF13" s="357"/>
      <c r="AG13" s="27"/>
      <c r="AH13" s="173"/>
      <c r="AI13" s="176"/>
      <c r="AJ13" s="357"/>
      <c r="AK13" s="357"/>
      <c r="AL13" s="357"/>
      <c r="AM13" s="357"/>
      <c r="AN13" s="27"/>
      <c r="AO13" s="173"/>
      <c r="AP13" s="176"/>
      <c r="AQ13" s="357"/>
      <c r="AR13" s="357"/>
      <c r="AS13" s="357"/>
      <c r="AT13" s="357"/>
      <c r="AU13" s="27"/>
      <c r="AV13" s="173"/>
      <c r="AW13" s="230"/>
      <c r="AX13" s="357"/>
      <c r="AY13" s="357"/>
      <c r="AZ13" s="357"/>
      <c r="BA13" s="357"/>
      <c r="BB13" s="27"/>
      <c r="BC13" s="173"/>
    </row>
    <row r="14" spans="1:55" ht="18" customHeight="1" x14ac:dyDescent="0.3">
      <c r="A14" s="5">
        <v>9</v>
      </c>
      <c r="B14" s="151">
        <f>'เวลาเรียน (2)'!B14</f>
        <v>5005</v>
      </c>
      <c r="C14" s="149" t="str">
        <f>'เวลาเรียน (2)'!C14</f>
        <v>เด็กหญิงสุพิชชา  ชาวนาฮี</v>
      </c>
      <c r="D14" s="57"/>
      <c r="E14" s="57"/>
      <c r="F14" s="58"/>
      <c r="G14" s="159"/>
      <c r="H14" s="357"/>
      <c r="I14" s="357"/>
      <c r="J14" s="357"/>
      <c r="K14" s="357"/>
      <c r="L14" s="27"/>
      <c r="M14" s="165"/>
      <c r="N14" s="159"/>
      <c r="O14" s="357"/>
      <c r="P14" s="357"/>
      <c r="Q14" s="357"/>
      <c r="R14" s="357"/>
      <c r="S14" s="27"/>
      <c r="T14" s="165"/>
      <c r="U14" s="159"/>
      <c r="V14" s="357"/>
      <c r="W14" s="357"/>
      <c r="X14" s="357"/>
      <c r="Y14" s="357"/>
      <c r="Z14" s="27"/>
      <c r="AA14" s="165"/>
      <c r="AB14" s="176"/>
      <c r="AC14" s="357"/>
      <c r="AD14" s="357"/>
      <c r="AE14" s="357"/>
      <c r="AF14" s="357"/>
      <c r="AG14" s="27"/>
      <c r="AH14" s="173"/>
      <c r="AI14" s="176"/>
      <c r="AJ14" s="357"/>
      <c r="AK14" s="357"/>
      <c r="AL14" s="357"/>
      <c r="AM14" s="357"/>
      <c r="AN14" s="27"/>
      <c r="AO14" s="173"/>
      <c r="AP14" s="176"/>
      <c r="AQ14" s="357"/>
      <c r="AR14" s="357"/>
      <c r="AS14" s="357"/>
      <c r="AT14" s="357"/>
      <c r="AU14" s="27"/>
      <c r="AV14" s="173"/>
      <c r="AW14" s="230"/>
      <c r="AX14" s="357"/>
      <c r="AY14" s="357"/>
      <c r="AZ14" s="357"/>
      <c r="BA14" s="357"/>
      <c r="BB14" s="27"/>
      <c r="BC14" s="173"/>
    </row>
    <row r="15" spans="1:55" ht="18" customHeight="1" x14ac:dyDescent="0.3">
      <c r="A15" s="5">
        <v>10</v>
      </c>
      <c r="B15" s="151"/>
      <c r="C15" s="149"/>
      <c r="D15" s="57"/>
      <c r="E15" s="57"/>
      <c r="F15" s="58"/>
      <c r="G15" s="159"/>
      <c r="H15" s="357"/>
      <c r="I15" s="357"/>
      <c r="J15" s="357"/>
      <c r="K15" s="357"/>
      <c r="L15" s="27"/>
      <c r="M15" s="165"/>
      <c r="N15" s="159"/>
      <c r="O15" s="357"/>
      <c r="P15" s="357"/>
      <c r="Q15" s="357"/>
      <c r="R15" s="357"/>
      <c r="S15" s="27"/>
      <c r="T15" s="165"/>
      <c r="U15" s="159"/>
      <c r="V15" s="357"/>
      <c r="W15" s="357"/>
      <c r="X15" s="357"/>
      <c r="Y15" s="357"/>
      <c r="Z15" s="27"/>
      <c r="AA15" s="165"/>
      <c r="AB15" s="176"/>
      <c r="AC15" s="357"/>
      <c r="AD15" s="357"/>
      <c r="AE15" s="357"/>
      <c r="AF15" s="357"/>
      <c r="AG15" s="27"/>
      <c r="AH15" s="173"/>
      <c r="AI15" s="176"/>
      <c r="AJ15" s="357"/>
      <c r="AK15" s="357"/>
      <c r="AL15" s="357"/>
      <c r="AM15" s="357"/>
      <c r="AN15" s="27"/>
      <c r="AO15" s="173"/>
      <c r="AP15" s="176"/>
      <c r="AQ15" s="357"/>
      <c r="AR15" s="357"/>
      <c r="AS15" s="357"/>
      <c r="AT15" s="357"/>
      <c r="AU15" s="27"/>
      <c r="AV15" s="173"/>
      <c r="AW15" s="230"/>
      <c r="AX15" s="357"/>
      <c r="AY15" s="357"/>
      <c r="AZ15" s="357"/>
      <c r="BA15" s="357"/>
      <c r="BB15" s="27"/>
      <c r="BC15" s="173"/>
    </row>
    <row r="16" spans="1:55" ht="18" customHeight="1" x14ac:dyDescent="0.3">
      <c r="A16" s="5">
        <v>11</v>
      </c>
      <c r="B16" s="151"/>
      <c r="C16" s="149"/>
      <c r="D16" s="57"/>
      <c r="E16" s="57"/>
      <c r="F16" s="58"/>
      <c r="G16" s="159"/>
      <c r="H16" s="357"/>
      <c r="I16" s="357"/>
      <c r="J16" s="357"/>
      <c r="K16" s="357"/>
      <c r="L16" s="27"/>
      <c r="M16" s="165"/>
      <c r="N16" s="159"/>
      <c r="O16" s="357"/>
      <c r="P16" s="357"/>
      <c r="Q16" s="357"/>
      <c r="R16" s="357"/>
      <c r="S16" s="27"/>
      <c r="T16" s="165"/>
      <c r="U16" s="159"/>
      <c r="V16" s="357"/>
      <c r="W16" s="357"/>
      <c r="X16" s="357"/>
      <c r="Y16" s="357"/>
      <c r="Z16" s="27"/>
      <c r="AA16" s="165"/>
      <c r="AB16" s="176"/>
      <c r="AC16" s="357"/>
      <c r="AD16" s="357"/>
      <c r="AE16" s="357"/>
      <c r="AF16" s="357"/>
      <c r="AG16" s="27"/>
      <c r="AH16" s="173"/>
      <c r="AI16" s="176"/>
      <c r="AJ16" s="357"/>
      <c r="AK16" s="357"/>
      <c r="AL16" s="357"/>
      <c r="AM16" s="357"/>
      <c r="AN16" s="27"/>
      <c r="AO16" s="173"/>
      <c r="AP16" s="176"/>
      <c r="AQ16" s="357"/>
      <c r="AR16" s="357"/>
      <c r="AS16" s="357"/>
      <c r="AT16" s="357"/>
      <c r="AU16" s="27"/>
      <c r="AV16" s="173"/>
      <c r="AW16" s="230"/>
      <c r="AX16" s="357"/>
      <c r="AY16" s="357"/>
      <c r="AZ16" s="357"/>
      <c r="BA16" s="357"/>
      <c r="BB16" s="27"/>
      <c r="BC16" s="173"/>
    </row>
    <row r="17" spans="1:55" ht="18" customHeight="1" x14ac:dyDescent="0.3">
      <c r="A17" s="5">
        <v>12</v>
      </c>
      <c r="B17" s="151"/>
      <c r="C17" s="149"/>
      <c r="D17" s="57"/>
      <c r="E17" s="57"/>
      <c r="F17" s="58"/>
      <c r="G17" s="159"/>
      <c r="H17" s="357"/>
      <c r="I17" s="357"/>
      <c r="J17" s="357"/>
      <c r="K17" s="357"/>
      <c r="L17" s="27"/>
      <c r="M17" s="165"/>
      <c r="N17" s="159"/>
      <c r="O17" s="357"/>
      <c r="P17" s="357"/>
      <c r="Q17" s="357"/>
      <c r="R17" s="357"/>
      <c r="S17" s="27"/>
      <c r="T17" s="165"/>
      <c r="U17" s="159"/>
      <c r="V17" s="357"/>
      <c r="W17" s="357"/>
      <c r="X17" s="357"/>
      <c r="Y17" s="357"/>
      <c r="Z17" s="27"/>
      <c r="AA17" s="165"/>
      <c r="AB17" s="176"/>
      <c r="AC17" s="357"/>
      <c r="AD17" s="357"/>
      <c r="AE17" s="357"/>
      <c r="AF17" s="357"/>
      <c r="AG17" s="27"/>
      <c r="AH17" s="173"/>
      <c r="AI17" s="176"/>
      <c r="AJ17" s="357"/>
      <c r="AK17" s="357"/>
      <c r="AL17" s="357"/>
      <c r="AM17" s="357"/>
      <c r="AN17" s="27"/>
      <c r="AO17" s="173"/>
      <c r="AP17" s="176"/>
      <c r="AQ17" s="357"/>
      <c r="AR17" s="357"/>
      <c r="AS17" s="357"/>
      <c r="AT17" s="357"/>
      <c r="AU17" s="27"/>
      <c r="AV17" s="173"/>
      <c r="AW17" s="230"/>
      <c r="AX17" s="357"/>
      <c r="AY17" s="357"/>
      <c r="AZ17" s="357"/>
      <c r="BA17" s="357"/>
      <c r="BB17" s="27"/>
      <c r="BC17" s="173"/>
    </row>
    <row r="18" spans="1:55" ht="18" customHeight="1" x14ac:dyDescent="0.3">
      <c r="A18" s="5">
        <v>13</v>
      </c>
      <c r="B18" s="151"/>
      <c r="C18" s="149"/>
      <c r="D18" s="57"/>
      <c r="E18" s="57"/>
      <c r="F18" s="58"/>
      <c r="G18" s="159"/>
      <c r="H18" s="357"/>
      <c r="I18" s="357"/>
      <c r="J18" s="357"/>
      <c r="K18" s="357"/>
      <c r="L18" s="27"/>
      <c r="M18" s="165"/>
      <c r="N18" s="159"/>
      <c r="O18" s="357"/>
      <c r="P18" s="357"/>
      <c r="Q18" s="357"/>
      <c r="R18" s="357"/>
      <c r="S18" s="27"/>
      <c r="T18" s="165"/>
      <c r="U18" s="159"/>
      <c r="V18" s="357"/>
      <c r="W18" s="357"/>
      <c r="X18" s="357"/>
      <c r="Y18" s="357"/>
      <c r="Z18" s="27"/>
      <c r="AA18" s="165"/>
      <c r="AB18" s="176"/>
      <c r="AC18" s="357"/>
      <c r="AD18" s="357"/>
      <c r="AE18" s="357"/>
      <c r="AF18" s="357"/>
      <c r="AG18" s="27"/>
      <c r="AH18" s="173"/>
      <c r="AI18" s="176"/>
      <c r="AJ18" s="357"/>
      <c r="AK18" s="357"/>
      <c r="AL18" s="357"/>
      <c r="AM18" s="357"/>
      <c r="AN18" s="27"/>
      <c r="AO18" s="173"/>
      <c r="AP18" s="176"/>
      <c r="AQ18" s="357"/>
      <c r="AR18" s="357"/>
      <c r="AS18" s="357"/>
      <c r="AT18" s="357"/>
      <c r="AU18" s="27"/>
      <c r="AV18" s="173"/>
      <c r="AW18" s="230"/>
      <c r="AX18" s="357"/>
      <c r="AY18" s="357"/>
      <c r="AZ18" s="357"/>
      <c r="BA18" s="357"/>
      <c r="BB18" s="27"/>
      <c r="BC18" s="173"/>
    </row>
    <row r="19" spans="1:55" ht="18" customHeight="1" x14ac:dyDescent="0.3">
      <c r="A19" s="5">
        <v>14</v>
      </c>
      <c r="B19" s="151"/>
      <c r="C19" s="149"/>
      <c r="D19" s="57"/>
      <c r="E19" s="57"/>
      <c r="F19" s="58"/>
      <c r="G19" s="159"/>
      <c r="H19" s="357"/>
      <c r="I19" s="357"/>
      <c r="J19" s="357"/>
      <c r="K19" s="357"/>
      <c r="L19" s="27"/>
      <c r="M19" s="165"/>
      <c r="N19" s="159"/>
      <c r="O19" s="357"/>
      <c r="P19" s="357"/>
      <c r="Q19" s="357"/>
      <c r="R19" s="357"/>
      <c r="S19" s="27"/>
      <c r="T19" s="165"/>
      <c r="U19" s="159"/>
      <c r="V19" s="357"/>
      <c r="W19" s="357"/>
      <c r="X19" s="357"/>
      <c r="Y19" s="357"/>
      <c r="Z19" s="27"/>
      <c r="AA19" s="165"/>
      <c r="AB19" s="176"/>
      <c r="AC19" s="357"/>
      <c r="AD19" s="357"/>
      <c r="AE19" s="357"/>
      <c r="AF19" s="357"/>
      <c r="AG19" s="27"/>
      <c r="AH19" s="173"/>
      <c r="AI19" s="176"/>
      <c r="AJ19" s="357"/>
      <c r="AK19" s="357"/>
      <c r="AL19" s="357"/>
      <c r="AM19" s="357"/>
      <c r="AN19" s="27"/>
      <c r="AO19" s="173"/>
      <c r="AP19" s="176"/>
      <c r="AQ19" s="357"/>
      <c r="AR19" s="357"/>
      <c r="AS19" s="357"/>
      <c r="AT19" s="357"/>
      <c r="AU19" s="27"/>
      <c r="AV19" s="173"/>
      <c r="AW19" s="230"/>
      <c r="AX19" s="357"/>
      <c r="AY19" s="357"/>
      <c r="AZ19" s="357"/>
      <c r="BA19" s="357"/>
      <c r="BB19" s="27"/>
      <c r="BC19" s="173"/>
    </row>
    <row r="20" spans="1:55" ht="18" customHeight="1" x14ac:dyDescent="0.3">
      <c r="A20" s="5">
        <v>15</v>
      </c>
      <c r="B20" s="151"/>
      <c r="C20" s="149"/>
      <c r="D20" s="57"/>
      <c r="E20" s="57"/>
      <c r="F20" s="58"/>
      <c r="G20" s="159"/>
      <c r="H20" s="27"/>
      <c r="I20" s="27"/>
      <c r="J20" s="27"/>
      <c r="K20" s="12"/>
      <c r="L20" s="27"/>
      <c r="M20" s="165"/>
      <c r="N20" s="159"/>
      <c r="O20" s="27"/>
      <c r="P20" s="27"/>
      <c r="Q20" s="27"/>
      <c r="R20" s="12"/>
      <c r="S20" s="27"/>
      <c r="T20" s="165"/>
      <c r="U20" s="159"/>
      <c r="V20" s="27"/>
      <c r="W20" s="27"/>
      <c r="X20" s="27"/>
      <c r="Y20" s="12"/>
      <c r="Z20" s="27"/>
      <c r="AA20" s="165"/>
      <c r="AB20" s="176"/>
      <c r="AC20" s="27"/>
      <c r="AD20" s="27"/>
      <c r="AE20" s="15"/>
      <c r="AF20" s="15"/>
      <c r="AG20" s="27"/>
      <c r="AH20" s="173"/>
      <c r="AI20" s="176"/>
      <c r="AJ20" s="27"/>
      <c r="AK20" s="27"/>
      <c r="AL20" s="27"/>
      <c r="AM20" s="15"/>
      <c r="AN20" s="27"/>
      <c r="AO20" s="173"/>
      <c r="AP20" s="176"/>
      <c r="AQ20" s="27"/>
      <c r="AR20" s="27"/>
      <c r="AS20" s="27"/>
      <c r="AT20" s="15"/>
      <c r="AU20" s="27"/>
      <c r="AV20" s="173"/>
      <c r="AW20" s="230"/>
      <c r="AX20" s="27"/>
      <c r="AY20" s="27"/>
      <c r="AZ20" s="27"/>
      <c r="BA20" s="15"/>
      <c r="BB20" s="27"/>
      <c r="BC20" s="173"/>
    </row>
    <row r="21" spans="1:55" ht="18" customHeight="1" x14ac:dyDescent="0.3">
      <c r="A21" s="5">
        <v>16</v>
      </c>
      <c r="B21" s="151"/>
      <c r="C21" s="149"/>
      <c r="D21" s="57"/>
      <c r="E21" s="57"/>
      <c r="F21" s="58"/>
      <c r="G21" s="159"/>
      <c r="H21" s="27"/>
      <c r="I21" s="27"/>
      <c r="J21" s="27"/>
      <c r="K21" s="12"/>
      <c r="L21" s="27"/>
      <c r="M21" s="165"/>
      <c r="N21" s="159"/>
      <c r="O21" s="27"/>
      <c r="P21" s="27"/>
      <c r="Q21" s="27"/>
      <c r="R21" s="12"/>
      <c r="S21" s="27"/>
      <c r="T21" s="165"/>
      <c r="U21" s="159"/>
      <c r="V21" s="27"/>
      <c r="W21" s="27"/>
      <c r="X21" s="27"/>
      <c r="Y21" s="12"/>
      <c r="Z21" s="27"/>
      <c r="AA21" s="165"/>
      <c r="AB21" s="176"/>
      <c r="AC21" s="27"/>
      <c r="AD21" s="27"/>
      <c r="AE21" s="15"/>
      <c r="AF21" s="15"/>
      <c r="AG21" s="27"/>
      <c r="AH21" s="173"/>
      <c r="AI21" s="176"/>
      <c r="AJ21" s="27"/>
      <c r="AK21" s="27"/>
      <c r="AL21" s="27"/>
      <c r="AM21" s="15"/>
      <c r="AN21" s="27"/>
      <c r="AO21" s="173"/>
      <c r="AP21" s="176"/>
      <c r="AQ21" s="27"/>
      <c r="AR21" s="27"/>
      <c r="AS21" s="27"/>
      <c r="AT21" s="15"/>
      <c r="AU21" s="27"/>
      <c r="AV21" s="173"/>
      <c r="AW21" s="230"/>
      <c r="AX21" s="27"/>
      <c r="AY21" s="27"/>
      <c r="AZ21" s="27"/>
      <c r="BA21" s="15"/>
      <c r="BB21" s="27"/>
      <c r="BC21" s="173"/>
    </row>
    <row r="22" spans="1:55" ht="18" customHeight="1" x14ac:dyDescent="0.3">
      <c r="A22" s="5">
        <v>17</v>
      </c>
      <c r="B22" s="151"/>
      <c r="C22" s="149"/>
      <c r="D22" s="57"/>
      <c r="E22" s="57"/>
      <c r="F22" s="58"/>
      <c r="G22" s="159"/>
      <c r="H22" s="27"/>
      <c r="I22" s="27"/>
      <c r="J22" s="27"/>
      <c r="K22" s="12"/>
      <c r="L22" s="27"/>
      <c r="M22" s="165"/>
      <c r="N22" s="159"/>
      <c r="O22" s="27"/>
      <c r="P22" s="27"/>
      <c r="Q22" s="27"/>
      <c r="R22" s="12"/>
      <c r="S22" s="27"/>
      <c r="T22" s="165"/>
      <c r="U22" s="159"/>
      <c r="V22" s="27"/>
      <c r="W22" s="27"/>
      <c r="X22" s="27"/>
      <c r="Y22" s="12"/>
      <c r="Z22" s="27"/>
      <c r="AA22" s="165"/>
      <c r="AB22" s="176"/>
      <c r="AC22" s="27"/>
      <c r="AD22" s="27"/>
      <c r="AE22" s="15"/>
      <c r="AF22" s="15"/>
      <c r="AG22" s="27"/>
      <c r="AH22" s="173"/>
      <c r="AI22" s="176"/>
      <c r="AJ22" s="27"/>
      <c r="AK22" s="27"/>
      <c r="AL22" s="27"/>
      <c r="AM22" s="15"/>
      <c r="AN22" s="27"/>
      <c r="AO22" s="173"/>
      <c r="AP22" s="176"/>
      <c r="AQ22" s="27"/>
      <c r="AR22" s="27"/>
      <c r="AS22" s="27"/>
      <c r="AT22" s="15"/>
      <c r="AU22" s="27"/>
      <c r="AV22" s="173"/>
      <c r="AW22" s="230"/>
      <c r="AX22" s="27"/>
      <c r="AY22" s="27"/>
      <c r="AZ22" s="27"/>
      <c r="BA22" s="15"/>
      <c r="BB22" s="27"/>
      <c r="BC22" s="173"/>
    </row>
    <row r="23" spans="1:55" ht="18" customHeight="1" x14ac:dyDescent="0.3">
      <c r="A23" s="5">
        <v>18</v>
      </c>
      <c r="B23" s="151"/>
      <c r="C23" s="149"/>
      <c r="D23" s="57"/>
      <c r="E23" s="57"/>
      <c r="F23" s="58"/>
      <c r="G23" s="159"/>
      <c r="H23" s="27"/>
      <c r="I23" s="27"/>
      <c r="J23" s="27"/>
      <c r="K23" s="12"/>
      <c r="L23" s="27"/>
      <c r="M23" s="165"/>
      <c r="N23" s="159"/>
      <c r="O23" s="27"/>
      <c r="P23" s="27"/>
      <c r="Q23" s="27"/>
      <c r="R23" s="12"/>
      <c r="S23" s="27"/>
      <c r="T23" s="165"/>
      <c r="U23" s="159"/>
      <c r="V23" s="27"/>
      <c r="W23" s="27"/>
      <c r="X23" s="27"/>
      <c r="Y23" s="12"/>
      <c r="Z23" s="27"/>
      <c r="AA23" s="165"/>
      <c r="AB23" s="176"/>
      <c r="AC23" s="27"/>
      <c r="AD23" s="27"/>
      <c r="AE23" s="15"/>
      <c r="AF23" s="15"/>
      <c r="AG23" s="27"/>
      <c r="AH23" s="173"/>
      <c r="AI23" s="176"/>
      <c r="AJ23" s="27"/>
      <c r="AK23" s="27"/>
      <c r="AL23" s="27"/>
      <c r="AM23" s="15"/>
      <c r="AN23" s="27"/>
      <c r="AO23" s="173"/>
      <c r="AP23" s="176"/>
      <c r="AQ23" s="27"/>
      <c r="AR23" s="27"/>
      <c r="AS23" s="27"/>
      <c r="AT23" s="15"/>
      <c r="AU23" s="27"/>
      <c r="AV23" s="173"/>
      <c r="AW23" s="230"/>
      <c r="AX23" s="24"/>
      <c r="AY23" s="27"/>
      <c r="AZ23" s="27"/>
      <c r="BA23" s="15"/>
      <c r="BB23" s="27"/>
      <c r="BC23" s="173"/>
    </row>
    <row r="24" spans="1:55" ht="18" customHeight="1" x14ac:dyDescent="0.3">
      <c r="A24" s="5">
        <v>19</v>
      </c>
      <c r="B24" s="109"/>
      <c r="C24" s="149"/>
      <c r="D24" s="57"/>
      <c r="E24" s="57"/>
      <c r="F24" s="58"/>
      <c r="G24" s="159"/>
      <c r="H24" s="13"/>
      <c r="I24" s="13"/>
      <c r="J24" s="27"/>
      <c r="K24" s="12"/>
      <c r="L24" s="12"/>
      <c r="M24" s="165"/>
      <c r="N24" s="159"/>
      <c r="O24" s="13"/>
      <c r="P24" s="13"/>
      <c r="Q24" s="27"/>
      <c r="R24" s="12"/>
      <c r="S24" s="12"/>
      <c r="T24" s="165"/>
      <c r="U24" s="159"/>
      <c r="V24" s="13"/>
      <c r="W24" s="13"/>
      <c r="X24" s="27"/>
      <c r="Y24" s="12"/>
      <c r="Z24" s="12"/>
      <c r="AA24" s="165"/>
      <c r="AB24" s="176"/>
      <c r="AC24" s="24"/>
      <c r="AD24" s="27"/>
      <c r="AE24" s="15"/>
      <c r="AF24" s="15"/>
      <c r="AG24" s="16"/>
      <c r="AH24" s="173"/>
      <c r="AI24" s="176"/>
      <c r="AJ24" s="27"/>
      <c r="AK24" s="27"/>
      <c r="AL24" s="27"/>
      <c r="AM24" s="15"/>
      <c r="AN24" s="15"/>
      <c r="AO24" s="173"/>
      <c r="AP24" s="176"/>
      <c r="AQ24" s="24"/>
      <c r="AR24" s="24"/>
      <c r="AS24" s="27"/>
      <c r="AT24" s="15"/>
      <c r="AU24" s="15"/>
      <c r="AV24" s="173"/>
      <c r="AW24" s="230"/>
      <c r="AX24" s="24"/>
      <c r="AY24" s="24"/>
      <c r="AZ24" s="27"/>
      <c r="BA24" s="15"/>
      <c r="BB24" s="15"/>
      <c r="BC24" s="173"/>
    </row>
    <row r="25" spans="1:55" ht="18" customHeight="1" x14ac:dyDescent="0.3">
      <c r="A25" s="5">
        <v>20</v>
      </c>
      <c r="B25" s="109"/>
      <c r="C25" s="149"/>
      <c r="D25" s="57"/>
      <c r="E25" s="57"/>
      <c r="F25" s="58"/>
      <c r="G25" s="159"/>
      <c r="H25" s="13"/>
      <c r="I25" s="13"/>
      <c r="J25" s="27"/>
      <c r="K25" s="12"/>
      <c r="L25" s="12"/>
      <c r="M25" s="165"/>
      <c r="N25" s="159"/>
      <c r="O25" s="13"/>
      <c r="P25" s="13"/>
      <c r="Q25" s="27"/>
      <c r="R25" s="12"/>
      <c r="S25" s="12"/>
      <c r="T25" s="165"/>
      <c r="U25" s="159"/>
      <c r="V25" s="13"/>
      <c r="W25" s="13"/>
      <c r="X25" s="27"/>
      <c r="Y25" s="12"/>
      <c r="Z25" s="12"/>
      <c r="AA25" s="165"/>
      <c r="AB25" s="176"/>
      <c r="AC25" s="24"/>
      <c r="AD25" s="27"/>
      <c r="AE25" s="15"/>
      <c r="AF25" s="15"/>
      <c r="AG25" s="16"/>
      <c r="AH25" s="173"/>
      <c r="AI25" s="176"/>
      <c r="AJ25" s="27"/>
      <c r="AK25" s="27"/>
      <c r="AL25" s="27"/>
      <c r="AM25" s="15"/>
      <c r="AN25" s="15"/>
      <c r="AO25" s="173"/>
      <c r="AP25" s="176"/>
      <c r="AQ25" s="24"/>
      <c r="AR25" s="24"/>
      <c r="AS25" s="27"/>
      <c r="AT25" s="15"/>
      <c r="AU25" s="15"/>
      <c r="AV25" s="173"/>
      <c r="AW25" s="230"/>
      <c r="AX25" s="24"/>
      <c r="AY25" s="24"/>
      <c r="AZ25" s="27"/>
      <c r="BA25" s="15"/>
      <c r="BB25" s="15"/>
      <c r="BC25" s="173"/>
    </row>
    <row r="26" spans="1:55" ht="18" customHeight="1" x14ac:dyDescent="0.3">
      <c r="A26" s="5">
        <v>21</v>
      </c>
      <c r="B26" s="109"/>
      <c r="C26" s="149"/>
      <c r="D26" s="57"/>
      <c r="E26" s="57"/>
      <c r="F26" s="58"/>
      <c r="G26" s="159"/>
      <c r="H26" s="13"/>
      <c r="I26" s="13"/>
      <c r="J26" s="27"/>
      <c r="K26" s="12"/>
      <c r="L26" s="12"/>
      <c r="M26" s="165"/>
      <c r="N26" s="159"/>
      <c r="O26" s="13"/>
      <c r="P26" s="13"/>
      <c r="Q26" s="27"/>
      <c r="R26" s="12"/>
      <c r="S26" s="12"/>
      <c r="T26" s="165"/>
      <c r="U26" s="159"/>
      <c r="V26" s="13"/>
      <c r="W26" s="13"/>
      <c r="X26" s="27"/>
      <c r="Y26" s="12"/>
      <c r="Z26" s="12"/>
      <c r="AA26" s="165"/>
      <c r="AB26" s="176"/>
      <c r="AC26" s="24"/>
      <c r="AD26" s="27"/>
      <c r="AE26" s="15"/>
      <c r="AF26" s="15"/>
      <c r="AG26" s="16"/>
      <c r="AH26" s="173"/>
      <c r="AI26" s="176"/>
      <c r="AJ26" s="27"/>
      <c r="AK26" s="27"/>
      <c r="AL26" s="27"/>
      <c r="AM26" s="15"/>
      <c r="AN26" s="15"/>
      <c r="AO26" s="173"/>
      <c r="AP26" s="176"/>
      <c r="AQ26" s="24"/>
      <c r="AR26" s="24"/>
      <c r="AS26" s="27"/>
      <c r="AT26" s="15"/>
      <c r="AU26" s="15"/>
      <c r="AV26" s="173"/>
      <c r="AW26" s="230"/>
      <c r="AX26" s="24"/>
      <c r="AY26" s="24"/>
      <c r="AZ26" s="27"/>
      <c r="BA26" s="15"/>
      <c r="BB26" s="15"/>
      <c r="BC26" s="173"/>
    </row>
    <row r="27" spans="1:55" ht="18" customHeight="1" x14ac:dyDescent="0.3">
      <c r="A27" s="5">
        <v>22</v>
      </c>
      <c r="B27" s="109"/>
      <c r="C27" s="149"/>
      <c r="D27" s="57"/>
      <c r="E27" s="57"/>
      <c r="F27" s="58"/>
      <c r="G27" s="159"/>
      <c r="H27" s="13"/>
      <c r="I27" s="13"/>
      <c r="J27" s="27"/>
      <c r="K27" s="12"/>
      <c r="L27" s="12"/>
      <c r="M27" s="165"/>
      <c r="N27" s="159"/>
      <c r="O27" s="13"/>
      <c r="P27" s="13"/>
      <c r="Q27" s="27"/>
      <c r="R27" s="12"/>
      <c r="S27" s="12"/>
      <c r="T27" s="165"/>
      <c r="U27" s="159"/>
      <c r="V27" s="13"/>
      <c r="W27" s="13"/>
      <c r="X27" s="27"/>
      <c r="Y27" s="12"/>
      <c r="Z27" s="12"/>
      <c r="AA27" s="165"/>
      <c r="AB27" s="176"/>
      <c r="AC27" s="24"/>
      <c r="AD27" s="27"/>
      <c r="AE27" s="15"/>
      <c r="AF27" s="15"/>
      <c r="AG27" s="16"/>
      <c r="AH27" s="173"/>
      <c r="AI27" s="176"/>
      <c r="AJ27" s="27"/>
      <c r="AK27" s="27"/>
      <c r="AL27" s="27"/>
      <c r="AM27" s="15"/>
      <c r="AN27" s="15"/>
      <c r="AO27" s="173"/>
      <c r="AP27" s="176"/>
      <c r="AQ27" s="24"/>
      <c r="AR27" s="24"/>
      <c r="AS27" s="27"/>
      <c r="AT27" s="15"/>
      <c r="AU27" s="15"/>
      <c r="AV27" s="173"/>
      <c r="AW27" s="230"/>
      <c r="AX27" s="24"/>
      <c r="AY27" s="24"/>
      <c r="AZ27" s="27"/>
      <c r="BA27" s="15"/>
      <c r="BB27" s="15"/>
      <c r="BC27" s="173"/>
    </row>
    <row r="28" spans="1:55" ht="18" customHeight="1" x14ac:dyDescent="0.3">
      <c r="A28" s="5">
        <v>23</v>
      </c>
      <c r="B28" s="109"/>
      <c r="C28" s="149"/>
      <c r="D28" s="57"/>
      <c r="E28" s="57"/>
      <c r="F28" s="58"/>
      <c r="G28" s="159"/>
      <c r="H28" s="13"/>
      <c r="I28" s="13"/>
      <c r="J28" s="27"/>
      <c r="K28" s="12"/>
      <c r="L28" s="12"/>
      <c r="M28" s="165"/>
      <c r="N28" s="159"/>
      <c r="O28" s="13"/>
      <c r="P28" s="13"/>
      <c r="Q28" s="27"/>
      <c r="R28" s="12"/>
      <c r="S28" s="12"/>
      <c r="T28" s="165"/>
      <c r="U28" s="159"/>
      <c r="V28" s="13"/>
      <c r="W28" s="13"/>
      <c r="X28" s="27"/>
      <c r="Y28" s="12"/>
      <c r="Z28" s="12"/>
      <c r="AA28" s="165"/>
      <c r="AB28" s="176"/>
      <c r="AC28" s="24"/>
      <c r="AD28" s="27"/>
      <c r="AE28" s="15"/>
      <c r="AF28" s="15"/>
      <c r="AG28" s="16"/>
      <c r="AH28" s="173"/>
      <c r="AI28" s="176"/>
      <c r="AJ28" s="27"/>
      <c r="AK28" s="27"/>
      <c r="AL28" s="27"/>
      <c r="AM28" s="15"/>
      <c r="AN28" s="15"/>
      <c r="AO28" s="173"/>
      <c r="AP28" s="176"/>
      <c r="AQ28" s="24"/>
      <c r="AR28" s="24"/>
      <c r="AS28" s="27"/>
      <c r="AT28" s="15"/>
      <c r="AU28" s="15"/>
      <c r="AV28" s="173"/>
      <c r="AW28" s="230"/>
      <c r="AX28" s="24"/>
      <c r="AY28" s="24"/>
      <c r="AZ28" s="27"/>
      <c r="BA28" s="15"/>
      <c r="BB28" s="15"/>
      <c r="BC28" s="173"/>
    </row>
    <row r="29" spans="1:55" ht="18" customHeight="1" x14ac:dyDescent="0.3">
      <c r="A29" s="5">
        <v>24</v>
      </c>
      <c r="B29" s="109"/>
      <c r="C29" s="149"/>
      <c r="D29" s="57"/>
      <c r="E29" s="57"/>
      <c r="F29" s="58"/>
      <c r="G29" s="159"/>
      <c r="H29" s="13"/>
      <c r="I29" s="13"/>
      <c r="J29" s="27"/>
      <c r="K29" s="12"/>
      <c r="L29" s="12"/>
      <c r="M29" s="165"/>
      <c r="N29" s="159"/>
      <c r="O29" s="13"/>
      <c r="P29" s="13"/>
      <c r="Q29" s="27"/>
      <c r="R29" s="12"/>
      <c r="S29" s="12"/>
      <c r="T29" s="165"/>
      <c r="U29" s="159"/>
      <c r="V29" s="13"/>
      <c r="W29" s="13"/>
      <c r="X29" s="27"/>
      <c r="Y29" s="12"/>
      <c r="Z29" s="12"/>
      <c r="AA29" s="165"/>
      <c r="AB29" s="176"/>
      <c r="AC29" s="24"/>
      <c r="AD29" s="27"/>
      <c r="AE29" s="15"/>
      <c r="AF29" s="15"/>
      <c r="AG29" s="16"/>
      <c r="AH29" s="173"/>
      <c r="AI29" s="176"/>
      <c r="AJ29" s="27"/>
      <c r="AK29" s="27"/>
      <c r="AL29" s="27"/>
      <c r="AM29" s="15"/>
      <c r="AN29" s="15"/>
      <c r="AO29" s="173"/>
      <c r="AP29" s="176"/>
      <c r="AQ29" s="24"/>
      <c r="AR29" s="24"/>
      <c r="AS29" s="27"/>
      <c r="AT29" s="15"/>
      <c r="AU29" s="15"/>
      <c r="AV29" s="173"/>
      <c r="AW29" s="230"/>
      <c r="AX29" s="24"/>
      <c r="AY29" s="24"/>
      <c r="AZ29" s="27"/>
      <c r="BA29" s="15"/>
      <c r="BB29" s="15"/>
      <c r="BC29" s="173"/>
    </row>
    <row r="30" spans="1:55" ht="18" customHeight="1" x14ac:dyDescent="0.3">
      <c r="A30" s="5">
        <v>25</v>
      </c>
      <c r="B30" s="109"/>
      <c r="C30" s="149"/>
      <c r="D30" s="57"/>
      <c r="E30" s="57"/>
      <c r="F30" s="58"/>
      <c r="G30" s="159"/>
      <c r="H30" s="13"/>
      <c r="I30" s="13"/>
      <c r="J30" s="27"/>
      <c r="K30" s="12"/>
      <c r="L30" s="12"/>
      <c r="M30" s="165"/>
      <c r="N30" s="159"/>
      <c r="O30" s="13"/>
      <c r="P30" s="13"/>
      <c r="Q30" s="27"/>
      <c r="R30" s="12"/>
      <c r="S30" s="12"/>
      <c r="T30" s="165"/>
      <c r="U30" s="159"/>
      <c r="V30" s="13"/>
      <c r="W30" s="13"/>
      <c r="X30" s="27"/>
      <c r="Y30" s="12"/>
      <c r="Z30" s="12"/>
      <c r="AA30" s="165"/>
      <c r="AB30" s="176"/>
      <c r="AC30" s="24"/>
      <c r="AD30" s="27"/>
      <c r="AE30" s="15"/>
      <c r="AF30" s="15"/>
      <c r="AG30" s="16"/>
      <c r="AH30" s="173"/>
      <c r="AI30" s="176"/>
      <c r="AJ30" s="27"/>
      <c r="AK30" s="27"/>
      <c r="AL30" s="27"/>
      <c r="AM30" s="15"/>
      <c r="AN30" s="15"/>
      <c r="AO30" s="173"/>
      <c r="AP30" s="176"/>
      <c r="AQ30" s="24"/>
      <c r="AR30" s="24"/>
      <c r="AS30" s="27"/>
      <c r="AT30" s="15"/>
      <c r="AU30" s="15"/>
      <c r="AV30" s="173"/>
      <c r="AW30" s="230"/>
      <c r="AX30" s="24"/>
      <c r="AY30" s="24"/>
      <c r="AZ30" s="27"/>
      <c r="BA30" s="15"/>
      <c r="BB30" s="15"/>
      <c r="BC30" s="173"/>
    </row>
    <row r="31" spans="1:55" ht="18" customHeight="1" x14ac:dyDescent="0.3">
      <c r="A31" s="5">
        <v>26</v>
      </c>
      <c r="B31" s="109"/>
      <c r="C31" s="149"/>
      <c r="D31" s="57"/>
      <c r="E31" s="57"/>
      <c r="F31" s="58"/>
      <c r="G31" s="159"/>
      <c r="H31" s="13"/>
      <c r="I31" s="13"/>
      <c r="J31" s="27"/>
      <c r="K31" s="12"/>
      <c r="L31" s="12"/>
      <c r="M31" s="165"/>
      <c r="N31" s="159"/>
      <c r="O31" s="13"/>
      <c r="P31" s="13"/>
      <c r="Q31" s="27"/>
      <c r="R31" s="12"/>
      <c r="S31" s="12"/>
      <c r="T31" s="165"/>
      <c r="U31" s="159"/>
      <c r="V31" s="13"/>
      <c r="W31" s="13"/>
      <c r="X31" s="27"/>
      <c r="Y31" s="12"/>
      <c r="Z31" s="12"/>
      <c r="AA31" s="165"/>
      <c r="AB31" s="176"/>
      <c r="AC31" s="24"/>
      <c r="AD31" s="27"/>
      <c r="AE31" s="15"/>
      <c r="AF31" s="15"/>
      <c r="AG31" s="16"/>
      <c r="AH31" s="173"/>
      <c r="AI31" s="176"/>
      <c r="AJ31" s="27"/>
      <c r="AK31" s="27"/>
      <c r="AL31" s="27"/>
      <c r="AM31" s="15"/>
      <c r="AN31" s="15"/>
      <c r="AO31" s="173"/>
      <c r="AP31" s="176"/>
      <c r="AQ31" s="24"/>
      <c r="AR31" s="24"/>
      <c r="AS31" s="27"/>
      <c r="AT31" s="15"/>
      <c r="AU31" s="15"/>
      <c r="AV31" s="173"/>
      <c r="AW31" s="230"/>
      <c r="AX31" s="24"/>
      <c r="AY31" s="24"/>
      <c r="AZ31" s="27"/>
      <c r="BA31" s="15"/>
      <c r="BB31" s="15"/>
      <c r="BC31" s="173"/>
    </row>
    <row r="32" spans="1:55" ht="18" customHeight="1" x14ac:dyDescent="0.3">
      <c r="A32" s="5">
        <v>27</v>
      </c>
      <c r="B32" s="110"/>
      <c r="C32" s="149"/>
      <c r="D32" s="57"/>
      <c r="E32" s="57"/>
      <c r="F32" s="58"/>
      <c r="G32" s="159"/>
      <c r="H32" s="13"/>
      <c r="I32" s="13"/>
      <c r="J32" s="27"/>
      <c r="K32" s="12"/>
      <c r="L32" s="12"/>
      <c r="M32" s="165"/>
      <c r="N32" s="159"/>
      <c r="O32" s="13"/>
      <c r="P32" s="13"/>
      <c r="Q32" s="27"/>
      <c r="R32" s="12"/>
      <c r="S32" s="12"/>
      <c r="T32" s="165"/>
      <c r="U32" s="159"/>
      <c r="V32" s="13"/>
      <c r="W32" s="13"/>
      <c r="X32" s="27"/>
      <c r="Y32" s="12"/>
      <c r="Z32" s="12"/>
      <c r="AA32" s="165"/>
      <c r="AB32" s="176"/>
      <c r="AC32" s="24"/>
      <c r="AD32" s="27"/>
      <c r="AE32" s="15"/>
      <c r="AF32" s="15"/>
      <c r="AG32" s="16"/>
      <c r="AH32" s="173"/>
      <c r="AI32" s="176"/>
      <c r="AJ32" s="27"/>
      <c r="AK32" s="27"/>
      <c r="AL32" s="27"/>
      <c r="AM32" s="15"/>
      <c r="AN32" s="15"/>
      <c r="AO32" s="173"/>
      <c r="AP32" s="176"/>
      <c r="AQ32" s="24"/>
      <c r="AR32" s="24"/>
      <c r="AS32" s="27"/>
      <c r="AT32" s="15"/>
      <c r="AU32" s="15"/>
      <c r="AV32" s="173"/>
      <c r="AW32" s="230"/>
      <c r="AX32" s="24"/>
      <c r="AY32" s="24"/>
      <c r="AZ32" s="27"/>
      <c r="BA32" s="15"/>
      <c r="BB32" s="15"/>
      <c r="BC32" s="173"/>
    </row>
    <row r="33" spans="1:55" ht="18" customHeight="1" x14ac:dyDescent="0.3">
      <c r="A33" s="5">
        <v>28</v>
      </c>
      <c r="B33" s="111"/>
      <c r="C33" s="149"/>
      <c r="D33" s="57"/>
      <c r="E33" s="57"/>
      <c r="F33" s="58"/>
      <c r="G33" s="159"/>
      <c r="H33" s="13"/>
      <c r="I33" s="13"/>
      <c r="J33" s="27"/>
      <c r="K33" s="12"/>
      <c r="L33" s="12"/>
      <c r="M33" s="165"/>
      <c r="N33" s="159"/>
      <c r="O33" s="13"/>
      <c r="P33" s="13"/>
      <c r="Q33" s="27"/>
      <c r="R33" s="12"/>
      <c r="S33" s="12"/>
      <c r="T33" s="165"/>
      <c r="U33" s="159"/>
      <c r="V33" s="13"/>
      <c r="W33" s="13"/>
      <c r="X33" s="27"/>
      <c r="Y33" s="12"/>
      <c r="Z33" s="12"/>
      <c r="AA33" s="165"/>
      <c r="AB33" s="176"/>
      <c r="AC33" s="24"/>
      <c r="AD33" s="27"/>
      <c r="AE33" s="15"/>
      <c r="AF33" s="15"/>
      <c r="AG33" s="16"/>
      <c r="AH33" s="173"/>
      <c r="AI33" s="176"/>
      <c r="AJ33" s="27"/>
      <c r="AK33" s="27"/>
      <c r="AL33" s="27"/>
      <c r="AM33" s="15"/>
      <c r="AN33" s="15"/>
      <c r="AO33" s="173"/>
      <c r="AP33" s="176"/>
      <c r="AQ33" s="24"/>
      <c r="AR33" s="24"/>
      <c r="AS33" s="27"/>
      <c r="AT33" s="15"/>
      <c r="AU33" s="15"/>
      <c r="AV33" s="173"/>
      <c r="AW33" s="230"/>
      <c r="AX33" s="24"/>
      <c r="AY33" s="24"/>
      <c r="AZ33" s="27"/>
      <c r="BA33" s="15"/>
      <c r="BB33" s="15"/>
      <c r="BC33" s="173"/>
    </row>
    <row r="34" spans="1:55" ht="18" customHeight="1" x14ac:dyDescent="0.3">
      <c r="A34" s="5">
        <v>29</v>
      </c>
      <c r="B34" s="109"/>
      <c r="C34" s="149"/>
      <c r="D34" s="57"/>
      <c r="E34" s="57"/>
      <c r="F34" s="58"/>
      <c r="G34" s="159"/>
      <c r="H34" s="13"/>
      <c r="I34" s="13"/>
      <c r="J34" s="27"/>
      <c r="K34" s="12"/>
      <c r="L34" s="12"/>
      <c r="M34" s="165"/>
      <c r="N34" s="159"/>
      <c r="O34" s="13"/>
      <c r="P34" s="13"/>
      <c r="Q34" s="27"/>
      <c r="R34" s="12"/>
      <c r="S34" s="12"/>
      <c r="T34" s="165"/>
      <c r="U34" s="159"/>
      <c r="V34" s="13"/>
      <c r="W34" s="13"/>
      <c r="X34" s="27"/>
      <c r="Y34" s="12"/>
      <c r="Z34" s="12"/>
      <c r="AA34" s="165"/>
      <c r="AB34" s="176"/>
      <c r="AC34" s="24"/>
      <c r="AD34" s="27"/>
      <c r="AE34" s="15"/>
      <c r="AF34" s="15"/>
      <c r="AG34" s="16"/>
      <c r="AH34" s="173"/>
      <c r="AI34" s="176"/>
      <c r="AJ34" s="27"/>
      <c r="AK34" s="27"/>
      <c r="AL34" s="27"/>
      <c r="AM34" s="15"/>
      <c r="AN34" s="15"/>
      <c r="AO34" s="173"/>
      <c r="AP34" s="176"/>
      <c r="AQ34" s="24"/>
      <c r="AR34" s="24"/>
      <c r="AS34" s="27"/>
      <c r="AT34" s="15"/>
      <c r="AU34" s="15"/>
      <c r="AV34" s="173"/>
      <c r="AW34" s="230"/>
      <c r="AX34" s="24"/>
      <c r="AY34" s="24"/>
      <c r="AZ34" s="27"/>
      <c r="BA34" s="15"/>
      <c r="BB34" s="15"/>
      <c r="BC34" s="173"/>
    </row>
    <row r="35" spans="1:55" ht="18" customHeight="1" x14ac:dyDescent="0.3">
      <c r="A35" s="5">
        <v>30</v>
      </c>
      <c r="B35" s="109"/>
      <c r="C35" s="149"/>
      <c r="D35" s="57"/>
      <c r="E35" s="57"/>
      <c r="F35" s="58"/>
      <c r="G35" s="159"/>
      <c r="H35" s="13"/>
      <c r="I35" s="13"/>
      <c r="J35" s="27"/>
      <c r="K35" s="12"/>
      <c r="L35" s="12"/>
      <c r="M35" s="165"/>
      <c r="N35" s="159"/>
      <c r="O35" s="13"/>
      <c r="P35" s="13"/>
      <c r="Q35" s="27"/>
      <c r="R35" s="12"/>
      <c r="S35" s="12"/>
      <c r="T35" s="165"/>
      <c r="U35" s="159"/>
      <c r="V35" s="13"/>
      <c r="W35" s="13"/>
      <c r="X35" s="27"/>
      <c r="Y35" s="12"/>
      <c r="Z35" s="12"/>
      <c r="AA35" s="165"/>
      <c r="AB35" s="176"/>
      <c r="AC35" s="24"/>
      <c r="AD35" s="27"/>
      <c r="AE35" s="15"/>
      <c r="AF35" s="15"/>
      <c r="AG35" s="16"/>
      <c r="AH35" s="173"/>
      <c r="AI35" s="176"/>
      <c r="AJ35" s="27"/>
      <c r="AK35" s="27"/>
      <c r="AL35" s="27"/>
      <c r="AM35" s="15"/>
      <c r="AN35" s="15"/>
      <c r="AO35" s="173"/>
      <c r="AP35" s="176"/>
      <c r="AQ35" s="24"/>
      <c r="AR35" s="24"/>
      <c r="AS35" s="27"/>
      <c r="AT35" s="15"/>
      <c r="AU35" s="15"/>
      <c r="AV35" s="173"/>
      <c r="AW35" s="230"/>
      <c r="AX35" s="24"/>
      <c r="AY35" s="24"/>
      <c r="AZ35" s="27"/>
      <c r="BA35" s="15"/>
      <c r="BB35" s="15"/>
      <c r="BC35" s="173"/>
    </row>
    <row r="36" spans="1:55" ht="18" customHeight="1" x14ac:dyDescent="0.3">
      <c r="A36" s="5">
        <v>31</v>
      </c>
      <c r="B36" s="109"/>
      <c r="C36" s="149"/>
      <c r="D36" s="57"/>
      <c r="E36" s="57"/>
      <c r="F36" s="58"/>
      <c r="G36" s="159"/>
      <c r="H36" s="13"/>
      <c r="I36" s="13"/>
      <c r="J36" s="27"/>
      <c r="K36" s="12"/>
      <c r="L36" s="12"/>
      <c r="M36" s="165"/>
      <c r="N36" s="159"/>
      <c r="O36" s="13"/>
      <c r="P36" s="13"/>
      <c r="Q36" s="27"/>
      <c r="R36" s="12"/>
      <c r="S36" s="12"/>
      <c r="T36" s="165"/>
      <c r="U36" s="159"/>
      <c r="V36" s="13"/>
      <c r="W36" s="13"/>
      <c r="X36" s="27"/>
      <c r="Y36" s="12"/>
      <c r="Z36" s="12"/>
      <c r="AA36" s="165"/>
      <c r="AB36" s="176"/>
      <c r="AC36" s="24"/>
      <c r="AD36" s="27"/>
      <c r="AE36" s="15"/>
      <c r="AF36" s="15"/>
      <c r="AG36" s="16"/>
      <c r="AH36" s="173"/>
      <c r="AI36" s="176"/>
      <c r="AJ36" s="27"/>
      <c r="AK36" s="27"/>
      <c r="AL36" s="27"/>
      <c r="AM36" s="15"/>
      <c r="AN36" s="15"/>
      <c r="AO36" s="173"/>
      <c r="AP36" s="176"/>
      <c r="AQ36" s="24"/>
      <c r="AR36" s="24"/>
      <c r="AS36" s="27"/>
      <c r="AT36" s="15"/>
      <c r="AU36" s="15"/>
      <c r="AV36" s="173"/>
      <c r="AW36" s="230"/>
      <c r="AX36" s="24"/>
      <c r="AY36" s="24"/>
      <c r="AZ36" s="27"/>
      <c r="BA36" s="15"/>
      <c r="BB36" s="15"/>
      <c r="BC36" s="173"/>
    </row>
    <row r="37" spans="1:55" ht="18" customHeight="1" x14ac:dyDescent="0.3">
      <c r="A37" s="5">
        <v>32</v>
      </c>
      <c r="B37" s="110"/>
      <c r="C37" s="149"/>
      <c r="D37" s="57"/>
      <c r="E37" s="57"/>
      <c r="F37" s="58"/>
      <c r="G37" s="160"/>
      <c r="H37" s="37"/>
      <c r="I37" s="37"/>
      <c r="J37" s="27"/>
      <c r="K37" s="36"/>
      <c r="L37" s="36"/>
      <c r="M37" s="167"/>
      <c r="N37" s="160"/>
      <c r="O37" s="37"/>
      <c r="P37" s="37"/>
      <c r="Q37" s="27"/>
      <c r="R37" s="36"/>
      <c r="S37" s="36"/>
      <c r="T37" s="167"/>
      <c r="U37" s="160"/>
      <c r="V37" s="37"/>
      <c r="W37" s="37"/>
      <c r="X37" s="27"/>
      <c r="Y37" s="36"/>
      <c r="Z37" s="36"/>
      <c r="AA37" s="167"/>
      <c r="AB37" s="176"/>
      <c r="AC37" s="24"/>
      <c r="AD37" s="27"/>
      <c r="AE37" s="15"/>
      <c r="AF37" s="15"/>
      <c r="AG37" s="16"/>
      <c r="AH37" s="173"/>
      <c r="AI37" s="176"/>
      <c r="AJ37" s="27"/>
      <c r="AK37" s="27"/>
      <c r="AL37" s="27"/>
      <c r="AM37" s="15"/>
      <c r="AN37" s="15"/>
      <c r="AO37" s="173"/>
      <c r="AP37" s="176"/>
      <c r="AQ37" s="24"/>
      <c r="AR37" s="24"/>
      <c r="AS37" s="27"/>
      <c r="AT37" s="15"/>
      <c r="AU37" s="15"/>
      <c r="AV37" s="173"/>
      <c r="AW37" s="230"/>
      <c r="AX37" s="24"/>
      <c r="AY37" s="24"/>
      <c r="AZ37" s="27"/>
      <c r="BA37" s="15"/>
      <c r="BB37" s="15"/>
      <c r="BC37" s="173"/>
    </row>
    <row r="38" spans="1:55" ht="18" customHeight="1" x14ac:dyDescent="0.3">
      <c r="A38" s="5">
        <v>33</v>
      </c>
      <c r="B38" s="111"/>
      <c r="C38" s="149"/>
      <c r="D38" s="57"/>
      <c r="E38" s="57"/>
      <c r="F38" s="58"/>
      <c r="G38" s="159"/>
      <c r="H38" s="13"/>
      <c r="I38" s="13"/>
      <c r="J38" s="27"/>
      <c r="K38" s="12"/>
      <c r="L38" s="12"/>
      <c r="M38" s="165"/>
      <c r="N38" s="159"/>
      <c r="O38" s="13"/>
      <c r="P38" s="13"/>
      <c r="Q38" s="27"/>
      <c r="R38" s="12"/>
      <c r="S38" s="12"/>
      <c r="T38" s="165"/>
      <c r="U38" s="159"/>
      <c r="V38" s="13"/>
      <c r="W38" s="13"/>
      <c r="X38" s="27"/>
      <c r="Y38" s="12"/>
      <c r="Z38" s="12"/>
      <c r="AA38" s="165"/>
      <c r="AB38" s="176"/>
      <c r="AC38" s="24"/>
      <c r="AD38" s="27"/>
      <c r="AE38" s="15"/>
      <c r="AF38" s="15"/>
      <c r="AG38" s="16"/>
      <c r="AH38" s="173"/>
      <c r="AI38" s="176"/>
      <c r="AJ38" s="27"/>
      <c r="AK38" s="27"/>
      <c r="AL38" s="27"/>
      <c r="AM38" s="15"/>
      <c r="AN38" s="15"/>
      <c r="AO38" s="173"/>
      <c r="AP38" s="176"/>
      <c r="AQ38" s="24"/>
      <c r="AR38" s="24"/>
      <c r="AS38" s="27"/>
      <c r="AT38" s="15"/>
      <c r="AU38" s="15"/>
      <c r="AV38" s="173"/>
      <c r="AW38" s="230"/>
      <c r="AX38" s="24"/>
      <c r="AY38" s="24"/>
      <c r="AZ38" s="27"/>
      <c r="BA38" s="15"/>
      <c r="BB38" s="15"/>
      <c r="BC38" s="173"/>
    </row>
    <row r="39" spans="1:55" ht="18" customHeight="1" x14ac:dyDescent="0.3">
      <c r="A39" s="5">
        <v>34</v>
      </c>
      <c r="B39" s="109"/>
      <c r="C39" s="149"/>
      <c r="D39" s="57"/>
      <c r="E39" s="57"/>
      <c r="F39" s="58"/>
      <c r="G39" s="159"/>
      <c r="H39" s="13"/>
      <c r="I39" s="13"/>
      <c r="J39" s="27"/>
      <c r="K39" s="12"/>
      <c r="L39" s="12"/>
      <c r="M39" s="165"/>
      <c r="N39" s="159"/>
      <c r="O39" s="13"/>
      <c r="P39" s="13"/>
      <c r="Q39" s="27"/>
      <c r="R39" s="12"/>
      <c r="S39" s="12"/>
      <c r="T39" s="165"/>
      <c r="U39" s="159"/>
      <c r="V39" s="13"/>
      <c r="W39" s="13"/>
      <c r="X39" s="27"/>
      <c r="Y39" s="12"/>
      <c r="Z39" s="12"/>
      <c r="AA39" s="165"/>
      <c r="AB39" s="176"/>
      <c r="AC39" s="24"/>
      <c r="AD39" s="27"/>
      <c r="AE39" s="15"/>
      <c r="AF39" s="15"/>
      <c r="AG39" s="16"/>
      <c r="AH39" s="173"/>
      <c r="AI39" s="176"/>
      <c r="AJ39" s="27"/>
      <c r="AK39" s="27"/>
      <c r="AL39" s="27"/>
      <c r="AM39" s="15"/>
      <c r="AN39" s="15"/>
      <c r="AO39" s="173"/>
      <c r="AP39" s="176"/>
      <c r="AQ39" s="24"/>
      <c r="AR39" s="24"/>
      <c r="AS39" s="27"/>
      <c r="AT39" s="15"/>
      <c r="AU39" s="15"/>
      <c r="AV39" s="173"/>
      <c r="AW39" s="230"/>
      <c r="AX39" s="24"/>
      <c r="AY39" s="24"/>
      <c r="AZ39" s="27"/>
      <c r="BA39" s="15"/>
      <c r="BB39" s="15"/>
      <c r="BC39" s="173"/>
    </row>
    <row r="40" spans="1:55" ht="18" customHeight="1" thickBot="1" x14ac:dyDescent="0.35">
      <c r="A40" s="5">
        <v>35</v>
      </c>
      <c r="B40" s="109"/>
      <c r="C40" s="149"/>
      <c r="D40" s="57"/>
      <c r="E40" s="57"/>
      <c r="F40" s="58"/>
      <c r="G40" s="159"/>
      <c r="H40" s="13"/>
      <c r="I40" s="13"/>
      <c r="J40" s="27"/>
      <c r="K40" s="12"/>
      <c r="L40" s="12"/>
      <c r="M40" s="165"/>
      <c r="N40" s="159"/>
      <c r="O40" s="13"/>
      <c r="P40" s="13"/>
      <c r="Q40" s="27"/>
      <c r="R40" s="12"/>
      <c r="S40" s="12"/>
      <c r="T40" s="165"/>
      <c r="U40" s="159"/>
      <c r="V40" s="13"/>
      <c r="W40" s="13"/>
      <c r="X40" s="27"/>
      <c r="Y40" s="12"/>
      <c r="Z40" s="12"/>
      <c r="AA40" s="165"/>
      <c r="AB40" s="176"/>
      <c r="AC40" s="24"/>
      <c r="AD40" s="27"/>
      <c r="AE40" s="15"/>
      <c r="AF40" s="15"/>
      <c r="AG40" s="16"/>
      <c r="AH40" s="173"/>
      <c r="AI40" s="176"/>
      <c r="AJ40" s="27"/>
      <c r="AK40" s="27"/>
      <c r="AL40" s="27"/>
      <c r="AM40" s="15"/>
      <c r="AN40" s="15"/>
      <c r="AO40" s="173"/>
      <c r="AP40" s="176"/>
      <c r="AQ40" s="24"/>
      <c r="AR40" s="24"/>
      <c r="AS40" s="27"/>
      <c r="AT40" s="15"/>
      <c r="AU40" s="15"/>
      <c r="AV40" s="173"/>
      <c r="AW40" s="231"/>
      <c r="AX40" s="232"/>
      <c r="AY40" s="232"/>
      <c r="AZ40" s="233"/>
      <c r="BA40" s="234"/>
      <c r="BB40" s="234"/>
      <c r="BC40" s="235"/>
    </row>
  </sheetData>
  <mergeCells count="23">
    <mergeCell ref="S1:T1"/>
    <mergeCell ref="BB1:BC1"/>
    <mergeCell ref="A2:A5"/>
    <mergeCell ref="B2:B5"/>
    <mergeCell ref="C2:C5"/>
    <mergeCell ref="D2:F2"/>
    <mergeCell ref="G2:M2"/>
    <mergeCell ref="N2:T2"/>
    <mergeCell ref="U2:AA2"/>
    <mergeCell ref="AB2:AH2"/>
    <mergeCell ref="AW3:BC3"/>
    <mergeCell ref="D4:F4"/>
    <mergeCell ref="D5:F5"/>
    <mergeCell ref="AI2:AO2"/>
    <mergeCell ref="AP2:AV2"/>
    <mergeCell ref="AW2:BC2"/>
    <mergeCell ref="AI3:AO3"/>
    <mergeCell ref="AP3:AV3"/>
    <mergeCell ref="D3:F3"/>
    <mergeCell ref="G3:M3"/>
    <mergeCell ref="N3:T3"/>
    <mergeCell ref="U3:AA3"/>
    <mergeCell ref="AB3:AH3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Y40"/>
  <sheetViews>
    <sheetView view="pageLayout" zoomScaleNormal="150" zoomScaleSheetLayoutView="120" workbookViewId="0">
      <selection activeCell="AI18" sqref="AI18"/>
    </sheetView>
  </sheetViews>
  <sheetFormatPr defaultColWidth="9.125" defaultRowHeight="18" customHeight="1" x14ac:dyDescent="0.3"/>
  <cols>
    <col min="1" max="1" width="2" style="1" customWidth="1"/>
    <col min="2" max="2" width="3.625" style="1" customWidth="1"/>
    <col min="3" max="3" width="6.625" style="1" customWidth="1"/>
    <col min="4" max="4" width="2.75" style="1" customWidth="1"/>
    <col min="5" max="5" width="2.25" style="1" customWidth="1"/>
    <col min="6" max="6" width="2.125" style="1" customWidth="1"/>
    <col min="7" max="7" width="4" style="1" customWidth="1"/>
    <col min="8" max="49" width="1.25" style="1" customWidth="1"/>
    <col min="50" max="50" width="3.125" style="1" customWidth="1"/>
    <col min="51" max="51" width="4.125" style="1" customWidth="1"/>
    <col min="52" max="53" width="7.875" style="1" customWidth="1"/>
    <col min="54" max="16384" width="9.125" style="1"/>
  </cols>
  <sheetData>
    <row r="1" spans="1:51" ht="18" customHeight="1" thickBot="1" x14ac:dyDescent="0.35">
      <c r="AY1" s="54">
        <v>7</v>
      </c>
    </row>
    <row r="2" spans="1:51" ht="18" customHeight="1" thickBot="1" x14ac:dyDescent="0.35">
      <c r="A2" s="465" t="s">
        <v>27</v>
      </c>
      <c r="B2" s="434" t="s">
        <v>28</v>
      </c>
      <c r="C2" s="468" t="s">
        <v>29</v>
      </c>
      <c r="D2" s="469"/>
      <c r="E2" s="439" t="s">
        <v>30</v>
      </c>
      <c r="F2" s="440"/>
      <c r="G2" s="441"/>
      <c r="H2" s="456" t="s">
        <v>222</v>
      </c>
      <c r="I2" s="457"/>
      <c r="J2" s="457"/>
      <c r="K2" s="457"/>
      <c r="L2" s="457"/>
      <c r="M2" s="457"/>
      <c r="N2" s="458"/>
      <c r="O2" s="456" t="s">
        <v>222</v>
      </c>
      <c r="P2" s="457"/>
      <c r="Q2" s="457"/>
      <c r="R2" s="457"/>
      <c r="S2" s="457"/>
      <c r="T2" s="457"/>
      <c r="U2" s="458"/>
      <c r="V2" s="456" t="s">
        <v>222</v>
      </c>
      <c r="W2" s="457"/>
      <c r="X2" s="457"/>
      <c r="Y2" s="457"/>
      <c r="Z2" s="457"/>
      <c r="AA2" s="457"/>
      <c r="AB2" s="458"/>
      <c r="AC2" s="456" t="s">
        <v>236</v>
      </c>
      <c r="AD2" s="457"/>
      <c r="AE2" s="457"/>
      <c r="AF2" s="457"/>
      <c r="AG2" s="457"/>
      <c r="AH2" s="457"/>
      <c r="AI2" s="458"/>
      <c r="AJ2" s="456" t="s">
        <v>223</v>
      </c>
      <c r="AK2" s="457"/>
      <c r="AL2" s="457"/>
      <c r="AM2" s="457"/>
      <c r="AN2" s="457"/>
      <c r="AO2" s="457"/>
      <c r="AP2" s="458"/>
      <c r="AQ2" s="456" t="s">
        <v>223</v>
      </c>
      <c r="AR2" s="457"/>
      <c r="AS2" s="457"/>
      <c r="AT2" s="457"/>
      <c r="AU2" s="457"/>
      <c r="AV2" s="457"/>
      <c r="AW2" s="458"/>
      <c r="AX2" s="319" t="s">
        <v>34</v>
      </c>
      <c r="AY2" s="327" t="s">
        <v>34</v>
      </c>
    </row>
    <row r="3" spans="1:51" ht="18" customHeight="1" thickBot="1" x14ac:dyDescent="0.35">
      <c r="A3" s="466"/>
      <c r="B3" s="435"/>
      <c r="C3" s="470"/>
      <c r="D3" s="471"/>
      <c r="E3" s="442" t="s">
        <v>31</v>
      </c>
      <c r="F3" s="443"/>
      <c r="G3" s="444"/>
      <c r="H3" s="464">
        <v>15</v>
      </c>
      <c r="I3" s="460"/>
      <c r="J3" s="460"/>
      <c r="K3" s="461"/>
      <c r="L3" s="461"/>
      <c r="M3" s="461"/>
      <c r="N3" s="463"/>
      <c r="O3" s="460">
        <v>16</v>
      </c>
      <c r="P3" s="460"/>
      <c r="Q3" s="460"/>
      <c r="R3" s="461"/>
      <c r="S3" s="461"/>
      <c r="T3" s="461"/>
      <c r="U3" s="462"/>
      <c r="V3" s="464">
        <v>17</v>
      </c>
      <c r="W3" s="460"/>
      <c r="X3" s="460"/>
      <c r="Y3" s="461"/>
      <c r="Z3" s="461"/>
      <c r="AA3" s="461"/>
      <c r="AB3" s="463"/>
      <c r="AC3" s="460">
        <v>18</v>
      </c>
      <c r="AD3" s="460"/>
      <c r="AE3" s="460"/>
      <c r="AF3" s="461"/>
      <c r="AG3" s="461"/>
      <c r="AH3" s="461"/>
      <c r="AI3" s="462"/>
      <c r="AJ3" s="464">
        <v>19</v>
      </c>
      <c r="AK3" s="460"/>
      <c r="AL3" s="460"/>
      <c r="AM3" s="461"/>
      <c r="AN3" s="461"/>
      <c r="AO3" s="461"/>
      <c r="AP3" s="463"/>
      <c r="AQ3" s="460">
        <v>20</v>
      </c>
      <c r="AR3" s="460"/>
      <c r="AS3" s="460"/>
      <c r="AT3" s="461"/>
      <c r="AU3" s="461"/>
      <c r="AV3" s="461"/>
      <c r="AW3" s="463"/>
      <c r="AX3" s="322" t="s">
        <v>215</v>
      </c>
      <c r="AY3" s="327" t="s">
        <v>224</v>
      </c>
    </row>
    <row r="4" spans="1:51" ht="18" customHeight="1" x14ac:dyDescent="0.3">
      <c r="A4" s="466"/>
      <c r="B4" s="435"/>
      <c r="C4" s="470"/>
      <c r="D4" s="471"/>
      <c r="E4" s="475" t="s">
        <v>32</v>
      </c>
      <c r="F4" s="476"/>
      <c r="G4" s="476"/>
      <c r="H4" s="157">
        <v>7</v>
      </c>
      <c r="I4" s="156">
        <v>8</v>
      </c>
      <c r="J4" s="156">
        <v>9</v>
      </c>
      <c r="K4" s="123">
        <v>10</v>
      </c>
      <c r="L4" s="123">
        <v>11</v>
      </c>
      <c r="M4" s="123">
        <v>12</v>
      </c>
      <c r="N4" s="162">
        <v>13</v>
      </c>
      <c r="O4" s="157">
        <v>14</v>
      </c>
      <c r="P4" s="156">
        <v>15</v>
      </c>
      <c r="Q4" s="156">
        <v>16</v>
      </c>
      <c r="R4" s="123">
        <v>17</v>
      </c>
      <c r="S4" s="123">
        <v>18</v>
      </c>
      <c r="T4" s="123">
        <v>19</v>
      </c>
      <c r="U4" s="162">
        <v>20</v>
      </c>
      <c r="V4" s="157">
        <v>21</v>
      </c>
      <c r="W4" s="156">
        <v>22</v>
      </c>
      <c r="X4" s="156">
        <v>23</v>
      </c>
      <c r="Y4" s="123">
        <v>24</v>
      </c>
      <c r="Z4" s="123">
        <v>25</v>
      </c>
      <c r="AA4" s="123">
        <v>26</v>
      </c>
      <c r="AB4" s="162">
        <v>27</v>
      </c>
      <c r="AC4" s="157">
        <v>28</v>
      </c>
      <c r="AD4" s="156">
        <v>1</v>
      </c>
      <c r="AE4" s="156">
        <v>2</v>
      </c>
      <c r="AF4" s="123">
        <v>9</v>
      </c>
      <c r="AG4" s="123">
        <v>4</v>
      </c>
      <c r="AH4" s="123">
        <v>5</v>
      </c>
      <c r="AI4" s="162">
        <v>6</v>
      </c>
      <c r="AJ4" s="157">
        <v>7</v>
      </c>
      <c r="AK4" s="156">
        <v>8</v>
      </c>
      <c r="AL4" s="156">
        <v>9</v>
      </c>
      <c r="AM4" s="123">
        <v>10</v>
      </c>
      <c r="AN4" s="123">
        <v>11</v>
      </c>
      <c r="AO4" s="123">
        <v>12</v>
      </c>
      <c r="AP4" s="162">
        <v>13</v>
      </c>
      <c r="AQ4" s="157">
        <v>14</v>
      </c>
      <c r="AR4" s="156">
        <v>15</v>
      </c>
      <c r="AS4" s="156">
        <v>16</v>
      </c>
      <c r="AT4" s="123">
        <v>17</v>
      </c>
      <c r="AU4" s="123">
        <v>18</v>
      </c>
      <c r="AV4" s="123">
        <v>19</v>
      </c>
      <c r="AW4" s="162">
        <v>20</v>
      </c>
      <c r="AX4" s="323">
        <f>'ปก (1)'!N11*40</f>
        <v>100</v>
      </c>
      <c r="AY4" s="327">
        <f>AX4+'เวลาเรียน (4)'!AX4</f>
        <v>200</v>
      </c>
    </row>
    <row r="5" spans="1:51" ht="18" customHeight="1" thickBot="1" x14ac:dyDescent="0.35">
      <c r="A5" s="467"/>
      <c r="B5" s="459"/>
      <c r="C5" s="472"/>
      <c r="D5" s="473"/>
      <c r="E5" s="472" t="s">
        <v>33</v>
      </c>
      <c r="F5" s="474"/>
      <c r="G5" s="473"/>
      <c r="H5" s="246"/>
      <c r="I5" s="256"/>
      <c r="J5" s="256"/>
      <c r="K5" s="257"/>
      <c r="L5" s="258"/>
      <c r="M5" s="258"/>
      <c r="N5" s="248"/>
      <c r="O5" s="246"/>
      <c r="P5" s="256"/>
      <c r="Q5" s="256"/>
      <c r="R5" s="257"/>
      <c r="S5" s="258"/>
      <c r="T5" s="258"/>
      <c r="U5" s="248"/>
      <c r="V5" s="246"/>
      <c r="W5" s="256"/>
      <c r="X5" s="256"/>
      <c r="Y5" s="257"/>
      <c r="Z5" s="258"/>
      <c r="AA5" s="258"/>
      <c r="AB5" s="248"/>
      <c r="AC5" s="246"/>
      <c r="AD5" s="256"/>
      <c r="AE5" s="256"/>
      <c r="AF5" s="257"/>
      <c r="AG5" s="255"/>
      <c r="AH5" s="255"/>
      <c r="AI5" s="252"/>
      <c r="AJ5" s="246"/>
      <c r="AK5" s="256"/>
      <c r="AL5" s="256"/>
      <c r="AM5" s="257"/>
      <c r="AN5" s="255"/>
      <c r="AO5" s="255"/>
      <c r="AP5" s="252"/>
      <c r="AQ5" s="246"/>
      <c r="AR5" s="256"/>
      <c r="AS5" s="256"/>
      <c r="AT5" s="257"/>
      <c r="AU5" s="255"/>
      <c r="AV5" s="255"/>
      <c r="AW5" s="252"/>
      <c r="AX5" s="324">
        <f>AX4*80/100</f>
        <v>80</v>
      </c>
      <c r="AY5" s="327">
        <f>AX5+'เวลาเรียน (4)'!AX5</f>
        <v>160</v>
      </c>
    </row>
    <row r="6" spans="1:51" ht="18" customHeight="1" x14ac:dyDescent="0.3">
      <c r="A6" s="3">
        <v>1</v>
      </c>
      <c r="B6" s="17">
        <f>'เวลาเรียน (2)'!B6</f>
        <v>4997</v>
      </c>
      <c r="C6" s="59" t="str">
        <f>'เวลาเรียน (2)'!C6</f>
        <v>เด็กชายธนาธร    กิติกาแดง</v>
      </c>
      <c r="D6" s="30"/>
      <c r="E6" s="18"/>
      <c r="F6" s="19"/>
      <c r="G6" s="20"/>
      <c r="H6" s="177"/>
      <c r="I6" s="351"/>
      <c r="J6" s="351"/>
      <c r="K6" s="351"/>
      <c r="L6" s="351"/>
      <c r="M6" s="127"/>
      <c r="N6" s="173"/>
      <c r="O6" s="177"/>
      <c r="P6" s="351"/>
      <c r="Q6" s="351"/>
      <c r="R6" s="351"/>
      <c r="S6" s="351"/>
      <c r="T6" s="127"/>
      <c r="U6" s="173"/>
      <c r="V6" s="175"/>
      <c r="W6" s="351"/>
      <c r="X6" s="351"/>
      <c r="Y6" s="351"/>
      <c r="Z6" s="351"/>
      <c r="AA6" s="127"/>
      <c r="AB6" s="173"/>
      <c r="AC6" s="175"/>
      <c r="AD6" s="351"/>
      <c r="AE6" s="351"/>
      <c r="AF6" s="351"/>
      <c r="AG6" s="351"/>
      <c r="AH6" s="127"/>
      <c r="AI6" s="173"/>
      <c r="AJ6" s="175"/>
      <c r="AK6" s="351"/>
      <c r="AL6" s="351"/>
      <c r="AM6" s="351"/>
      <c r="AN6" s="351"/>
      <c r="AO6" s="127"/>
      <c r="AP6" s="173"/>
      <c r="AQ6" s="175"/>
      <c r="AR6" s="351"/>
      <c r="AS6" s="351"/>
      <c r="AT6" s="351"/>
      <c r="AU6" s="351"/>
      <c r="AV6" s="127"/>
      <c r="AW6" s="177"/>
      <c r="AX6" s="325">
        <f>COUNTIF('เวลาเรียน (5)'!G6:BC6,"/")+COUNTIF('เวลาเรียน (6)'!G6:BC6,"/")+COUNTIF('เวลาเรียน (7)'!H6:AW6,"/")</f>
        <v>0</v>
      </c>
      <c r="AY6" s="327">
        <f>'เวลาเรียน (4)'!AX6+'เวลาเรียน (7)'!AX6</f>
        <v>0</v>
      </c>
    </row>
    <row r="7" spans="1:51" ht="18" customHeight="1" x14ac:dyDescent="0.3">
      <c r="A7" s="5">
        <v>2</v>
      </c>
      <c r="B7" s="17">
        <f>'เวลาเรียน (2)'!B7</f>
        <v>4998</v>
      </c>
      <c r="C7" s="60" t="str">
        <f>'เวลาเรียน (2)'!C7</f>
        <v>เด็กชายนิรวุฒิ  วันทอง</v>
      </c>
      <c r="D7" s="31"/>
      <c r="E7" s="21"/>
      <c r="F7" s="22"/>
      <c r="G7" s="23"/>
      <c r="H7" s="178"/>
      <c r="I7" s="357"/>
      <c r="J7" s="357"/>
      <c r="K7" s="357"/>
      <c r="L7" s="357"/>
      <c r="M7" s="27"/>
      <c r="N7" s="173"/>
      <c r="O7" s="178"/>
      <c r="P7" s="357"/>
      <c r="Q7" s="357"/>
      <c r="R7" s="357"/>
      <c r="S7" s="357"/>
      <c r="T7" s="27"/>
      <c r="U7" s="173"/>
      <c r="V7" s="176"/>
      <c r="W7" s="357"/>
      <c r="X7" s="357"/>
      <c r="Y7" s="357"/>
      <c r="Z7" s="357"/>
      <c r="AA7" s="27"/>
      <c r="AB7" s="173"/>
      <c r="AC7" s="176"/>
      <c r="AD7" s="357"/>
      <c r="AE7" s="357"/>
      <c r="AF7" s="357"/>
      <c r="AG7" s="357"/>
      <c r="AH7" s="27"/>
      <c r="AI7" s="173"/>
      <c r="AJ7" s="176"/>
      <c r="AK7" s="357"/>
      <c r="AL7" s="357"/>
      <c r="AM7" s="357"/>
      <c r="AN7" s="357"/>
      <c r="AO7" s="27"/>
      <c r="AP7" s="173"/>
      <c r="AQ7" s="176"/>
      <c r="AR7" s="357"/>
      <c r="AS7" s="357"/>
      <c r="AT7" s="357"/>
      <c r="AU7" s="357"/>
      <c r="AV7" s="27"/>
      <c r="AW7" s="178"/>
      <c r="AX7" s="326">
        <f>COUNTIF('เวลาเรียน (5)'!G7:BC7,"/")+COUNTIF('เวลาเรียน (6)'!G7:BC7,"/")+COUNTIF('เวลาเรียน (7)'!H7:AW7,"/")</f>
        <v>0</v>
      </c>
      <c r="AY7" s="327">
        <f>'เวลาเรียน (4)'!AX7+'เวลาเรียน (7)'!AX7</f>
        <v>0</v>
      </c>
    </row>
    <row r="8" spans="1:51" ht="18" customHeight="1" x14ac:dyDescent="0.3">
      <c r="A8" s="5">
        <v>3</v>
      </c>
      <c r="B8" s="17">
        <f>'เวลาเรียน (2)'!B8</f>
        <v>4999</v>
      </c>
      <c r="C8" s="60" t="str">
        <f>'เวลาเรียน (2)'!C8</f>
        <v>เด็กชายศรันยู  รัตนมงคล</v>
      </c>
      <c r="D8" s="31"/>
      <c r="E8" s="21"/>
      <c r="F8" s="22"/>
      <c r="G8" s="23"/>
      <c r="H8" s="178"/>
      <c r="I8" s="357"/>
      <c r="J8" s="357"/>
      <c r="K8" s="357"/>
      <c r="L8" s="357"/>
      <c r="M8" s="27"/>
      <c r="N8" s="173"/>
      <c r="O8" s="178"/>
      <c r="P8" s="357"/>
      <c r="Q8" s="357"/>
      <c r="R8" s="357"/>
      <c r="S8" s="357"/>
      <c r="T8" s="27"/>
      <c r="U8" s="173"/>
      <c r="V8" s="176"/>
      <c r="W8" s="357"/>
      <c r="X8" s="357"/>
      <c r="Y8" s="357"/>
      <c r="Z8" s="357"/>
      <c r="AA8" s="27"/>
      <c r="AB8" s="173"/>
      <c r="AC8" s="176"/>
      <c r="AD8" s="357"/>
      <c r="AE8" s="357"/>
      <c r="AF8" s="357"/>
      <c r="AG8" s="357"/>
      <c r="AH8" s="27"/>
      <c r="AI8" s="173"/>
      <c r="AJ8" s="176"/>
      <c r="AK8" s="357"/>
      <c r="AL8" s="357"/>
      <c r="AM8" s="357"/>
      <c r="AN8" s="357"/>
      <c r="AO8" s="27"/>
      <c r="AP8" s="173"/>
      <c r="AQ8" s="176"/>
      <c r="AR8" s="357"/>
      <c r="AS8" s="357"/>
      <c r="AT8" s="357"/>
      <c r="AU8" s="357"/>
      <c r="AV8" s="27"/>
      <c r="AW8" s="178"/>
      <c r="AX8" s="326">
        <f>COUNTIF('เวลาเรียน (5)'!G8:BC8,"/")+COUNTIF('เวลาเรียน (6)'!G8:BC8,"/")+COUNTIF('เวลาเรียน (7)'!H8:AW8,"/")</f>
        <v>0</v>
      </c>
      <c r="AY8" s="327">
        <f>'เวลาเรียน (4)'!AX8+'เวลาเรียน (7)'!AX8</f>
        <v>0</v>
      </c>
    </row>
    <row r="9" spans="1:51" ht="18" customHeight="1" x14ac:dyDescent="0.3">
      <c r="A9" s="5">
        <v>4</v>
      </c>
      <c r="B9" s="17">
        <f>'เวลาเรียน (2)'!B9</f>
        <v>5000</v>
      </c>
      <c r="C9" s="60" t="str">
        <f>'เวลาเรียน (2)'!C9</f>
        <v>เด็กชายสิรธีร์  เวียงอินทร์</v>
      </c>
      <c r="D9" s="31"/>
      <c r="E9" s="21"/>
      <c r="F9" s="22"/>
      <c r="G9" s="23"/>
      <c r="H9" s="178"/>
      <c r="I9" s="357"/>
      <c r="J9" s="357"/>
      <c r="K9" s="357"/>
      <c r="L9" s="357"/>
      <c r="M9" s="27"/>
      <c r="N9" s="173"/>
      <c r="O9" s="178"/>
      <c r="P9" s="357"/>
      <c r="Q9" s="357"/>
      <c r="R9" s="357"/>
      <c r="S9" s="357"/>
      <c r="T9" s="27"/>
      <c r="U9" s="173"/>
      <c r="V9" s="176"/>
      <c r="W9" s="357"/>
      <c r="X9" s="357"/>
      <c r="Y9" s="357"/>
      <c r="Z9" s="357"/>
      <c r="AA9" s="27"/>
      <c r="AB9" s="173"/>
      <c r="AC9" s="176"/>
      <c r="AD9" s="357"/>
      <c r="AE9" s="357"/>
      <c r="AF9" s="357"/>
      <c r="AG9" s="357"/>
      <c r="AH9" s="27"/>
      <c r="AI9" s="173"/>
      <c r="AJ9" s="176"/>
      <c r="AK9" s="357"/>
      <c r="AL9" s="357"/>
      <c r="AM9" s="357"/>
      <c r="AN9" s="357"/>
      <c r="AO9" s="27"/>
      <c r="AP9" s="173"/>
      <c r="AQ9" s="176"/>
      <c r="AR9" s="357"/>
      <c r="AS9" s="357"/>
      <c r="AT9" s="357"/>
      <c r="AU9" s="357"/>
      <c r="AV9" s="27"/>
      <c r="AW9" s="178"/>
      <c r="AX9" s="326">
        <f>COUNTIF('เวลาเรียน (5)'!G9:BC9,"/")+COUNTIF('เวลาเรียน (6)'!G9:BC9,"/")+COUNTIF('เวลาเรียน (7)'!H9:AW9,"/")</f>
        <v>0</v>
      </c>
      <c r="AY9" s="327">
        <f>'เวลาเรียน (4)'!AX9+'เวลาเรียน (7)'!AX9</f>
        <v>0</v>
      </c>
    </row>
    <row r="10" spans="1:51" ht="18" customHeight="1" x14ac:dyDescent="0.3">
      <c r="A10" s="5">
        <v>5</v>
      </c>
      <c r="B10" s="17">
        <f>'เวลาเรียน (2)'!B10</f>
        <v>5001</v>
      </c>
      <c r="C10" s="60" t="str">
        <f>'เวลาเรียน (2)'!C10</f>
        <v>เด็กหญิงจิรภิญญา  เขื่อนพงษ์</v>
      </c>
      <c r="D10" s="31"/>
      <c r="E10" s="76"/>
      <c r="F10" s="22"/>
      <c r="G10" s="23"/>
      <c r="H10" s="178"/>
      <c r="I10" s="357"/>
      <c r="J10" s="357"/>
      <c r="K10" s="357"/>
      <c r="L10" s="357"/>
      <c r="M10" s="27"/>
      <c r="N10" s="173"/>
      <c r="O10" s="178"/>
      <c r="P10" s="357"/>
      <c r="Q10" s="357"/>
      <c r="R10" s="357"/>
      <c r="S10" s="357"/>
      <c r="T10" s="27"/>
      <c r="U10" s="173"/>
      <c r="V10" s="176"/>
      <c r="W10" s="357"/>
      <c r="X10" s="357"/>
      <c r="Y10" s="357"/>
      <c r="Z10" s="357"/>
      <c r="AA10" s="27"/>
      <c r="AB10" s="173"/>
      <c r="AC10" s="176"/>
      <c r="AD10" s="357"/>
      <c r="AE10" s="357"/>
      <c r="AF10" s="357"/>
      <c r="AG10" s="357"/>
      <c r="AH10" s="27"/>
      <c r="AI10" s="173"/>
      <c r="AJ10" s="176"/>
      <c r="AK10" s="357"/>
      <c r="AL10" s="357"/>
      <c r="AM10" s="357"/>
      <c r="AN10" s="357"/>
      <c r="AO10" s="27"/>
      <c r="AP10" s="173"/>
      <c r="AQ10" s="176"/>
      <c r="AR10" s="357"/>
      <c r="AS10" s="357"/>
      <c r="AT10" s="357"/>
      <c r="AU10" s="357"/>
      <c r="AV10" s="27"/>
      <c r="AW10" s="178"/>
      <c r="AX10" s="326">
        <f>COUNTIF('เวลาเรียน (5)'!G10:BC10,"/")+COUNTIF('เวลาเรียน (6)'!G10:BC10,"/")+COUNTIF('เวลาเรียน (7)'!H10:AW10,"/")</f>
        <v>0</v>
      </c>
      <c r="AY10" s="327">
        <f>'เวลาเรียน (4)'!AX10+'เวลาเรียน (7)'!AX10</f>
        <v>0</v>
      </c>
    </row>
    <row r="11" spans="1:51" ht="18" customHeight="1" x14ac:dyDescent="0.3">
      <c r="A11" s="5">
        <v>6</v>
      </c>
      <c r="B11" s="17">
        <f>'เวลาเรียน (2)'!B11</f>
        <v>5002</v>
      </c>
      <c r="C11" s="60" t="str">
        <f>'เวลาเรียน (2)'!C11</f>
        <v>เด็กหญิงภคพร  วงค์สา</v>
      </c>
      <c r="D11" s="31"/>
      <c r="E11" s="21"/>
      <c r="F11" s="22"/>
      <c r="G11" s="23"/>
      <c r="H11" s="178"/>
      <c r="I11" s="357"/>
      <c r="J11" s="357"/>
      <c r="K11" s="357"/>
      <c r="L11" s="357"/>
      <c r="M11" s="27"/>
      <c r="N11" s="173"/>
      <c r="O11" s="178"/>
      <c r="P11" s="357"/>
      <c r="Q11" s="357"/>
      <c r="R11" s="357"/>
      <c r="S11" s="357"/>
      <c r="T11" s="27"/>
      <c r="U11" s="173"/>
      <c r="V11" s="176"/>
      <c r="W11" s="357"/>
      <c r="X11" s="357"/>
      <c r="Y11" s="357"/>
      <c r="Z11" s="357"/>
      <c r="AA11" s="27"/>
      <c r="AB11" s="173"/>
      <c r="AC11" s="176"/>
      <c r="AD11" s="357"/>
      <c r="AE11" s="357"/>
      <c r="AF11" s="357"/>
      <c r="AG11" s="357"/>
      <c r="AH11" s="27"/>
      <c r="AI11" s="173"/>
      <c r="AJ11" s="176"/>
      <c r="AK11" s="357"/>
      <c r="AL11" s="357"/>
      <c r="AM11" s="357"/>
      <c r="AN11" s="357"/>
      <c r="AO11" s="27"/>
      <c r="AP11" s="173"/>
      <c r="AQ11" s="176"/>
      <c r="AR11" s="357"/>
      <c r="AS11" s="357"/>
      <c r="AT11" s="357"/>
      <c r="AU11" s="357"/>
      <c r="AV11" s="27"/>
      <c r="AW11" s="178"/>
      <c r="AX11" s="326">
        <f>COUNTIF('เวลาเรียน (5)'!G11:BC11,"/")+COUNTIF('เวลาเรียน (6)'!G11:BC11,"/")+COUNTIF('เวลาเรียน (7)'!H11:AW11,"/")</f>
        <v>0</v>
      </c>
      <c r="AY11" s="327">
        <f>'เวลาเรียน (4)'!AX11+'เวลาเรียน (7)'!AX11</f>
        <v>0</v>
      </c>
    </row>
    <row r="12" spans="1:51" ht="18" customHeight="1" x14ac:dyDescent="0.3">
      <c r="A12" s="5">
        <v>7</v>
      </c>
      <c r="B12" s="17">
        <f>'เวลาเรียน (2)'!B12</f>
        <v>5003</v>
      </c>
      <c r="C12" s="60" t="str">
        <f>'เวลาเรียน (2)'!C12</f>
        <v>เด็กหญิงศิริณภา  สุวรรณจันทร์</v>
      </c>
      <c r="D12" s="31"/>
      <c r="E12" s="21"/>
      <c r="F12" s="22"/>
      <c r="G12" s="23"/>
      <c r="H12" s="178"/>
      <c r="I12" s="357"/>
      <c r="J12" s="357"/>
      <c r="K12" s="357"/>
      <c r="L12" s="357"/>
      <c r="M12" s="27"/>
      <c r="N12" s="173"/>
      <c r="O12" s="178"/>
      <c r="P12" s="357"/>
      <c r="Q12" s="357"/>
      <c r="R12" s="357"/>
      <c r="S12" s="357"/>
      <c r="T12" s="27"/>
      <c r="U12" s="173"/>
      <c r="V12" s="176"/>
      <c r="W12" s="357"/>
      <c r="X12" s="357"/>
      <c r="Y12" s="357"/>
      <c r="Z12" s="357"/>
      <c r="AA12" s="27"/>
      <c r="AB12" s="173"/>
      <c r="AC12" s="176"/>
      <c r="AD12" s="357"/>
      <c r="AE12" s="357"/>
      <c r="AF12" s="357"/>
      <c r="AG12" s="357"/>
      <c r="AH12" s="27"/>
      <c r="AI12" s="173"/>
      <c r="AJ12" s="176"/>
      <c r="AK12" s="357"/>
      <c r="AL12" s="357"/>
      <c r="AM12" s="357"/>
      <c r="AN12" s="357"/>
      <c r="AO12" s="27"/>
      <c r="AP12" s="173"/>
      <c r="AQ12" s="176"/>
      <c r="AR12" s="357"/>
      <c r="AS12" s="357"/>
      <c r="AT12" s="357"/>
      <c r="AU12" s="357"/>
      <c r="AV12" s="27"/>
      <c r="AW12" s="178"/>
      <c r="AX12" s="326">
        <f>COUNTIF('เวลาเรียน (5)'!G12:BC12,"/")+COUNTIF('เวลาเรียน (6)'!G12:BC12,"/")+COUNTIF('เวลาเรียน (7)'!H12:AW12,"/")</f>
        <v>0</v>
      </c>
      <c r="AY12" s="327">
        <f>'เวลาเรียน (4)'!AX12+'เวลาเรียน (7)'!AX12</f>
        <v>0</v>
      </c>
    </row>
    <row r="13" spans="1:51" ht="18" customHeight="1" x14ac:dyDescent="0.3">
      <c r="A13" s="5">
        <v>8</v>
      </c>
      <c r="B13" s="17">
        <f>'เวลาเรียน (2)'!B13</f>
        <v>5004</v>
      </c>
      <c r="C13" s="60" t="str">
        <f>'เวลาเรียน (2)'!C13</f>
        <v>เด็กหญิงศุภิสรา  โม้แซง</v>
      </c>
      <c r="D13" s="31"/>
      <c r="E13" s="21"/>
      <c r="F13" s="22"/>
      <c r="G13" s="23"/>
      <c r="H13" s="178"/>
      <c r="I13" s="357"/>
      <c r="J13" s="357"/>
      <c r="K13" s="357"/>
      <c r="L13" s="357"/>
      <c r="M13" s="27"/>
      <c r="N13" s="173"/>
      <c r="O13" s="178"/>
      <c r="P13" s="357"/>
      <c r="Q13" s="357"/>
      <c r="R13" s="357"/>
      <c r="S13" s="357"/>
      <c r="T13" s="27"/>
      <c r="U13" s="173"/>
      <c r="V13" s="176"/>
      <c r="W13" s="357"/>
      <c r="X13" s="357"/>
      <c r="Y13" s="357"/>
      <c r="Z13" s="357"/>
      <c r="AA13" s="27"/>
      <c r="AB13" s="173"/>
      <c r="AC13" s="176"/>
      <c r="AD13" s="357"/>
      <c r="AE13" s="357"/>
      <c r="AF13" s="357"/>
      <c r="AG13" s="357"/>
      <c r="AH13" s="27"/>
      <c r="AI13" s="173"/>
      <c r="AJ13" s="176"/>
      <c r="AK13" s="357"/>
      <c r="AL13" s="357"/>
      <c r="AM13" s="357"/>
      <c r="AN13" s="357"/>
      <c r="AO13" s="27"/>
      <c r="AP13" s="173"/>
      <c r="AQ13" s="176"/>
      <c r="AR13" s="357"/>
      <c r="AS13" s="357"/>
      <c r="AT13" s="357"/>
      <c r="AU13" s="357"/>
      <c r="AV13" s="27"/>
      <c r="AW13" s="178"/>
      <c r="AX13" s="326">
        <f>COUNTIF('เวลาเรียน (5)'!G13:BC13,"/")+COUNTIF('เวลาเรียน (6)'!G13:BC13,"/")+COUNTIF('เวลาเรียน (7)'!H13:AW13,"/")</f>
        <v>0</v>
      </c>
      <c r="AY13" s="327">
        <f>'เวลาเรียน (4)'!AX13+'เวลาเรียน (7)'!AX13</f>
        <v>0</v>
      </c>
    </row>
    <row r="14" spans="1:51" ht="18" customHeight="1" x14ac:dyDescent="0.3">
      <c r="A14" s="5">
        <v>9</v>
      </c>
      <c r="B14" s="17">
        <f>'เวลาเรียน (2)'!B14</f>
        <v>5005</v>
      </c>
      <c r="C14" s="60" t="str">
        <f>'เวลาเรียน (2)'!C14</f>
        <v>เด็กหญิงสุพิชชา  ชาวนาฮี</v>
      </c>
      <c r="D14" s="31"/>
      <c r="E14" s="21"/>
      <c r="F14" s="61"/>
      <c r="G14" s="25"/>
      <c r="H14" s="178"/>
      <c r="I14" s="357"/>
      <c r="J14" s="357"/>
      <c r="K14" s="357"/>
      <c r="L14" s="357"/>
      <c r="M14" s="27"/>
      <c r="N14" s="173"/>
      <c r="O14" s="178"/>
      <c r="P14" s="357"/>
      <c r="Q14" s="357"/>
      <c r="R14" s="357"/>
      <c r="S14" s="357"/>
      <c r="T14" s="27"/>
      <c r="U14" s="173"/>
      <c r="V14" s="176"/>
      <c r="W14" s="357"/>
      <c r="X14" s="357"/>
      <c r="Y14" s="357"/>
      <c r="Z14" s="357"/>
      <c r="AA14" s="27"/>
      <c r="AB14" s="173"/>
      <c r="AC14" s="176"/>
      <c r="AD14" s="357"/>
      <c r="AE14" s="357"/>
      <c r="AF14" s="357"/>
      <c r="AG14" s="357"/>
      <c r="AH14" s="27"/>
      <c r="AI14" s="173"/>
      <c r="AJ14" s="176"/>
      <c r="AK14" s="357"/>
      <c r="AL14" s="357"/>
      <c r="AM14" s="357"/>
      <c r="AN14" s="357"/>
      <c r="AO14" s="27"/>
      <c r="AP14" s="173"/>
      <c r="AQ14" s="176"/>
      <c r="AR14" s="357"/>
      <c r="AS14" s="357"/>
      <c r="AT14" s="357"/>
      <c r="AU14" s="357"/>
      <c r="AV14" s="27"/>
      <c r="AW14" s="178"/>
      <c r="AX14" s="326">
        <f>COUNTIF('เวลาเรียน (5)'!G14:BC14,"/")+COUNTIF('เวลาเรียน (6)'!G14:BC14,"/")+COUNTIF('เวลาเรียน (7)'!H14:AW14,"/")</f>
        <v>0</v>
      </c>
      <c r="AY14" s="327">
        <f>'เวลาเรียน (4)'!AX14+'เวลาเรียน (7)'!AX14</f>
        <v>0</v>
      </c>
    </row>
    <row r="15" spans="1:51" ht="18" customHeight="1" x14ac:dyDescent="0.3">
      <c r="A15" s="5">
        <v>10</v>
      </c>
      <c r="B15" s="17"/>
      <c r="C15" s="60"/>
      <c r="D15" s="31"/>
      <c r="E15" s="21"/>
      <c r="F15" s="22"/>
      <c r="G15" s="23"/>
      <c r="H15" s="178"/>
      <c r="I15" s="357"/>
      <c r="J15" s="357"/>
      <c r="K15" s="357"/>
      <c r="L15" s="357"/>
      <c r="M15" s="27"/>
      <c r="N15" s="173"/>
      <c r="O15" s="178"/>
      <c r="P15" s="357"/>
      <c r="Q15" s="357"/>
      <c r="R15" s="357"/>
      <c r="S15" s="357"/>
      <c r="T15" s="27"/>
      <c r="U15" s="173"/>
      <c r="V15" s="176"/>
      <c r="W15" s="357"/>
      <c r="X15" s="357"/>
      <c r="Y15" s="357"/>
      <c r="Z15" s="357"/>
      <c r="AA15" s="27"/>
      <c r="AB15" s="173"/>
      <c r="AC15" s="176"/>
      <c r="AD15" s="357"/>
      <c r="AE15" s="357"/>
      <c r="AF15" s="357"/>
      <c r="AG15" s="357"/>
      <c r="AH15" s="27"/>
      <c r="AI15" s="173"/>
      <c r="AJ15" s="176"/>
      <c r="AK15" s="357"/>
      <c r="AL15" s="357"/>
      <c r="AM15" s="357"/>
      <c r="AN15" s="357"/>
      <c r="AO15" s="27"/>
      <c r="AP15" s="173"/>
      <c r="AQ15" s="176"/>
      <c r="AR15" s="357"/>
      <c r="AS15" s="357"/>
      <c r="AT15" s="357"/>
      <c r="AU15" s="357"/>
      <c r="AV15" s="27"/>
      <c r="AW15" s="178"/>
      <c r="AX15" s="326"/>
      <c r="AY15" s="327"/>
    </row>
    <row r="16" spans="1:51" ht="18" customHeight="1" x14ac:dyDescent="0.3">
      <c r="A16" s="5">
        <v>11</v>
      </c>
      <c r="B16" s="17"/>
      <c r="C16" s="60"/>
      <c r="D16" s="31"/>
      <c r="E16" s="21"/>
      <c r="F16" s="22"/>
      <c r="G16" s="23"/>
      <c r="H16" s="178"/>
      <c r="I16" s="357"/>
      <c r="J16" s="357"/>
      <c r="K16" s="357"/>
      <c r="L16" s="357"/>
      <c r="M16" s="27"/>
      <c r="N16" s="173"/>
      <c r="O16" s="178"/>
      <c r="P16" s="357"/>
      <c r="Q16" s="357"/>
      <c r="R16" s="357"/>
      <c r="S16" s="357"/>
      <c r="T16" s="27"/>
      <c r="U16" s="173"/>
      <c r="V16" s="176"/>
      <c r="W16" s="357"/>
      <c r="X16" s="357"/>
      <c r="Y16" s="357"/>
      <c r="Z16" s="357"/>
      <c r="AA16" s="27"/>
      <c r="AB16" s="173"/>
      <c r="AC16" s="176"/>
      <c r="AD16" s="357"/>
      <c r="AE16" s="357"/>
      <c r="AF16" s="357"/>
      <c r="AG16" s="357"/>
      <c r="AH16" s="27"/>
      <c r="AI16" s="173"/>
      <c r="AJ16" s="176"/>
      <c r="AK16" s="357"/>
      <c r="AL16" s="357"/>
      <c r="AM16" s="357"/>
      <c r="AN16" s="357"/>
      <c r="AO16" s="27"/>
      <c r="AP16" s="173"/>
      <c r="AQ16" s="176"/>
      <c r="AR16" s="357"/>
      <c r="AS16" s="357"/>
      <c r="AT16" s="357"/>
      <c r="AU16" s="357"/>
      <c r="AV16" s="27"/>
      <c r="AW16" s="178"/>
      <c r="AX16" s="326"/>
      <c r="AY16" s="327"/>
    </row>
    <row r="17" spans="1:51" ht="18" customHeight="1" x14ac:dyDescent="0.3">
      <c r="A17" s="5">
        <v>12</v>
      </c>
      <c r="B17" s="17"/>
      <c r="C17" s="60"/>
      <c r="D17" s="31"/>
      <c r="E17" s="21"/>
      <c r="F17" s="22"/>
      <c r="G17" s="23"/>
      <c r="H17" s="178"/>
      <c r="I17" s="357"/>
      <c r="J17" s="357"/>
      <c r="K17" s="357"/>
      <c r="L17" s="357"/>
      <c r="M17" s="27"/>
      <c r="N17" s="173"/>
      <c r="O17" s="178"/>
      <c r="P17" s="357"/>
      <c r="Q17" s="357"/>
      <c r="R17" s="357"/>
      <c r="S17" s="357"/>
      <c r="T17" s="27"/>
      <c r="U17" s="173"/>
      <c r="V17" s="176"/>
      <c r="W17" s="357"/>
      <c r="X17" s="357"/>
      <c r="Y17" s="357"/>
      <c r="Z17" s="357"/>
      <c r="AA17" s="27"/>
      <c r="AB17" s="173"/>
      <c r="AC17" s="176"/>
      <c r="AD17" s="357"/>
      <c r="AE17" s="357"/>
      <c r="AF17" s="357"/>
      <c r="AG17" s="357"/>
      <c r="AH17" s="27"/>
      <c r="AI17" s="173"/>
      <c r="AJ17" s="176"/>
      <c r="AK17" s="357"/>
      <c r="AL17" s="357"/>
      <c r="AM17" s="357"/>
      <c r="AN17" s="357"/>
      <c r="AO17" s="27"/>
      <c r="AP17" s="173"/>
      <c r="AQ17" s="176"/>
      <c r="AR17" s="357"/>
      <c r="AS17" s="357"/>
      <c r="AT17" s="357"/>
      <c r="AU17" s="357"/>
      <c r="AV17" s="27"/>
      <c r="AW17" s="178"/>
      <c r="AX17" s="326"/>
      <c r="AY17" s="327"/>
    </row>
    <row r="18" spans="1:51" ht="18" customHeight="1" x14ac:dyDescent="0.3">
      <c r="A18" s="5">
        <v>13</v>
      </c>
      <c r="B18" s="17"/>
      <c r="C18" s="60"/>
      <c r="D18" s="31"/>
      <c r="E18" s="21"/>
      <c r="F18" s="22"/>
      <c r="G18" s="23"/>
      <c r="H18" s="178"/>
      <c r="I18" s="357"/>
      <c r="J18" s="357"/>
      <c r="K18" s="357"/>
      <c r="L18" s="357"/>
      <c r="M18" s="27"/>
      <c r="N18" s="173"/>
      <c r="O18" s="178"/>
      <c r="P18" s="357"/>
      <c r="Q18" s="357"/>
      <c r="R18" s="357"/>
      <c r="S18" s="357"/>
      <c r="T18" s="27"/>
      <c r="U18" s="173"/>
      <c r="V18" s="176"/>
      <c r="W18" s="357"/>
      <c r="X18" s="357"/>
      <c r="Y18" s="357"/>
      <c r="Z18" s="357"/>
      <c r="AA18" s="27"/>
      <c r="AB18" s="173"/>
      <c r="AC18" s="176"/>
      <c r="AD18" s="357"/>
      <c r="AE18" s="357"/>
      <c r="AF18" s="357"/>
      <c r="AG18" s="357"/>
      <c r="AH18" s="27"/>
      <c r="AI18" s="173"/>
      <c r="AJ18" s="176"/>
      <c r="AK18" s="357"/>
      <c r="AL18" s="357"/>
      <c r="AM18" s="357"/>
      <c r="AN18" s="357"/>
      <c r="AO18" s="27"/>
      <c r="AP18" s="173"/>
      <c r="AQ18" s="176"/>
      <c r="AR18" s="357"/>
      <c r="AS18" s="357"/>
      <c r="AT18" s="357"/>
      <c r="AU18" s="357"/>
      <c r="AV18" s="27"/>
      <c r="AW18" s="178"/>
      <c r="AX18" s="326"/>
      <c r="AY18" s="327"/>
    </row>
    <row r="19" spans="1:51" ht="18" customHeight="1" x14ac:dyDescent="0.3">
      <c r="A19" s="5">
        <v>14</v>
      </c>
      <c r="B19" s="17"/>
      <c r="C19" s="60"/>
      <c r="D19" s="31"/>
      <c r="E19" s="21"/>
      <c r="F19" s="22"/>
      <c r="G19" s="23"/>
      <c r="H19" s="178"/>
      <c r="I19" s="357"/>
      <c r="J19" s="357"/>
      <c r="K19" s="357"/>
      <c r="L19" s="357"/>
      <c r="M19" s="27"/>
      <c r="N19" s="173"/>
      <c r="O19" s="178"/>
      <c r="P19" s="357"/>
      <c r="Q19" s="357"/>
      <c r="R19" s="357"/>
      <c r="S19" s="357"/>
      <c r="T19" s="27"/>
      <c r="U19" s="173"/>
      <c r="V19" s="176"/>
      <c r="W19" s="357"/>
      <c r="X19" s="357"/>
      <c r="Y19" s="357"/>
      <c r="Z19" s="357"/>
      <c r="AA19" s="27"/>
      <c r="AB19" s="173"/>
      <c r="AC19" s="176"/>
      <c r="AD19" s="357"/>
      <c r="AE19" s="357"/>
      <c r="AF19" s="357"/>
      <c r="AG19" s="357"/>
      <c r="AH19" s="27"/>
      <c r="AI19" s="173"/>
      <c r="AJ19" s="176"/>
      <c r="AK19" s="357"/>
      <c r="AL19" s="357"/>
      <c r="AM19" s="357"/>
      <c r="AN19" s="357"/>
      <c r="AO19" s="27"/>
      <c r="AP19" s="173"/>
      <c r="AQ19" s="176"/>
      <c r="AR19" s="357"/>
      <c r="AS19" s="357"/>
      <c r="AT19" s="357"/>
      <c r="AU19" s="357"/>
      <c r="AV19" s="27"/>
      <c r="AW19" s="178"/>
      <c r="AX19" s="326"/>
      <c r="AY19" s="327"/>
    </row>
    <row r="20" spans="1:51" ht="18" customHeight="1" x14ac:dyDescent="0.3">
      <c r="A20" s="5">
        <v>15</v>
      </c>
      <c r="B20" s="17"/>
      <c r="C20" s="60"/>
      <c r="D20" s="31"/>
      <c r="E20" s="21"/>
      <c r="F20" s="22"/>
      <c r="G20" s="23"/>
      <c r="H20" s="178"/>
      <c r="I20" s="27"/>
      <c r="J20" s="27"/>
      <c r="K20" s="27"/>
      <c r="L20" s="15"/>
      <c r="M20" s="27"/>
      <c r="N20" s="173"/>
      <c r="O20" s="178"/>
      <c r="P20" s="27"/>
      <c r="Q20" s="27"/>
      <c r="R20" s="128"/>
      <c r="S20" s="15"/>
      <c r="T20" s="27"/>
      <c r="U20" s="173"/>
      <c r="V20" s="176"/>
      <c r="W20" s="27"/>
      <c r="X20" s="27"/>
      <c r="Y20" s="27"/>
      <c r="Z20" s="15"/>
      <c r="AA20" s="27"/>
      <c r="AB20" s="173"/>
      <c r="AC20" s="176"/>
      <c r="AD20" s="27"/>
      <c r="AE20" s="27"/>
      <c r="AF20" s="27"/>
      <c r="AG20" s="15"/>
      <c r="AH20" s="27"/>
      <c r="AI20" s="173"/>
      <c r="AJ20" s="176"/>
      <c r="AK20" s="27"/>
      <c r="AL20" s="27"/>
      <c r="AM20" s="27"/>
      <c r="AN20" s="15"/>
      <c r="AO20" s="27"/>
      <c r="AP20" s="173"/>
      <c r="AQ20" s="176"/>
      <c r="AR20" s="27"/>
      <c r="AS20" s="27"/>
      <c r="AT20" s="27"/>
      <c r="AU20" s="15"/>
      <c r="AV20" s="27"/>
      <c r="AW20" s="178"/>
      <c r="AX20" s="326"/>
      <c r="AY20" s="327"/>
    </row>
    <row r="21" spans="1:51" ht="18" customHeight="1" x14ac:dyDescent="0.3">
      <c r="A21" s="5">
        <v>16</v>
      </c>
      <c r="B21" s="17"/>
      <c r="C21" s="60"/>
      <c r="D21" s="31"/>
      <c r="E21" s="21"/>
      <c r="F21" s="22"/>
      <c r="G21" s="26"/>
      <c r="H21" s="178"/>
      <c r="I21" s="27"/>
      <c r="J21" s="27"/>
      <c r="K21" s="27"/>
      <c r="L21" s="15"/>
      <c r="M21" s="27"/>
      <c r="N21" s="173"/>
      <c r="O21" s="178"/>
      <c r="P21" s="27"/>
      <c r="Q21" s="27"/>
      <c r="R21" s="128"/>
      <c r="S21" s="15"/>
      <c r="T21" s="27"/>
      <c r="U21" s="173"/>
      <c r="V21" s="176"/>
      <c r="W21" s="27"/>
      <c r="X21" s="27"/>
      <c r="Y21" s="27"/>
      <c r="Z21" s="15"/>
      <c r="AA21" s="27"/>
      <c r="AB21" s="173"/>
      <c r="AC21" s="176"/>
      <c r="AD21" s="27"/>
      <c r="AE21" s="27"/>
      <c r="AF21" s="27"/>
      <c r="AG21" s="15"/>
      <c r="AH21" s="27"/>
      <c r="AI21" s="173"/>
      <c r="AJ21" s="176"/>
      <c r="AK21" s="27"/>
      <c r="AL21" s="27"/>
      <c r="AM21" s="27"/>
      <c r="AN21" s="15"/>
      <c r="AO21" s="27"/>
      <c r="AP21" s="173"/>
      <c r="AQ21" s="176"/>
      <c r="AR21" s="27"/>
      <c r="AS21" s="27"/>
      <c r="AT21" s="27"/>
      <c r="AU21" s="15"/>
      <c r="AV21" s="27"/>
      <c r="AW21" s="178"/>
      <c r="AX21" s="326"/>
      <c r="AY21" s="327"/>
    </row>
    <row r="22" spans="1:51" ht="18" customHeight="1" x14ac:dyDescent="0.3">
      <c r="A22" s="5">
        <v>17</v>
      </c>
      <c r="B22" s="17"/>
      <c r="C22" s="60"/>
      <c r="D22" s="31"/>
      <c r="E22" s="21"/>
      <c r="F22" s="22"/>
      <c r="G22" s="23"/>
      <c r="H22" s="178"/>
      <c r="I22" s="27"/>
      <c r="J22" s="27"/>
      <c r="K22" s="27"/>
      <c r="L22" s="15"/>
      <c r="M22" s="27"/>
      <c r="N22" s="173"/>
      <c r="O22" s="178"/>
      <c r="P22" s="27"/>
      <c r="Q22" s="27"/>
      <c r="R22" s="128"/>
      <c r="S22" s="15"/>
      <c r="T22" s="27"/>
      <c r="U22" s="173"/>
      <c r="V22" s="176"/>
      <c r="W22" s="27"/>
      <c r="X22" s="27"/>
      <c r="Y22" s="27"/>
      <c r="Z22" s="15"/>
      <c r="AA22" s="27"/>
      <c r="AB22" s="173"/>
      <c r="AC22" s="176"/>
      <c r="AD22" s="27"/>
      <c r="AE22" s="27"/>
      <c r="AF22" s="27"/>
      <c r="AG22" s="15"/>
      <c r="AH22" s="27"/>
      <c r="AI22" s="173"/>
      <c r="AJ22" s="176"/>
      <c r="AK22" s="27"/>
      <c r="AL22" s="27"/>
      <c r="AM22" s="27"/>
      <c r="AN22" s="15"/>
      <c r="AO22" s="27"/>
      <c r="AP22" s="173"/>
      <c r="AQ22" s="176"/>
      <c r="AR22" s="27"/>
      <c r="AS22" s="27"/>
      <c r="AT22" s="27"/>
      <c r="AU22" s="15"/>
      <c r="AV22" s="27"/>
      <c r="AW22" s="178"/>
      <c r="AX22" s="326"/>
      <c r="AY22" s="327"/>
    </row>
    <row r="23" spans="1:51" ht="18" customHeight="1" x14ac:dyDescent="0.3">
      <c r="A23" s="5">
        <v>18</v>
      </c>
      <c r="B23" s="17"/>
      <c r="C23" s="60"/>
      <c r="D23" s="31"/>
      <c r="E23" s="21"/>
      <c r="F23" s="22"/>
      <c r="G23" s="23"/>
      <c r="H23" s="178"/>
      <c r="I23" s="27"/>
      <c r="J23" s="27"/>
      <c r="K23" s="27"/>
      <c r="L23" s="15"/>
      <c r="M23" s="27"/>
      <c r="N23" s="173"/>
      <c r="O23" s="178"/>
      <c r="P23" s="27"/>
      <c r="Q23" s="27"/>
      <c r="R23" s="128"/>
      <c r="S23" s="15"/>
      <c r="T23" s="27"/>
      <c r="U23" s="173"/>
      <c r="V23" s="176"/>
      <c r="W23" s="27"/>
      <c r="X23" s="27"/>
      <c r="Y23" s="27"/>
      <c r="Z23" s="15"/>
      <c r="AA23" s="27"/>
      <c r="AB23" s="173"/>
      <c r="AC23" s="176"/>
      <c r="AD23" s="27"/>
      <c r="AE23" s="27"/>
      <c r="AF23" s="27"/>
      <c r="AG23" s="15"/>
      <c r="AH23" s="27"/>
      <c r="AI23" s="173"/>
      <c r="AJ23" s="176"/>
      <c r="AK23" s="27"/>
      <c r="AL23" s="27"/>
      <c r="AM23" s="27"/>
      <c r="AN23" s="15"/>
      <c r="AO23" s="27"/>
      <c r="AP23" s="173"/>
      <c r="AQ23" s="176"/>
      <c r="AR23" s="27"/>
      <c r="AS23" s="27"/>
      <c r="AT23" s="27"/>
      <c r="AU23" s="15"/>
      <c r="AV23" s="27"/>
      <c r="AW23" s="178"/>
      <c r="AX23" s="326"/>
      <c r="AY23" s="327"/>
    </row>
    <row r="24" spans="1:51" ht="18" customHeight="1" x14ac:dyDescent="0.3">
      <c r="A24" s="5">
        <v>19</v>
      </c>
      <c r="B24" s="17"/>
      <c r="C24" s="60"/>
      <c r="D24" s="31"/>
      <c r="E24" s="21"/>
      <c r="F24" s="22"/>
      <c r="G24" s="26"/>
      <c r="H24" s="178"/>
      <c r="I24" s="27"/>
      <c r="J24" s="27"/>
      <c r="K24" s="27"/>
      <c r="L24" s="15"/>
      <c r="M24" s="15"/>
      <c r="N24" s="173"/>
      <c r="O24" s="178"/>
      <c r="P24" s="27"/>
      <c r="Q24" s="27"/>
      <c r="R24" s="128"/>
      <c r="S24" s="15"/>
      <c r="T24" s="15"/>
      <c r="U24" s="173"/>
      <c r="V24" s="176"/>
      <c r="W24" s="24"/>
      <c r="X24" s="24"/>
      <c r="Y24" s="27"/>
      <c r="Z24" s="15"/>
      <c r="AA24" s="15"/>
      <c r="AB24" s="173"/>
      <c r="AC24" s="176"/>
      <c r="AD24" s="24"/>
      <c r="AE24" s="24"/>
      <c r="AF24" s="27"/>
      <c r="AG24" s="15"/>
      <c r="AH24" s="15"/>
      <c r="AI24" s="173"/>
      <c r="AJ24" s="176"/>
      <c r="AK24" s="24"/>
      <c r="AL24" s="24"/>
      <c r="AM24" s="27"/>
      <c r="AN24" s="15"/>
      <c r="AO24" s="15"/>
      <c r="AP24" s="173"/>
      <c r="AQ24" s="176"/>
      <c r="AR24" s="24"/>
      <c r="AS24" s="24"/>
      <c r="AT24" s="27"/>
      <c r="AU24" s="15"/>
      <c r="AV24" s="15"/>
      <c r="AW24" s="178"/>
      <c r="AX24" s="326"/>
      <c r="AY24" s="327"/>
    </row>
    <row r="25" spans="1:51" ht="18" customHeight="1" x14ac:dyDescent="0.3">
      <c r="A25" s="5">
        <v>20</v>
      </c>
      <c r="B25" s="17"/>
      <c r="C25" s="60"/>
      <c r="D25" s="31"/>
      <c r="E25" s="21"/>
      <c r="F25" s="22"/>
      <c r="G25" s="23"/>
      <c r="H25" s="178"/>
      <c r="I25" s="27"/>
      <c r="J25" s="27"/>
      <c r="K25" s="27"/>
      <c r="L25" s="15"/>
      <c r="M25" s="15"/>
      <c r="N25" s="173"/>
      <c r="O25" s="178"/>
      <c r="P25" s="27"/>
      <c r="Q25" s="27"/>
      <c r="R25" s="128"/>
      <c r="S25" s="15"/>
      <c r="T25" s="15"/>
      <c r="U25" s="173"/>
      <c r="V25" s="176"/>
      <c r="W25" s="24"/>
      <c r="X25" s="24"/>
      <c r="Y25" s="27"/>
      <c r="Z25" s="15"/>
      <c r="AA25" s="15"/>
      <c r="AB25" s="173"/>
      <c r="AC25" s="176"/>
      <c r="AD25" s="24"/>
      <c r="AE25" s="24"/>
      <c r="AF25" s="27"/>
      <c r="AG25" s="15"/>
      <c r="AH25" s="15"/>
      <c r="AI25" s="173"/>
      <c r="AJ25" s="176"/>
      <c r="AK25" s="24"/>
      <c r="AL25" s="24"/>
      <c r="AM25" s="27"/>
      <c r="AN25" s="15"/>
      <c r="AO25" s="15"/>
      <c r="AP25" s="173"/>
      <c r="AQ25" s="176"/>
      <c r="AR25" s="24"/>
      <c r="AS25" s="24"/>
      <c r="AT25" s="27"/>
      <c r="AU25" s="15"/>
      <c r="AV25" s="15"/>
      <c r="AW25" s="178"/>
      <c r="AX25" s="326"/>
      <c r="AY25" s="327"/>
    </row>
    <row r="26" spans="1:51" ht="18" customHeight="1" x14ac:dyDescent="0.3">
      <c r="A26" s="5">
        <v>21</v>
      </c>
      <c r="B26" s="17"/>
      <c r="C26" s="60"/>
      <c r="D26" s="31"/>
      <c r="E26" s="21"/>
      <c r="F26" s="22"/>
      <c r="G26" s="23"/>
      <c r="H26" s="178"/>
      <c r="I26" s="27"/>
      <c r="J26" s="27"/>
      <c r="K26" s="27"/>
      <c r="L26" s="15"/>
      <c r="M26" s="15"/>
      <c r="N26" s="173"/>
      <c r="O26" s="178"/>
      <c r="P26" s="27"/>
      <c r="Q26" s="27"/>
      <c r="R26" s="128"/>
      <c r="S26" s="15"/>
      <c r="T26" s="15"/>
      <c r="U26" s="173"/>
      <c r="V26" s="176"/>
      <c r="W26" s="24"/>
      <c r="X26" s="24"/>
      <c r="Y26" s="27"/>
      <c r="Z26" s="15"/>
      <c r="AA26" s="15"/>
      <c r="AB26" s="173"/>
      <c r="AC26" s="176"/>
      <c r="AD26" s="24"/>
      <c r="AE26" s="24"/>
      <c r="AF26" s="27"/>
      <c r="AG26" s="15"/>
      <c r="AH26" s="15"/>
      <c r="AI26" s="173"/>
      <c r="AJ26" s="176"/>
      <c r="AK26" s="24"/>
      <c r="AL26" s="24"/>
      <c r="AM26" s="27"/>
      <c r="AN26" s="15"/>
      <c r="AO26" s="15"/>
      <c r="AP26" s="173"/>
      <c r="AQ26" s="176"/>
      <c r="AR26" s="24"/>
      <c r="AS26" s="24"/>
      <c r="AT26" s="27"/>
      <c r="AU26" s="15"/>
      <c r="AV26" s="15"/>
      <c r="AW26" s="178"/>
      <c r="AX26" s="326"/>
      <c r="AY26" s="327"/>
    </row>
    <row r="27" spans="1:51" ht="18" customHeight="1" x14ac:dyDescent="0.3">
      <c r="A27" s="5">
        <v>22</v>
      </c>
      <c r="B27" s="17"/>
      <c r="C27" s="60"/>
      <c r="D27" s="31"/>
      <c r="E27" s="32"/>
      <c r="F27" s="22"/>
      <c r="G27" s="23"/>
      <c r="H27" s="178"/>
      <c r="I27" s="27"/>
      <c r="J27" s="27"/>
      <c r="K27" s="27"/>
      <c r="L27" s="15"/>
      <c r="M27" s="15"/>
      <c r="N27" s="173"/>
      <c r="O27" s="178"/>
      <c r="P27" s="27"/>
      <c r="Q27" s="27"/>
      <c r="R27" s="128"/>
      <c r="S27" s="15"/>
      <c r="T27" s="15"/>
      <c r="U27" s="173"/>
      <c r="V27" s="176"/>
      <c r="W27" s="24"/>
      <c r="X27" s="24"/>
      <c r="Y27" s="27"/>
      <c r="Z27" s="15"/>
      <c r="AA27" s="15"/>
      <c r="AB27" s="173"/>
      <c r="AC27" s="176"/>
      <c r="AD27" s="24"/>
      <c r="AE27" s="24"/>
      <c r="AF27" s="27"/>
      <c r="AG27" s="15"/>
      <c r="AH27" s="15"/>
      <c r="AI27" s="173"/>
      <c r="AJ27" s="176"/>
      <c r="AK27" s="24"/>
      <c r="AL27" s="24"/>
      <c r="AM27" s="27"/>
      <c r="AN27" s="15"/>
      <c r="AO27" s="15"/>
      <c r="AP27" s="173"/>
      <c r="AQ27" s="176"/>
      <c r="AR27" s="24"/>
      <c r="AS27" s="24"/>
      <c r="AT27" s="27"/>
      <c r="AU27" s="15"/>
      <c r="AV27" s="15"/>
      <c r="AW27" s="178"/>
      <c r="AX27" s="326"/>
      <c r="AY27" s="327"/>
    </row>
    <row r="28" spans="1:51" ht="18" customHeight="1" x14ac:dyDescent="0.3">
      <c r="A28" s="6">
        <v>23</v>
      </c>
      <c r="B28" s="17"/>
      <c r="C28" s="60"/>
      <c r="D28" s="31"/>
      <c r="E28" s="32"/>
      <c r="F28" s="22"/>
      <c r="G28" s="23"/>
      <c r="H28" s="178"/>
      <c r="I28" s="27"/>
      <c r="J28" s="27"/>
      <c r="K28" s="27"/>
      <c r="L28" s="15"/>
      <c r="M28" s="15"/>
      <c r="N28" s="173"/>
      <c r="O28" s="178"/>
      <c r="P28" s="27"/>
      <c r="Q28" s="27"/>
      <c r="R28" s="128"/>
      <c r="S28" s="15"/>
      <c r="T28" s="15"/>
      <c r="U28" s="173"/>
      <c r="V28" s="176"/>
      <c r="W28" s="24"/>
      <c r="X28" s="24"/>
      <c r="Y28" s="27"/>
      <c r="Z28" s="15"/>
      <c r="AA28" s="15"/>
      <c r="AB28" s="173"/>
      <c r="AC28" s="176"/>
      <c r="AD28" s="24"/>
      <c r="AE28" s="24"/>
      <c r="AF28" s="27"/>
      <c r="AG28" s="15"/>
      <c r="AH28" s="15"/>
      <c r="AI28" s="173"/>
      <c r="AJ28" s="176"/>
      <c r="AK28" s="24"/>
      <c r="AL28" s="24"/>
      <c r="AM28" s="27"/>
      <c r="AN28" s="15"/>
      <c r="AO28" s="15"/>
      <c r="AP28" s="173"/>
      <c r="AQ28" s="176"/>
      <c r="AR28" s="24"/>
      <c r="AS28" s="24"/>
      <c r="AT28" s="27"/>
      <c r="AU28" s="15"/>
      <c r="AV28" s="15"/>
      <c r="AW28" s="178"/>
      <c r="AX28" s="326"/>
      <c r="AY28" s="327"/>
    </row>
    <row r="29" spans="1:51" ht="18" customHeight="1" x14ac:dyDescent="0.3">
      <c r="A29" s="5">
        <v>24</v>
      </c>
      <c r="B29" s="17"/>
      <c r="C29" s="60"/>
      <c r="D29" s="31"/>
      <c r="E29" s="32"/>
      <c r="F29" s="22"/>
      <c r="G29" s="23"/>
      <c r="H29" s="178"/>
      <c r="I29" s="27"/>
      <c r="J29" s="27"/>
      <c r="K29" s="27"/>
      <c r="L29" s="15"/>
      <c r="M29" s="15"/>
      <c r="N29" s="173"/>
      <c r="O29" s="178"/>
      <c r="P29" s="27"/>
      <c r="Q29" s="27"/>
      <c r="R29" s="128"/>
      <c r="S29" s="15"/>
      <c r="T29" s="15"/>
      <c r="U29" s="173"/>
      <c r="V29" s="176"/>
      <c r="W29" s="24"/>
      <c r="X29" s="24"/>
      <c r="Y29" s="27"/>
      <c r="Z29" s="15"/>
      <c r="AA29" s="15"/>
      <c r="AB29" s="173"/>
      <c r="AC29" s="176"/>
      <c r="AD29" s="24"/>
      <c r="AE29" s="24"/>
      <c r="AF29" s="27"/>
      <c r="AG29" s="15"/>
      <c r="AH29" s="15"/>
      <c r="AI29" s="173"/>
      <c r="AJ29" s="176"/>
      <c r="AK29" s="24"/>
      <c r="AL29" s="24"/>
      <c r="AM29" s="27"/>
      <c r="AN29" s="15"/>
      <c r="AO29" s="15"/>
      <c r="AP29" s="173"/>
      <c r="AQ29" s="176"/>
      <c r="AR29" s="24"/>
      <c r="AS29" s="24"/>
      <c r="AT29" s="27"/>
      <c r="AU29" s="15"/>
      <c r="AV29" s="15"/>
      <c r="AW29" s="178"/>
      <c r="AX29" s="326"/>
      <c r="AY29" s="327"/>
    </row>
    <row r="30" spans="1:51" ht="18" customHeight="1" x14ac:dyDescent="0.3">
      <c r="A30" s="5">
        <v>25</v>
      </c>
      <c r="B30" s="17"/>
      <c r="C30" s="60"/>
      <c r="D30" s="31"/>
      <c r="E30" s="32"/>
      <c r="F30" s="22"/>
      <c r="G30" s="23"/>
      <c r="H30" s="178"/>
      <c r="I30" s="27"/>
      <c r="J30" s="27"/>
      <c r="K30" s="27"/>
      <c r="L30" s="15"/>
      <c r="M30" s="15"/>
      <c r="N30" s="173"/>
      <c r="O30" s="178"/>
      <c r="P30" s="27"/>
      <c r="Q30" s="27"/>
      <c r="R30" s="128"/>
      <c r="S30" s="15"/>
      <c r="T30" s="15"/>
      <c r="U30" s="173"/>
      <c r="V30" s="176"/>
      <c r="W30" s="24"/>
      <c r="X30" s="24"/>
      <c r="Y30" s="27"/>
      <c r="Z30" s="15"/>
      <c r="AA30" s="15"/>
      <c r="AB30" s="173"/>
      <c r="AC30" s="176"/>
      <c r="AD30" s="24"/>
      <c r="AE30" s="24"/>
      <c r="AF30" s="27"/>
      <c r="AG30" s="15"/>
      <c r="AH30" s="15"/>
      <c r="AI30" s="173"/>
      <c r="AJ30" s="176"/>
      <c r="AK30" s="24"/>
      <c r="AL30" s="24"/>
      <c r="AM30" s="27"/>
      <c r="AN30" s="15"/>
      <c r="AO30" s="15"/>
      <c r="AP30" s="173"/>
      <c r="AQ30" s="176"/>
      <c r="AR30" s="24"/>
      <c r="AS30" s="24"/>
      <c r="AT30" s="27"/>
      <c r="AU30" s="15"/>
      <c r="AV30" s="15"/>
      <c r="AW30" s="178"/>
      <c r="AX30" s="326"/>
      <c r="AY30" s="328"/>
    </row>
    <row r="31" spans="1:51" ht="18" customHeight="1" x14ac:dyDescent="0.3">
      <c r="A31" s="5">
        <v>26</v>
      </c>
      <c r="B31" s="17"/>
      <c r="C31" s="60"/>
      <c r="D31" s="31"/>
      <c r="E31" s="32"/>
      <c r="F31" s="22"/>
      <c r="G31" s="23"/>
      <c r="H31" s="178"/>
      <c r="I31" s="27"/>
      <c r="J31" s="27"/>
      <c r="K31" s="27"/>
      <c r="L31" s="15"/>
      <c r="M31" s="15"/>
      <c r="N31" s="173"/>
      <c r="O31" s="178"/>
      <c r="P31" s="27"/>
      <c r="Q31" s="27"/>
      <c r="R31" s="128"/>
      <c r="S31" s="15"/>
      <c r="T31" s="15"/>
      <c r="U31" s="173"/>
      <c r="V31" s="176"/>
      <c r="W31" s="24"/>
      <c r="X31" s="24"/>
      <c r="Y31" s="27"/>
      <c r="Z31" s="15"/>
      <c r="AA31" s="15"/>
      <c r="AB31" s="173"/>
      <c r="AC31" s="176"/>
      <c r="AD31" s="24"/>
      <c r="AE31" s="24"/>
      <c r="AF31" s="27"/>
      <c r="AG31" s="15"/>
      <c r="AH31" s="15"/>
      <c r="AI31" s="173"/>
      <c r="AJ31" s="176"/>
      <c r="AK31" s="24"/>
      <c r="AL31" s="24"/>
      <c r="AM31" s="27"/>
      <c r="AN31" s="15"/>
      <c r="AO31" s="15"/>
      <c r="AP31" s="173"/>
      <c r="AQ31" s="176"/>
      <c r="AR31" s="24"/>
      <c r="AS31" s="24"/>
      <c r="AT31" s="27"/>
      <c r="AU31" s="15"/>
      <c r="AV31" s="15"/>
      <c r="AW31" s="178"/>
      <c r="AX31" s="326"/>
      <c r="AY31" s="328"/>
    </row>
    <row r="32" spans="1:51" ht="18" customHeight="1" x14ac:dyDescent="0.3">
      <c r="A32" s="5">
        <v>27</v>
      </c>
      <c r="B32" s="17"/>
      <c r="C32" s="60"/>
      <c r="D32" s="31"/>
      <c r="E32" s="32"/>
      <c r="F32" s="22"/>
      <c r="G32" s="23"/>
      <c r="H32" s="178"/>
      <c r="I32" s="27"/>
      <c r="J32" s="27"/>
      <c r="K32" s="27"/>
      <c r="L32" s="15"/>
      <c r="M32" s="15"/>
      <c r="N32" s="173"/>
      <c r="O32" s="178"/>
      <c r="P32" s="27"/>
      <c r="Q32" s="27"/>
      <c r="R32" s="128"/>
      <c r="S32" s="15"/>
      <c r="T32" s="15"/>
      <c r="U32" s="173"/>
      <c r="V32" s="176"/>
      <c r="W32" s="24"/>
      <c r="X32" s="24"/>
      <c r="Y32" s="27"/>
      <c r="Z32" s="15"/>
      <c r="AA32" s="15"/>
      <c r="AB32" s="173"/>
      <c r="AC32" s="176"/>
      <c r="AD32" s="24"/>
      <c r="AE32" s="24"/>
      <c r="AF32" s="27"/>
      <c r="AG32" s="15"/>
      <c r="AH32" s="15"/>
      <c r="AI32" s="173"/>
      <c r="AJ32" s="176"/>
      <c r="AK32" s="24"/>
      <c r="AL32" s="24"/>
      <c r="AM32" s="27"/>
      <c r="AN32" s="15"/>
      <c r="AO32" s="15"/>
      <c r="AP32" s="173"/>
      <c r="AQ32" s="176"/>
      <c r="AR32" s="24"/>
      <c r="AS32" s="24"/>
      <c r="AT32" s="27"/>
      <c r="AU32" s="15"/>
      <c r="AV32" s="15"/>
      <c r="AW32" s="178"/>
      <c r="AX32" s="326"/>
      <c r="AY32" s="328"/>
    </row>
    <row r="33" spans="1:51" ht="18" customHeight="1" x14ac:dyDescent="0.3">
      <c r="A33" s="6">
        <v>28</v>
      </c>
      <c r="B33" s="17"/>
      <c r="C33" s="60"/>
      <c r="D33" s="31"/>
      <c r="E33" s="32"/>
      <c r="F33" s="22"/>
      <c r="G33" s="23"/>
      <c r="H33" s="178"/>
      <c r="I33" s="27"/>
      <c r="J33" s="27"/>
      <c r="K33" s="27"/>
      <c r="L33" s="15"/>
      <c r="M33" s="15"/>
      <c r="N33" s="173"/>
      <c r="O33" s="178"/>
      <c r="P33" s="27"/>
      <c r="Q33" s="27"/>
      <c r="R33" s="128"/>
      <c r="S33" s="15"/>
      <c r="T33" s="15"/>
      <c r="U33" s="173"/>
      <c r="V33" s="176"/>
      <c r="W33" s="24"/>
      <c r="X33" s="24"/>
      <c r="Y33" s="27"/>
      <c r="Z33" s="15"/>
      <c r="AA33" s="15"/>
      <c r="AB33" s="173"/>
      <c r="AC33" s="176"/>
      <c r="AD33" s="24"/>
      <c r="AE33" s="24"/>
      <c r="AF33" s="27"/>
      <c r="AG33" s="15"/>
      <c r="AH33" s="15"/>
      <c r="AI33" s="173"/>
      <c r="AJ33" s="176"/>
      <c r="AK33" s="24"/>
      <c r="AL33" s="24"/>
      <c r="AM33" s="27"/>
      <c r="AN33" s="15"/>
      <c r="AO33" s="15"/>
      <c r="AP33" s="173"/>
      <c r="AQ33" s="176"/>
      <c r="AR33" s="24"/>
      <c r="AS33" s="24"/>
      <c r="AT33" s="27"/>
      <c r="AU33" s="15"/>
      <c r="AV33" s="15"/>
      <c r="AW33" s="178"/>
      <c r="AX33" s="326"/>
      <c r="AY33" s="328"/>
    </row>
    <row r="34" spans="1:51" ht="18" customHeight="1" x14ac:dyDescent="0.3">
      <c r="A34" s="5">
        <v>29</v>
      </c>
      <c r="B34" s="17"/>
      <c r="C34" s="60"/>
      <c r="D34" s="31"/>
      <c r="E34" s="33"/>
      <c r="F34" s="22"/>
      <c r="G34" s="23"/>
      <c r="H34" s="178"/>
      <c r="I34" s="27"/>
      <c r="J34" s="27"/>
      <c r="K34" s="27"/>
      <c r="L34" s="15"/>
      <c r="M34" s="15"/>
      <c r="N34" s="173"/>
      <c r="O34" s="178"/>
      <c r="P34" s="27"/>
      <c r="Q34" s="27"/>
      <c r="R34" s="128"/>
      <c r="S34" s="15"/>
      <c r="T34" s="15"/>
      <c r="U34" s="173"/>
      <c r="V34" s="176"/>
      <c r="W34" s="24"/>
      <c r="X34" s="24"/>
      <c r="Y34" s="27"/>
      <c r="Z34" s="15"/>
      <c r="AA34" s="15"/>
      <c r="AB34" s="173"/>
      <c r="AC34" s="176"/>
      <c r="AD34" s="24"/>
      <c r="AE34" s="24"/>
      <c r="AF34" s="27"/>
      <c r="AG34" s="15"/>
      <c r="AH34" s="15"/>
      <c r="AI34" s="173"/>
      <c r="AJ34" s="176"/>
      <c r="AK34" s="24"/>
      <c r="AL34" s="24"/>
      <c r="AM34" s="27"/>
      <c r="AN34" s="15"/>
      <c r="AO34" s="15"/>
      <c r="AP34" s="173"/>
      <c r="AQ34" s="176"/>
      <c r="AR34" s="24"/>
      <c r="AS34" s="24"/>
      <c r="AT34" s="27"/>
      <c r="AU34" s="15"/>
      <c r="AV34" s="15"/>
      <c r="AW34" s="178"/>
      <c r="AX34" s="326"/>
      <c r="AY34" s="328"/>
    </row>
    <row r="35" spans="1:51" ht="18" customHeight="1" x14ac:dyDescent="0.3">
      <c r="A35" s="5">
        <v>30</v>
      </c>
      <c r="B35" s="17"/>
      <c r="C35" s="60"/>
      <c r="D35" s="31"/>
      <c r="E35" s="33"/>
      <c r="F35" s="22"/>
      <c r="G35" s="23"/>
      <c r="H35" s="178"/>
      <c r="I35" s="27"/>
      <c r="J35" s="27"/>
      <c r="K35" s="27"/>
      <c r="L35" s="15"/>
      <c r="M35" s="15"/>
      <c r="N35" s="173"/>
      <c r="O35" s="178"/>
      <c r="P35" s="27"/>
      <c r="Q35" s="27"/>
      <c r="R35" s="128"/>
      <c r="S35" s="15"/>
      <c r="T35" s="15"/>
      <c r="U35" s="173"/>
      <c r="V35" s="176"/>
      <c r="W35" s="24"/>
      <c r="X35" s="24"/>
      <c r="Y35" s="27"/>
      <c r="Z35" s="15"/>
      <c r="AA35" s="15"/>
      <c r="AB35" s="173"/>
      <c r="AC35" s="176"/>
      <c r="AD35" s="24"/>
      <c r="AE35" s="24"/>
      <c r="AF35" s="27"/>
      <c r="AG35" s="15"/>
      <c r="AH35" s="15"/>
      <c r="AI35" s="173"/>
      <c r="AJ35" s="176"/>
      <c r="AK35" s="24"/>
      <c r="AL35" s="24"/>
      <c r="AM35" s="27"/>
      <c r="AN35" s="15"/>
      <c r="AO35" s="15"/>
      <c r="AP35" s="173"/>
      <c r="AQ35" s="176"/>
      <c r="AR35" s="24"/>
      <c r="AS35" s="24"/>
      <c r="AT35" s="27"/>
      <c r="AU35" s="15"/>
      <c r="AV35" s="15"/>
      <c r="AW35" s="178"/>
      <c r="AX35" s="326"/>
      <c r="AY35" s="328"/>
    </row>
    <row r="36" spans="1:51" ht="18" customHeight="1" x14ac:dyDescent="0.3">
      <c r="A36" s="5">
        <v>31</v>
      </c>
      <c r="B36" s="17"/>
      <c r="C36" s="60"/>
      <c r="D36" s="33"/>
      <c r="E36" s="33"/>
      <c r="F36" s="22"/>
      <c r="G36" s="23"/>
      <c r="H36" s="178"/>
      <c r="I36" s="27"/>
      <c r="J36" s="27"/>
      <c r="K36" s="27"/>
      <c r="L36" s="15"/>
      <c r="M36" s="15"/>
      <c r="N36" s="173"/>
      <c r="O36" s="178"/>
      <c r="P36" s="27"/>
      <c r="Q36" s="27"/>
      <c r="R36" s="128"/>
      <c r="S36" s="15"/>
      <c r="T36" s="15"/>
      <c r="U36" s="173"/>
      <c r="V36" s="176"/>
      <c r="W36" s="24"/>
      <c r="X36" s="24"/>
      <c r="Y36" s="27"/>
      <c r="Z36" s="15"/>
      <c r="AA36" s="15"/>
      <c r="AB36" s="173"/>
      <c r="AC36" s="176"/>
      <c r="AD36" s="24"/>
      <c r="AE36" s="24"/>
      <c r="AF36" s="27"/>
      <c r="AG36" s="15"/>
      <c r="AH36" s="15"/>
      <c r="AI36" s="173"/>
      <c r="AJ36" s="176"/>
      <c r="AK36" s="24"/>
      <c r="AL36" s="24"/>
      <c r="AM36" s="27"/>
      <c r="AN36" s="15"/>
      <c r="AO36" s="15"/>
      <c r="AP36" s="173"/>
      <c r="AQ36" s="176"/>
      <c r="AR36" s="24"/>
      <c r="AS36" s="24"/>
      <c r="AT36" s="27"/>
      <c r="AU36" s="15"/>
      <c r="AV36" s="15"/>
      <c r="AW36" s="178"/>
      <c r="AX36" s="326"/>
      <c r="AY36" s="328"/>
    </row>
    <row r="37" spans="1:51" ht="18" customHeight="1" x14ac:dyDescent="0.3">
      <c r="A37" s="5">
        <v>32</v>
      </c>
      <c r="B37" s="17"/>
      <c r="C37" s="60"/>
      <c r="D37" s="33"/>
      <c r="E37" s="33"/>
      <c r="F37" s="22"/>
      <c r="G37" s="23"/>
      <c r="H37" s="178"/>
      <c r="I37" s="27"/>
      <c r="J37" s="27"/>
      <c r="K37" s="27"/>
      <c r="L37" s="15"/>
      <c r="M37" s="15"/>
      <c r="N37" s="173"/>
      <c r="O37" s="178"/>
      <c r="P37" s="27"/>
      <c r="Q37" s="27"/>
      <c r="R37" s="128"/>
      <c r="S37" s="15"/>
      <c r="T37" s="15"/>
      <c r="U37" s="173"/>
      <c r="V37" s="176"/>
      <c r="W37" s="24"/>
      <c r="X37" s="24"/>
      <c r="Y37" s="27"/>
      <c r="Z37" s="15"/>
      <c r="AA37" s="15"/>
      <c r="AB37" s="173"/>
      <c r="AC37" s="176"/>
      <c r="AD37" s="24"/>
      <c r="AE37" s="24"/>
      <c r="AF37" s="27"/>
      <c r="AG37" s="15"/>
      <c r="AH37" s="15"/>
      <c r="AI37" s="173"/>
      <c r="AJ37" s="176"/>
      <c r="AK37" s="24"/>
      <c r="AL37" s="24"/>
      <c r="AM37" s="27"/>
      <c r="AN37" s="15"/>
      <c r="AO37" s="15"/>
      <c r="AP37" s="173"/>
      <c r="AQ37" s="176"/>
      <c r="AR37" s="24"/>
      <c r="AS37" s="24"/>
      <c r="AT37" s="27"/>
      <c r="AU37" s="15"/>
      <c r="AV37" s="15"/>
      <c r="AW37" s="178"/>
      <c r="AX37" s="326"/>
      <c r="AY37" s="328"/>
    </row>
    <row r="38" spans="1:51" ht="18" customHeight="1" x14ac:dyDescent="0.3">
      <c r="A38" s="5">
        <v>33</v>
      </c>
      <c r="B38" s="17"/>
      <c r="C38" s="60"/>
      <c r="D38" s="33"/>
      <c r="E38" s="33"/>
      <c r="F38" s="22"/>
      <c r="G38" s="23"/>
      <c r="H38" s="178"/>
      <c r="I38" s="27"/>
      <c r="J38" s="27"/>
      <c r="K38" s="27"/>
      <c r="L38" s="15"/>
      <c r="M38" s="15"/>
      <c r="N38" s="173"/>
      <c r="O38" s="178"/>
      <c r="P38" s="27"/>
      <c r="Q38" s="27"/>
      <c r="R38" s="128"/>
      <c r="S38" s="15"/>
      <c r="T38" s="15"/>
      <c r="U38" s="173"/>
      <c r="V38" s="176"/>
      <c r="W38" s="24"/>
      <c r="X38" s="24"/>
      <c r="Y38" s="27"/>
      <c r="Z38" s="15"/>
      <c r="AA38" s="15"/>
      <c r="AB38" s="173"/>
      <c r="AC38" s="176"/>
      <c r="AD38" s="24"/>
      <c r="AE38" s="24"/>
      <c r="AF38" s="27"/>
      <c r="AG38" s="15"/>
      <c r="AH38" s="15"/>
      <c r="AI38" s="173"/>
      <c r="AJ38" s="176"/>
      <c r="AK38" s="24"/>
      <c r="AL38" s="24"/>
      <c r="AM38" s="27"/>
      <c r="AN38" s="15"/>
      <c r="AO38" s="15"/>
      <c r="AP38" s="173"/>
      <c r="AQ38" s="176"/>
      <c r="AR38" s="24"/>
      <c r="AS38" s="24"/>
      <c r="AT38" s="27"/>
      <c r="AU38" s="15"/>
      <c r="AV38" s="15"/>
      <c r="AW38" s="178"/>
      <c r="AX38" s="326"/>
      <c r="AY38" s="328"/>
    </row>
    <row r="39" spans="1:51" ht="18" customHeight="1" x14ac:dyDescent="0.3">
      <c r="A39" s="5">
        <v>34</v>
      </c>
      <c r="B39" s="17"/>
      <c r="C39" s="60"/>
      <c r="D39" s="33"/>
      <c r="E39" s="33"/>
      <c r="F39" s="22"/>
      <c r="G39" s="23"/>
      <c r="H39" s="178"/>
      <c r="I39" s="27"/>
      <c r="J39" s="27"/>
      <c r="K39" s="27"/>
      <c r="L39" s="15"/>
      <c r="M39" s="15"/>
      <c r="N39" s="173"/>
      <c r="O39" s="178"/>
      <c r="P39" s="27"/>
      <c r="Q39" s="27"/>
      <c r="R39" s="128"/>
      <c r="S39" s="15"/>
      <c r="T39" s="15"/>
      <c r="U39" s="173"/>
      <c r="V39" s="176"/>
      <c r="W39" s="24"/>
      <c r="X39" s="24"/>
      <c r="Y39" s="27"/>
      <c r="Z39" s="15"/>
      <c r="AA39" s="15"/>
      <c r="AB39" s="173"/>
      <c r="AC39" s="176"/>
      <c r="AD39" s="24"/>
      <c r="AE39" s="24"/>
      <c r="AF39" s="27"/>
      <c r="AG39" s="15"/>
      <c r="AH39" s="15"/>
      <c r="AI39" s="173"/>
      <c r="AJ39" s="176"/>
      <c r="AK39" s="24"/>
      <c r="AL39" s="24"/>
      <c r="AM39" s="27"/>
      <c r="AN39" s="15"/>
      <c r="AO39" s="15"/>
      <c r="AP39" s="173"/>
      <c r="AQ39" s="176"/>
      <c r="AR39" s="24"/>
      <c r="AS39" s="24"/>
      <c r="AT39" s="27"/>
      <c r="AU39" s="15"/>
      <c r="AV39" s="15"/>
      <c r="AW39" s="178"/>
      <c r="AX39" s="326"/>
      <c r="AY39" s="328"/>
    </row>
    <row r="40" spans="1:51" ht="18" customHeight="1" x14ac:dyDescent="0.3">
      <c r="A40" s="5">
        <v>35</v>
      </c>
      <c r="B40" s="17"/>
      <c r="C40" s="60"/>
      <c r="D40" s="33"/>
      <c r="E40" s="33"/>
      <c r="F40" s="22"/>
      <c r="G40" s="23"/>
      <c r="H40" s="178"/>
      <c r="I40" s="27"/>
      <c r="J40" s="27"/>
      <c r="K40" s="27"/>
      <c r="L40" s="15"/>
      <c r="M40" s="15"/>
      <c r="N40" s="173"/>
      <c r="O40" s="178"/>
      <c r="P40" s="27"/>
      <c r="Q40" s="27"/>
      <c r="R40" s="128"/>
      <c r="S40" s="15"/>
      <c r="T40" s="15"/>
      <c r="U40" s="173"/>
      <c r="V40" s="176"/>
      <c r="W40" s="24"/>
      <c r="X40" s="24"/>
      <c r="Y40" s="27"/>
      <c r="Z40" s="15"/>
      <c r="AA40" s="15"/>
      <c r="AB40" s="173"/>
      <c r="AC40" s="176"/>
      <c r="AD40" s="24"/>
      <c r="AE40" s="24"/>
      <c r="AF40" s="27"/>
      <c r="AG40" s="15"/>
      <c r="AH40" s="15"/>
      <c r="AI40" s="173"/>
      <c r="AJ40" s="176"/>
      <c r="AK40" s="24"/>
      <c r="AL40" s="24"/>
      <c r="AM40" s="27"/>
      <c r="AN40" s="15"/>
      <c r="AO40" s="15"/>
      <c r="AP40" s="173"/>
      <c r="AQ40" s="176"/>
      <c r="AR40" s="24"/>
      <c r="AS40" s="24"/>
      <c r="AT40" s="27"/>
      <c r="AU40" s="15"/>
      <c r="AV40" s="15"/>
      <c r="AW40" s="178"/>
      <c r="AX40" s="326"/>
      <c r="AY40" s="328"/>
    </row>
  </sheetData>
  <mergeCells count="19">
    <mergeCell ref="A2:A5"/>
    <mergeCell ref="B2:B5"/>
    <mergeCell ref="C2:D5"/>
    <mergeCell ref="E2:G2"/>
    <mergeCell ref="H2:N2"/>
    <mergeCell ref="AQ3:AW3"/>
    <mergeCell ref="E4:G4"/>
    <mergeCell ref="E5:G5"/>
    <mergeCell ref="V2:AB2"/>
    <mergeCell ref="AC2:AI2"/>
    <mergeCell ref="AJ2:AP2"/>
    <mergeCell ref="AQ2:AW2"/>
    <mergeCell ref="E3:G3"/>
    <mergeCell ref="H3:N3"/>
    <mergeCell ref="O3:U3"/>
    <mergeCell ref="V3:AB3"/>
    <mergeCell ref="AC3:AI3"/>
    <mergeCell ref="AJ3:AP3"/>
    <mergeCell ref="O2:U2"/>
  </mergeCells>
  <pageMargins left="0.96875" right="0" top="0.35433070866141736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A41"/>
  <sheetViews>
    <sheetView view="pageBreakPreview" topLeftCell="A7" zoomScale="120" zoomScaleNormal="120" zoomScaleSheetLayoutView="120" workbookViewId="0">
      <selection activeCell="W19" sqref="W19"/>
    </sheetView>
  </sheetViews>
  <sheetFormatPr defaultColWidth="9.125" defaultRowHeight="18.75" x14ac:dyDescent="0.3"/>
  <cols>
    <col min="1" max="1" width="2.875" style="78" customWidth="1"/>
    <col min="2" max="2" width="15.875" style="78" customWidth="1"/>
    <col min="3" max="27" width="2.625" style="78" customWidth="1"/>
    <col min="28" max="16384" width="9.125" style="78"/>
  </cols>
  <sheetData>
    <row r="1" spans="1:27" ht="18.75" customHeight="1" x14ac:dyDescent="0.3">
      <c r="A1" s="77"/>
      <c r="AA1" s="78">
        <v>8</v>
      </c>
    </row>
    <row r="2" spans="1:27" ht="18.75" customHeight="1" x14ac:dyDescent="0.3">
      <c r="A2" s="477" t="s">
        <v>226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9"/>
    </row>
    <row r="3" spans="1:27" ht="18.75" customHeight="1" thickBot="1" x14ac:dyDescent="0.35">
      <c r="A3" s="490" t="s">
        <v>128</v>
      </c>
      <c r="B3" s="491"/>
      <c r="C3" s="480">
        <v>1</v>
      </c>
      <c r="D3" s="481"/>
      <c r="E3" s="481"/>
      <c r="F3" s="481"/>
      <c r="G3" s="482"/>
      <c r="H3" s="480">
        <v>2</v>
      </c>
      <c r="I3" s="481"/>
      <c r="J3" s="481"/>
      <c r="K3" s="481"/>
      <c r="L3" s="482"/>
      <c r="M3" s="480">
        <v>3</v>
      </c>
      <c r="N3" s="481"/>
      <c r="O3" s="481"/>
      <c r="P3" s="481"/>
      <c r="Q3" s="482"/>
      <c r="R3" s="480">
        <v>4</v>
      </c>
      <c r="S3" s="481"/>
      <c r="T3" s="481"/>
      <c r="U3" s="481"/>
      <c r="V3" s="482"/>
      <c r="W3" s="480">
        <v>5</v>
      </c>
      <c r="X3" s="481"/>
      <c r="Y3" s="481"/>
      <c r="Z3" s="481"/>
      <c r="AA3" s="482"/>
    </row>
    <row r="4" spans="1:27" ht="20.100000000000001" customHeight="1" thickBot="1" x14ac:dyDescent="0.35">
      <c r="A4" s="492"/>
      <c r="B4" s="493"/>
      <c r="C4" s="483" t="s">
        <v>97</v>
      </c>
      <c r="D4" s="484"/>
      <c r="E4" s="485"/>
      <c r="F4" s="486" t="s">
        <v>34</v>
      </c>
      <c r="G4" s="486" t="s">
        <v>35</v>
      </c>
      <c r="H4" s="483" t="s">
        <v>97</v>
      </c>
      <c r="I4" s="484"/>
      <c r="J4" s="485"/>
      <c r="K4" s="486" t="s">
        <v>34</v>
      </c>
      <c r="L4" s="486" t="s">
        <v>35</v>
      </c>
      <c r="M4" s="483" t="s">
        <v>97</v>
      </c>
      <c r="N4" s="484"/>
      <c r="O4" s="485"/>
      <c r="P4" s="486" t="s">
        <v>34</v>
      </c>
      <c r="Q4" s="486" t="s">
        <v>35</v>
      </c>
      <c r="R4" s="483" t="s">
        <v>97</v>
      </c>
      <c r="S4" s="484"/>
      <c r="T4" s="485"/>
      <c r="U4" s="486" t="s">
        <v>34</v>
      </c>
      <c r="V4" s="486" t="s">
        <v>35</v>
      </c>
      <c r="W4" s="483" t="s">
        <v>97</v>
      </c>
      <c r="X4" s="484"/>
      <c r="Y4" s="485"/>
      <c r="Z4" s="486" t="s">
        <v>34</v>
      </c>
      <c r="AA4" s="486" t="s">
        <v>35</v>
      </c>
    </row>
    <row r="5" spans="1:27" ht="20.100000000000001" customHeight="1" thickBot="1" x14ac:dyDescent="0.35">
      <c r="A5" s="488" t="s">
        <v>27</v>
      </c>
      <c r="B5" s="79" t="s">
        <v>36</v>
      </c>
      <c r="C5" s="348"/>
      <c r="D5" s="81"/>
      <c r="E5" s="81"/>
      <c r="F5" s="487"/>
      <c r="G5" s="487"/>
      <c r="H5" s="350"/>
      <c r="I5" s="81"/>
      <c r="J5" s="81"/>
      <c r="K5" s="487"/>
      <c r="L5" s="487"/>
      <c r="M5" s="372"/>
      <c r="N5" s="81"/>
      <c r="O5" s="81"/>
      <c r="P5" s="487"/>
      <c r="Q5" s="487"/>
      <c r="R5" s="80"/>
      <c r="S5" s="81"/>
      <c r="T5" s="81"/>
      <c r="U5" s="487"/>
      <c r="V5" s="487"/>
      <c r="W5" s="80"/>
      <c r="X5" s="81"/>
      <c r="Y5" s="81"/>
      <c r="Z5" s="487"/>
      <c r="AA5" s="487"/>
    </row>
    <row r="6" spans="1:27" ht="18" customHeight="1" thickBot="1" x14ac:dyDescent="0.35">
      <c r="A6" s="489"/>
      <c r="B6" s="82" t="s">
        <v>37</v>
      </c>
      <c r="C6" s="381">
        <v>0</v>
      </c>
      <c r="D6" s="81"/>
      <c r="E6" s="81"/>
      <c r="F6" s="317">
        <f>SUM(C6:E6)</f>
        <v>0</v>
      </c>
      <c r="G6" s="317"/>
      <c r="H6" s="381">
        <v>0</v>
      </c>
      <c r="I6" s="81"/>
      <c r="J6" s="81"/>
      <c r="K6" s="317">
        <f>SUM(H6:J6)</f>
        <v>0</v>
      </c>
      <c r="L6" s="317"/>
      <c r="M6" s="381">
        <v>0</v>
      </c>
      <c r="N6" s="81"/>
      <c r="O6" s="81"/>
      <c r="P6" s="317">
        <f>SUM(M6:O6)</f>
        <v>0</v>
      </c>
      <c r="Q6" s="317"/>
      <c r="R6" s="381">
        <v>0</v>
      </c>
      <c r="S6" s="81"/>
      <c r="T6" s="81"/>
      <c r="U6" s="317">
        <f>SUM(R6:T6)</f>
        <v>0</v>
      </c>
      <c r="V6" s="317"/>
      <c r="W6" s="381">
        <v>0</v>
      </c>
      <c r="X6" s="81"/>
      <c r="Y6" s="81"/>
      <c r="Z6" s="317">
        <f>SUM(W6:Y6)</f>
        <v>0</v>
      </c>
      <c r="AA6" s="317"/>
    </row>
    <row r="7" spans="1:27" s="85" customFormat="1" ht="18" customHeight="1" x14ac:dyDescent="0.35">
      <c r="A7" s="83">
        <v>1</v>
      </c>
      <c r="B7" s="84" t="str">
        <f>'เวลาเรียน (2)'!C6</f>
        <v>เด็กชายธนาธร    กิติกาแดง</v>
      </c>
      <c r="C7" s="217"/>
      <c r="D7" s="218"/>
      <c r="E7" s="219"/>
      <c r="F7" s="220">
        <f>SUM(C7:E7)</f>
        <v>0</v>
      </c>
      <c r="G7" s="221"/>
      <c r="H7" s="217"/>
      <c r="I7" s="218"/>
      <c r="J7" s="219"/>
      <c r="K7" s="220">
        <f>SUM(H7:J7)</f>
        <v>0</v>
      </c>
      <c r="L7" s="221"/>
      <c r="M7" s="217"/>
      <c r="N7" s="218"/>
      <c r="O7" s="219"/>
      <c r="P7" s="220">
        <f>SUM(M7:O7)</f>
        <v>0</v>
      </c>
      <c r="Q7" s="221"/>
      <c r="R7" s="217"/>
      <c r="S7" s="218"/>
      <c r="T7" s="219"/>
      <c r="U7" s="220">
        <f>SUM(R7:T7)</f>
        <v>0</v>
      </c>
      <c r="V7" s="221"/>
      <c r="W7" s="217"/>
      <c r="X7" s="218"/>
      <c r="Y7" s="219"/>
      <c r="Z7" s="220">
        <f>SUM(W7:Y7)</f>
        <v>0</v>
      </c>
      <c r="AA7" s="221"/>
    </row>
    <row r="8" spans="1:27" s="85" customFormat="1" ht="18" customHeight="1" x14ac:dyDescent="0.35">
      <c r="A8" s="86">
        <v>2</v>
      </c>
      <c r="B8" s="87" t="str">
        <f>'เวลาเรียน (2)'!C7</f>
        <v>เด็กชายนิรวุฒิ  วันทอง</v>
      </c>
      <c r="C8" s="222"/>
      <c r="D8" s="223"/>
      <c r="E8" s="187"/>
      <c r="F8" s="220">
        <f t="shared" ref="F8:F12" si="0">SUM(C8:E8)</f>
        <v>0</v>
      </c>
      <c r="G8" s="224"/>
      <c r="H8" s="222"/>
      <c r="I8" s="223"/>
      <c r="J8" s="187"/>
      <c r="K8" s="220">
        <f t="shared" ref="K8:K12" si="1">SUM(H8:J8)</f>
        <v>0</v>
      </c>
      <c r="L8" s="224"/>
      <c r="M8" s="222"/>
      <c r="N8" s="223"/>
      <c r="O8" s="187"/>
      <c r="P8" s="220">
        <f t="shared" ref="P8:P12" si="2">SUM(M8:O8)</f>
        <v>0</v>
      </c>
      <c r="Q8" s="224"/>
      <c r="R8" s="222"/>
      <c r="S8" s="223"/>
      <c r="T8" s="187"/>
      <c r="U8" s="220">
        <f t="shared" ref="U8:U12" si="3">SUM(R8:T8)</f>
        <v>0</v>
      </c>
      <c r="V8" s="224"/>
      <c r="W8" s="222"/>
      <c r="X8" s="223"/>
      <c r="Y8" s="187"/>
      <c r="Z8" s="220">
        <f t="shared" ref="Z8:Z12" si="4">SUM(W8:Y8)</f>
        <v>0</v>
      </c>
      <c r="AA8" s="224"/>
    </row>
    <row r="9" spans="1:27" s="85" customFormat="1" ht="18" customHeight="1" x14ac:dyDescent="0.35">
      <c r="A9" s="86">
        <v>3</v>
      </c>
      <c r="B9" s="87" t="str">
        <f>'เวลาเรียน (2)'!C8</f>
        <v>เด็กชายศรันยู  รัตนมงคล</v>
      </c>
      <c r="C9" s="222"/>
      <c r="D9" s="223"/>
      <c r="E9" s="187"/>
      <c r="F9" s="220">
        <f t="shared" si="0"/>
        <v>0</v>
      </c>
      <c r="G9" s="224"/>
      <c r="H9" s="222"/>
      <c r="I9" s="223"/>
      <c r="J9" s="187"/>
      <c r="K9" s="220">
        <f t="shared" si="1"/>
        <v>0</v>
      </c>
      <c r="L9" s="224"/>
      <c r="M9" s="222"/>
      <c r="N9" s="223"/>
      <c r="O9" s="187"/>
      <c r="P9" s="220">
        <f t="shared" si="2"/>
        <v>0</v>
      </c>
      <c r="Q9" s="224"/>
      <c r="R9" s="222"/>
      <c r="S9" s="223"/>
      <c r="T9" s="187"/>
      <c r="U9" s="220">
        <f t="shared" si="3"/>
        <v>0</v>
      </c>
      <c r="V9" s="224"/>
      <c r="W9" s="222"/>
      <c r="X9" s="223"/>
      <c r="Y9" s="187"/>
      <c r="Z9" s="220">
        <f t="shared" si="4"/>
        <v>0</v>
      </c>
      <c r="AA9" s="224"/>
    </row>
    <row r="10" spans="1:27" s="85" customFormat="1" ht="18" customHeight="1" x14ac:dyDescent="0.35">
      <c r="A10" s="86">
        <v>4</v>
      </c>
      <c r="B10" s="87" t="str">
        <f>'เวลาเรียน (2)'!C9</f>
        <v>เด็กชายสิรธีร์  เวียงอินทร์</v>
      </c>
      <c r="C10" s="222"/>
      <c r="D10" s="223"/>
      <c r="E10" s="187"/>
      <c r="F10" s="220">
        <f t="shared" si="0"/>
        <v>0</v>
      </c>
      <c r="G10" s="224"/>
      <c r="H10" s="222"/>
      <c r="I10" s="223"/>
      <c r="J10" s="187"/>
      <c r="K10" s="220">
        <f t="shared" si="1"/>
        <v>0</v>
      </c>
      <c r="L10" s="224"/>
      <c r="M10" s="222"/>
      <c r="N10" s="223"/>
      <c r="O10" s="187"/>
      <c r="P10" s="220">
        <f t="shared" si="2"/>
        <v>0</v>
      </c>
      <c r="Q10" s="224"/>
      <c r="R10" s="222"/>
      <c r="S10" s="223"/>
      <c r="T10" s="187"/>
      <c r="U10" s="220">
        <f t="shared" si="3"/>
        <v>0</v>
      </c>
      <c r="V10" s="224"/>
      <c r="W10" s="222"/>
      <c r="X10" s="223"/>
      <c r="Y10" s="187"/>
      <c r="Z10" s="220">
        <f t="shared" si="4"/>
        <v>0</v>
      </c>
      <c r="AA10" s="224"/>
    </row>
    <row r="11" spans="1:27" s="85" customFormat="1" ht="18" customHeight="1" x14ac:dyDescent="0.35">
      <c r="A11" s="86">
        <v>5</v>
      </c>
      <c r="B11" s="87" t="str">
        <f>'เวลาเรียน (2)'!C10</f>
        <v>เด็กหญิงจิรภิญญา  เขื่อนพงษ์</v>
      </c>
      <c r="C11" s="222"/>
      <c r="D11" s="223"/>
      <c r="E11" s="187"/>
      <c r="F11" s="220">
        <f t="shared" si="0"/>
        <v>0</v>
      </c>
      <c r="G11" s="224"/>
      <c r="H11" s="222"/>
      <c r="I11" s="223"/>
      <c r="J11" s="187"/>
      <c r="K11" s="220">
        <f t="shared" si="1"/>
        <v>0</v>
      </c>
      <c r="L11" s="224"/>
      <c r="M11" s="222"/>
      <c r="N11" s="223"/>
      <c r="O11" s="187"/>
      <c r="P11" s="220">
        <f t="shared" si="2"/>
        <v>0</v>
      </c>
      <c r="Q11" s="224"/>
      <c r="R11" s="222"/>
      <c r="S11" s="223"/>
      <c r="T11" s="187"/>
      <c r="U11" s="220">
        <f t="shared" si="3"/>
        <v>0</v>
      </c>
      <c r="V11" s="224"/>
      <c r="W11" s="222"/>
      <c r="X11" s="223"/>
      <c r="Y11" s="187"/>
      <c r="Z11" s="220">
        <f t="shared" si="4"/>
        <v>0</v>
      </c>
      <c r="AA11" s="224"/>
    </row>
    <row r="12" spans="1:27" s="85" customFormat="1" ht="18" customHeight="1" x14ac:dyDescent="0.35">
      <c r="A12" s="86">
        <v>6</v>
      </c>
      <c r="B12" s="87" t="str">
        <f>'เวลาเรียน (2)'!C11</f>
        <v>เด็กหญิงภคพร  วงค์สา</v>
      </c>
      <c r="C12" s="222"/>
      <c r="D12" s="223"/>
      <c r="E12" s="187"/>
      <c r="F12" s="220">
        <f t="shared" si="0"/>
        <v>0</v>
      </c>
      <c r="G12" s="224"/>
      <c r="H12" s="222"/>
      <c r="I12" s="223"/>
      <c r="J12" s="187"/>
      <c r="K12" s="220">
        <f t="shared" si="1"/>
        <v>0</v>
      </c>
      <c r="L12" s="224"/>
      <c r="M12" s="222"/>
      <c r="N12" s="223"/>
      <c r="O12" s="187"/>
      <c r="P12" s="220">
        <f t="shared" si="2"/>
        <v>0</v>
      </c>
      <c r="Q12" s="224"/>
      <c r="R12" s="222"/>
      <c r="S12" s="223"/>
      <c r="T12" s="187"/>
      <c r="U12" s="220">
        <f t="shared" si="3"/>
        <v>0</v>
      </c>
      <c r="V12" s="224"/>
      <c r="W12" s="222"/>
      <c r="X12" s="223"/>
      <c r="Y12" s="187"/>
      <c r="Z12" s="220">
        <f t="shared" si="4"/>
        <v>0</v>
      </c>
      <c r="AA12" s="224"/>
    </row>
    <row r="13" spans="1:27" s="85" customFormat="1" ht="18" customHeight="1" x14ac:dyDescent="0.35">
      <c r="A13" s="86">
        <v>7</v>
      </c>
      <c r="B13" s="87" t="str">
        <f>'เวลาเรียน (2)'!C12</f>
        <v>เด็กหญิงศิริณภา  สุวรรณจันทร์</v>
      </c>
      <c r="C13" s="222"/>
      <c r="D13" s="223"/>
      <c r="E13" s="187"/>
      <c r="F13" s="220">
        <f t="shared" ref="F13:F15" si="5">SUM(C13:E13)</f>
        <v>0</v>
      </c>
      <c r="G13" s="224"/>
      <c r="H13" s="222"/>
      <c r="I13" s="223"/>
      <c r="J13" s="187"/>
      <c r="K13" s="220">
        <f t="shared" ref="K13:K15" si="6">SUM(H13:J13)</f>
        <v>0</v>
      </c>
      <c r="L13" s="224"/>
      <c r="M13" s="222"/>
      <c r="N13" s="223"/>
      <c r="O13" s="187"/>
      <c r="P13" s="220">
        <f t="shared" ref="P13:P15" si="7">SUM(M13:O13)</f>
        <v>0</v>
      </c>
      <c r="Q13" s="224"/>
      <c r="R13" s="222"/>
      <c r="S13" s="223"/>
      <c r="T13" s="187"/>
      <c r="U13" s="220">
        <f t="shared" ref="U13:U15" si="8">SUM(R13:T13)</f>
        <v>0</v>
      </c>
      <c r="V13" s="224"/>
      <c r="W13" s="222"/>
      <c r="X13" s="223"/>
      <c r="Y13" s="187"/>
      <c r="Z13" s="220">
        <f t="shared" ref="Z13:Z15" si="9">SUM(W13:Y13)</f>
        <v>0</v>
      </c>
      <c r="AA13" s="224"/>
    </row>
    <row r="14" spans="1:27" s="85" customFormat="1" ht="18" customHeight="1" x14ac:dyDescent="0.35">
      <c r="A14" s="86">
        <v>8</v>
      </c>
      <c r="B14" s="87" t="str">
        <f>'เวลาเรียน (2)'!C13</f>
        <v>เด็กหญิงศุภิสรา  โม้แซง</v>
      </c>
      <c r="C14" s="222"/>
      <c r="D14" s="223"/>
      <c r="E14" s="187"/>
      <c r="F14" s="220">
        <f t="shared" si="5"/>
        <v>0</v>
      </c>
      <c r="G14" s="224"/>
      <c r="H14" s="222"/>
      <c r="I14" s="223"/>
      <c r="J14" s="187"/>
      <c r="K14" s="220">
        <f t="shared" si="6"/>
        <v>0</v>
      </c>
      <c r="L14" s="224"/>
      <c r="M14" s="222"/>
      <c r="N14" s="223"/>
      <c r="O14" s="187"/>
      <c r="P14" s="220">
        <f t="shared" si="7"/>
        <v>0</v>
      </c>
      <c r="Q14" s="224"/>
      <c r="R14" s="222"/>
      <c r="S14" s="223"/>
      <c r="T14" s="187"/>
      <c r="U14" s="220">
        <f t="shared" si="8"/>
        <v>0</v>
      </c>
      <c r="V14" s="224"/>
      <c r="W14" s="222"/>
      <c r="X14" s="223"/>
      <c r="Y14" s="187"/>
      <c r="Z14" s="220">
        <f t="shared" si="9"/>
        <v>0</v>
      </c>
      <c r="AA14" s="224"/>
    </row>
    <row r="15" spans="1:27" s="85" customFormat="1" ht="18" customHeight="1" x14ac:dyDescent="0.35">
      <c r="A15" s="86">
        <v>9</v>
      </c>
      <c r="B15" s="87" t="str">
        <f>'เวลาเรียน (2)'!C14</f>
        <v>เด็กหญิงสุพิชชา  ชาวนาฮี</v>
      </c>
      <c r="C15" s="222"/>
      <c r="D15" s="223"/>
      <c r="E15" s="187"/>
      <c r="F15" s="220">
        <f t="shared" si="5"/>
        <v>0</v>
      </c>
      <c r="G15" s="224"/>
      <c r="H15" s="222"/>
      <c r="I15" s="223"/>
      <c r="J15" s="187"/>
      <c r="K15" s="220">
        <f t="shared" si="6"/>
        <v>0</v>
      </c>
      <c r="L15" s="224"/>
      <c r="M15" s="222"/>
      <c r="N15" s="223"/>
      <c r="O15" s="187"/>
      <c r="P15" s="220">
        <f t="shared" si="7"/>
        <v>0</v>
      </c>
      <c r="Q15" s="224"/>
      <c r="R15" s="222"/>
      <c r="S15" s="223"/>
      <c r="T15" s="187"/>
      <c r="U15" s="220">
        <f t="shared" si="8"/>
        <v>0</v>
      </c>
      <c r="V15" s="224"/>
      <c r="W15" s="222"/>
      <c r="X15" s="223"/>
      <c r="Y15" s="187"/>
      <c r="Z15" s="220">
        <f t="shared" si="9"/>
        <v>0</v>
      </c>
      <c r="AA15" s="224"/>
    </row>
    <row r="16" spans="1:27" s="85" customFormat="1" ht="18" customHeight="1" x14ac:dyDescent="0.35">
      <c r="A16" s="86">
        <v>10</v>
      </c>
      <c r="B16" s="87"/>
      <c r="C16" s="222"/>
      <c r="D16" s="223"/>
      <c r="E16" s="187"/>
      <c r="F16" s="220"/>
      <c r="G16" s="224"/>
      <c r="H16" s="222"/>
      <c r="I16" s="223"/>
      <c r="J16" s="187"/>
      <c r="K16" s="220"/>
      <c r="L16" s="224"/>
      <c r="M16" s="222"/>
      <c r="N16" s="223"/>
      <c r="O16" s="187"/>
      <c r="P16" s="220"/>
      <c r="Q16" s="224"/>
      <c r="R16" s="222"/>
      <c r="S16" s="223"/>
      <c r="T16" s="187"/>
      <c r="U16" s="220"/>
      <c r="V16" s="224"/>
      <c r="W16" s="222"/>
      <c r="X16" s="223"/>
      <c r="Y16" s="187"/>
      <c r="Z16" s="220"/>
      <c r="AA16" s="224"/>
    </row>
    <row r="17" spans="1:27" s="85" customFormat="1" ht="18" customHeight="1" x14ac:dyDescent="0.35">
      <c r="A17" s="86">
        <v>11</v>
      </c>
      <c r="B17" s="87"/>
      <c r="C17" s="222"/>
      <c r="D17" s="223"/>
      <c r="E17" s="187"/>
      <c r="F17" s="220"/>
      <c r="G17" s="224"/>
      <c r="H17" s="222"/>
      <c r="I17" s="223"/>
      <c r="J17" s="187"/>
      <c r="K17" s="220"/>
      <c r="L17" s="224"/>
      <c r="M17" s="222"/>
      <c r="N17" s="223"/>
      <c r="O17" s="187"/>
      <c r="P17" s="220"/>
      <c r="Q17" s="224"/>
      <c r="R17" s="222"/>
      <c r="S17" s="223"/>
      <c r="T17" s="187"/>
      <c r="U17" s="220"/>
      <c r="V17" s="224"/>
      <c r="W17" s="222"/>
      <c r="X17" s="223"/>
      <c r="Y17" s="187"/>
      <c r="Z17" s="220"/>
      <c r="AA17" s="224"/>
    </row>
    <row r="18" spans="1:27" s="85" customFormat="1" ht="18" customHeight="1" x14ac:dyDescent="0.35">
      <c r="A18" s="86">
        <v>12</v>
      </c>
      <c r="B18" s="87"/>
      <c r="C18" s="222"/>
      <c r="D18" s="223"/>
      <c r="E18" s="187"/>
      <c r="F18" s="220"/>
      <c r="G18" s="224"/>
      <c r="H18" s="222"/>
      <c r="I18" s="223"/>
      <c r="J18" s="187"/>
      <c r="K18" s="220"/>
      <c r="L18" s="224"/>
      <c r="M18" s="222"/>
      <c r="N18" s="223"/>
      <c r="O18" s="187"/>
      <c r="P18" s="220"/>
      <c r="Q18" s="224"/>
      <c r="R18" s="222"/>
      <c r="S18" s="223"/>
      <c r="T18" s="187"/>
      <c r="U18" s="220"/>
      <c r="V18" s="224"/>
      <c r="W18" s="222"/>
      <c r="X18" s="223"/>
      <c r="Y18" s="187"/>
      <c r="Z18" s="220"/>
      <c r="AA18" s="224"/>
    </row>
    <row r="19" spans="1:27" s="85" customFormat="1" ht="18" customHeight="1" x14ac:dyDescent="0.35">
      <c r="A19" s="86">
        <v>13</v>
      </c>
      <c r="B19" s="87"/>
      <c r="C19" s="222"/>
      <c r="D19" s="223"/>
      <c r="E19" s="187"/>
      <c r="F19" s="220"/>
      <c r="G19" s="224"/>
      <c r="H19" s="222"/>
      <c r="I19" s="223"/>
      <c r="J19" s="187"/>
      <c r="K19" s="220"/>
      <c r="L19" s="224"/>
      <c r="M19" s="222"/>
      <c r="N19" s="223"/>
      <c r="O19" s="187"/>
      <c r="P19" s="220"/>
      <c r="Q19" s="224"/>
      <c r="R19" s="222"/>
      <c r="S19" s="223"/>
      <c r="T19" s="187"/>
      <c r="U19" s="220"/>
      <c r="V19" s="224"/>
      <c r="W19" s="222"/>
      <c r="X19" s="223"/>
      <c r="Y19" s="187"/>
      <c r="Z19" s="220"/>
      <c r="AA19" s="224"/>
    </row>
    <row r="20" spans="1:27" s="85" customFormat="1" ht="18" customHeight="1" x14ac:dyDescent="0.35">
      <c r="A20" s="86">
        <v>14</v>
      </c>
      <c r="B20" s="87"/>
      <c r="C20" s="222"/>
      <c r="D20" s="223"/>
      <c r="E20" s="187"/>
      <c r="F20" s="220"/>
      <c r="G20" s="224"/>
      <c r="H20" s="222"/>
      <c r="I20" s="223"/>
      <c r="J20" s="187"/>
      <c r="K20" s="220"/>
      <c r="L20" s="224"/>
      <c r="M20" s="222"/>
      <c r="N20" s="223"/>
      <c r="O20" s="187"/>
      <c r="P20" s="220"/>
      <c r="Q20" s="224"/>
      <c r="R20" s="222"/>
      <c r="S20" s="223"/>
      <c r="T20" s="187"/>
      <c r="U20" s="220"/>
      <c r="V20" s="224"/>
      <c r="W20" s="222"/>
      <c r="X20" s="223"/>
      <c r="Y20" s="187"/>
      <c r="Z20" s="220"/>
      <c r="AA20" s="224"/>
    </row>
    <row r="21" spans="1:27" s="85" customFormat="1" ht="18" customHeight="1" x14ac:dyDescent="0.35">
      <c r="A21" s="86">
        <v>15</v>
      </c>
      <c r="B21" s="87"/>
      <c r="C21" s="222"/>
      <c r="D21" s="223"/>
      <c r="E21" s="187"/>
      <c r="F21" s="220"/>
      <c r="G21" s="224"/>
      <c r="H21" s="222"/>
      <c r="I21" s="223"/>
      <c r="J21" s="187"/>
      <c r="K21" s="220"/>
      <c r="L21" s="224"/>
      <c r="M21" s="222"/>
      <c r="N21" s="223"/>
      <c r="O21" s="187"/>
      <c r="P21" s="220"/>
      <c r="Q21" s="224"/>
      <c r="R21" s="222"/>
      <c r="S21" s="223"/>
      <c r="T21" s="187"/>
      <c r="U21" s="220"/>
      <c r="V21" s="224"/>
      <c r="W21" s="222"/>
      <c r="X21" s="223"/>
      <c r="Y21" s="187"/>
      <c r="Z21" s="220"/>
      <c r="AA21" s="224"/>
    </row>
    <row r="22" spans="1:27" s="85" customFormat="1" ht="18" customHeight="1" x14ac:dyDescent="0.35">
      <c r="A22" s="86">
        <v>16</v>
      </c>
      <c r="B22" s="87"/>
      <c r="C22" s="222"/>
      <c r="D22" s="223"/>
      <c r="E22" s="187"/>
      <c r="F22" s="220"/>
      <c r="G22" s="224"/>
      <c r="H22" s="222"/>
      <c r="I22" s="223"/>
      <c r="J22" s="187"/>
      <c r="K22" s="220"/>
      <c r="L22" s="224"/>
      <c r="M22" s="222"/>
      <c r="N22" s="223"/>
      <c r="O22" s="187"/>
      <c r="P22" s="220"/>
      <c r="Q22" s="224"/>
      <c r="R22" s="222"/>
      <c r="S22" s="223"/>
      <c r="T22" s="187"/>
      <c r="U22" s="220"/>
      <c r="V22" s="224"/>
      <c r="W22" s="222"/>
      <c r="X22" s="223"/>
      <c r="Y22" s="187"/>
      <c r="Z22" s="220"/>
      <c r="AA22" s="224"/>
    </row>
    <row r="23" spans="1:27" s="85" customFormat="1" ht="18" customHeight="1" x14ac:dyDescent="0.35">
      <c r="A23" s="86">
        <v>17</v>
      </c>
      <c r="B23" s="87"/>
      <c r="C23" s="222"/>
      <c r="D23" s="223"/>
      <c r="E23" s="187"/>
      <c r="F23" s="220"/>
      <c r="G23" s="224"/>
      <c r="H23" s="222"/>
      <c r="I23" s="223"/>
      <c r="J23" s="187"/>
      <c r="K23" s="220"/>
      <c r="L23" s="224"/>
      <c r="M23" s="222"/>
      <c r="N23" s="223"/>
      <c r="O23" s="187"/>
      <c r="P23" s="220"/>
      <c r="Q23" s="224"/>
      <c r="R23" s="222"/>
      <c r="S23" s="223"/>
      <c r="T23" s="187"/>
      <c r="U23" s="220"/>
      <c r="V23" s="224"/>
      <c r="W23" s="222"/>
      <c r="X23" s="223"/>
      <c r="Y23" s="187"/>
      <c r="Z23" s="220"/>
      <c r="AA23" s="224"/>
    </row>
    <row r="24" spans="1:27" s="85" customFormat="1" ht="18" customHeight="1" x14ac:dyDescent="0.35">
      <c r="A24" s="86">
        <v>18</v>
      </c>
      <c r="B24" s="87"/>
      <c r="C24" s="222"/>
      <c r="D24" s="223"/>
      <c r="E24" s="187"/>
      <c r="F24" s="220"/>
      <c r="G24" s="224"/>
      <c r="H24" s="222"/>
      <c r="I24" s="223"/>
      <c r="J24" s="187"/>
      <c r="K24" s="220"/>
      <c r="L24" s="224"/>
      <c r="M24" s="222"/>
      <c r="N24" s="223"/>
      <c r="O24" s="187"/>
      <c r="P24" s="220"/>
      <c r="Q24" s="224"/>
      <c r="R24" s="222"/>
      <c r="S24" s="223"/>
      <c r="T24" s="187"/>
      <c r="U24" s="220"/>
      <c r="V24" s="224"/>
      <c r="W24" s="222"/>
      <c r="X24" s="223"/>
      <c r="Y24" s="187"/>
      <c r="Z24" s="220"/>
      <c r="AA24" s="224"/>
    </row>
    <row r="25" spans="1:27" s="85" customFormat="1" ht="18" customHeight="1" x14ac:dyDescent="0.35">
      <c r="A25" s="86">
        <v>19</v>
      </c>
      <c r="B25" s="87"/>
      <c r="C25" s="222"/>
      <c r="D25" s="223"/>
      <c r="E25" s="187"/>
      <c r="F25" s="220"/>
      <c r="G25" s="224"/>
      <c r="H25" s="222"/>
      <c r="I25" s="223"/>
      <c r="J25" s="187"/>
      <c r="K25" s="220"/>
      <c r="L25" s="224"/>
      <c r="M25" s="222"/>
      <c r="N25" s="223"/>
      <c r="O25" s="187"/>
      <c r="P25" s="220"/>
      <c r="Q25" s="224"/>
      <c r="R25" s="222"/>
      <c r="S25" s="223"/>
      <c r="T25" s="187"/>
      <c r="U25" s="220"/>
      <c r="V25" s="224"/>
      <c r="W25" s="222"/>
      <c r="X25" s="223"/>
      <c r="Y25" s="187"/>
      <c r="Z25" s="220"/>
      <c r="AA25" s="224"/>
    </row>
    <row r="26" spans="1:27" s="85" customFormat="1" ht="18" customHeight="1" x14ac:dyDescent="0.35">
      <c r="A26" s="86">
        <v>20</v>
      </c>
      <c r="B26" s="87"/>
      <c r="C26" s="222"/>
      <c r="D26" s="223"/>
      <c r="E26" s="187"/>
      <c r="F26" s="220"/>
      <c r="G26" s="224"/>
      <c r="H26" s="222"/>
      <c r="I26" s="223"/>
      <c r="J26" s="187"/>
      <c r="K26" s="220"/>
      <c r="L26" s="224"/>
      <c r="M26" s="222"/>
      <c r="N26" s="223"/>
      <c r="O26" s="187"/>
      <c r="P26" s="220"/>
      <c r="Q26" s="224"/>
      <c r="R26" s="222"/>
      <c r="S26" s="223"/>
      <c r="T26" s="187"/>
      <c r="U26" s="220"/>
      <c r="V26" s="224"/>
      <c r="W26" s="222"/>
      <c r="X26" s="223"/>
      <c r="Y26" s="187"/>
      <c r="Z26" s="220"/>
      <c r="AA26" s="224"/>
    </row>
    <row r="27" spans="1:27" s="85" customFormat="1" ht="18" customHeight="1" x14ac:dyDescent="0.35">
      <c r="A27" s="86">
        <v>21</v>
      </c>
      <c r="B27" s="87"/>
      <c r="C27" s="222"/>
      <c r="D27" s="223"/>
      <c r="E27" s="187"/>
      <c r="F27" s="220"/>
      <c r="G27" s="224"/>
      <c r="H27" s="222"/>
      <c r="I27" s="223"/>
      <c r="J27" s="187"/>
      <c r="K27" s="220"/>
      <c r="L27" s="224"/>
      <c r="M27" s="222"/>
      <c r="N27" s="223"/>
      <c r="O27" s="187"/>
      <c r="P27" s="220"/>
      <c r="Q27" s="224"/>
      <c r="R27" s="222"/>
      <c r="S27" s="223"/>
      <c r="T27" s="187"/>
      <c r="U27" s="220"/>
      <c r="V27" s="224"/>
      <c r="W27" s="222"/>
      <c r="X27" s="223"/>
      <c r="Y27" s="187"/>
      <c r="Z27" s="220"/>
      <c r="AA27" s="224"/>
    </row>
    <row r="28" spans="1:27" s="85" customFormat="1" ht="18" customHeight="1" x14ac:dyDescent="0.35">
      <c r="A28" s="86">
        <v>22</v>
      </c>
      <c r="B28" s="87"/>
      <c r="C28" s="222"/>
      <c r="D28" s="223"/>
      <c r="E28" s="187"/>
      <c r="F28" s="220"/>
      <c r="G28" s="224"/>
      <c r="H28" s="222"/>
      <c r="I28" s="223"/>
      <c r="J28" s="187"/>
      <c r="K28" s="220"/>
      <c r="L28" s="224"/>
      <c r="M28" s="222"/>
      <c r="N28" s="223"/>
      <c r="O28" s="187"/>
      <c r="P28" s="220"/>
      <c r="Q28" s="224"/>
      <c r="R28" s="222"/>
      <c r="S28" s="223"/>
      <c r="T28" s="187"/>
      <c r="U28" s="220"/>
      <c r="V28" s="224"/>
      <c r="W28" s="222"/>
      <c r="X28" s="223"/>
      <c r="Y28" s="187"/>
      <c r="Z28" s="220"/>
      <c r="AA28" s="224"/>
    </row>
    <row r="29" spans="1:27" s="85" customFormat="1" ht="18" customHeight="1" x14ac:dyDescent="0.35">
      <c r="A29" s="90">
        <v>23</v>
      </c>
      <c r="B29" s="87"/>
      <c r="C29" s="222"/>
      <c r="D29" s="223"/>
      <c r="E29" s="187"/>
      <c r="F29" s="220"/>
      <c r="G29" s="220"/>
      <c r="H29" s="222"/>
      <c r="I29" s="223"/>
      <c r="J29" s="187"/>
      <c r="K29" s="220"/>
      <c r="L29" s="220"/>
      <c r="M29" s="222"/>
      <c r="N29" s="223"/>
      <c r="O29" s="187"/>
      <c r="P29" s="220"/>
      <c r="Q29" s="220"/>
      <c r="R29" s="222"/>
      <c r="S29" s="223"/>
      <c r="T29" s="187"/>
      <c r="U29" s="220"/>
      <c r="V29" s="220"/>
      <c r="W29" s="222"/>
      <c r="X29" s="223"/>
      <c r="Y29" s="187"/>
      <c r="Z29" s="220"/>
      <c r="AA29" s="220"/>
    </row>
    <row r="30" spans="1:27" s="85" customFormat="1" ht="18" customHeight="1" x14ac:dyDescent="0.35">
      <c r="A30" s="86">
        <v>24</v>
      </c>
      <c r="B30" s="87"/>
      <c r="C30" s="222"/>
      <c r="D30" s="223"/>
      <c r="E30" s="187"/>
      <c r="F30" s="220"/>
      <c r="G30" s="224"/>
      <c r="H30" s="222"/>
      <c r="I30" s="223"/>
      <c r="J30" s="187"/>
      <c r="K30" s="220"/>
      <c r="L30" s="224"/>
      <c r="M30" s="222"/>
      <c r="N30" s="223"/>
      <c r="O30" s="187"/>
      <c r="P30" s="220"/>
      <c r="Q30" s="224"/>
      <c r="R30" s="222"/>
      <c r="S30" s="223"/>
      <c r="T30" s="187"/>
      <c r="U30" s="220"/>
      <c r="V30" s="224"/>
      <c r="W30" s="222"/>
      <c r="X30" s="223"/>
      <c r="Y30" s="187"/>
      <c r="Z30" s="220"/>
      <c r="AA30" s="224"/>
    </row>
    <row r="31" spans="1:27" s="85" customFormat="1" ht="18" customHeight="1" x14ac:dyDescent="0.35">
      <c r="A31" s="86">
        <v>25</v>
      </c>
      <c r="B31" s="87"/>
      <c r="C31" s="222"/>
      <c r="D31" s="223"/>
      <c r="E31" s="187"/>
      <c r="F31" s="220"/>
      <c r="G31" s="224"/>
      <c r="H31" s="222"/>
      <c r="I31" s="223"/>
      <c r="J31" s="187"/>
      <c r="K31" s="220"/>
      <c r="L31" s="224"/>
      <c r="M31" s="222"/>
      <c r="N31" s="223"/>
      <c r="O31" s="187"/>
      <c r="P31" s="220"/>
      <c r="Q31" s="224"/>
      <c r="R31" s="222"/>
      <c r="S31" s="223"/>
      <c r="T31" s="187"/>
      <c r="U31" s="220"/>
      <c r="V31" s="224"/>
      <c r="W31" s="222"/>
      <c r="X31" s="223"/>
      <c r="Y31" s="187"/>
      <c r="Z31" s="220"/>
      <c r="AA31" s="224"/>
    </row>
    <row r="32" spans="1:27" s="85" customFormat="1" ht="18" customHeight="1" x14ac:dyDescent="0.35">
      <c r="A32" s="86">
        <v>26</v>
      </c>
      <c r="B32" s="87"/>
      <c r="C32" s="222"/>
      <c r="D32" s="223"/>
      <c r="E32" s="187"/>
      <c r="F32" s="220"/>
      <c r="G32" s="224"/>
      <c r="H32" s="222"/>
      <c r="I32" s="223"/>
      <c r="J32" s="187"/>
      <c r="K32" s="220"/>
      <c r="L32" s="224"/>
      <c r="M32" s="222"/>
      <c r="N32" s="223"/>
      <c r="O32" s="187"/>
      <c r="P32" s="220"/>
      <c r="Q32" s="224"/>
      <c r="R32" s="222"/>
      <c r="S32" s="223"/>
      <c r="T32" s="187"/>
      <c r="U32" s="220"/>
      <c r="V32" s="224"/>
      <c r="W32" s="222"/>
      <c r="X32" s="223"/>
      <c r="Y32" s="187"/>
      <c r="Z32" s="220"/>
      <c r="AA32" s="224"/>
    </row>
    <row r="33" spans="1:27" s="85" customFormat="1" ht="18" customHeight="1" x14ac:dyDescent="0.35">
      <c r="A33" s="86">
        <v>27</v>
      </c>
      <c r="B33" s="87"/>
      <c r="C33" s="222"/>
      <c r="D33" s="223"/>
      <c r="E33" s="187"/>
      <c r="F33" s="220"/>
      <c r="G33" s="224"/>
      <c r="H33" s="222"/>
      <c r="I33" s="223"/>
      <c r="J33" s="187"/>
      <c r="K33" s="220"/>
      <c r="L33" s="224"/>
      <c r="M33" s="222"/>
      <c r="N33" s="223"/>
      <c r="O33" s="187"/>
      <c r="P33" s="220"/>
      <c r="Q33" s="224"/>
      <c r="R33" s="222"/>
      <c r="S33" s="223"/>
      <c r="T33" s="187"/>
      <c r="U33" s="220"/>
      <c r="V33" s="224"/>
      <c r="W33" s="222"/>
      <c r="X33" s="223"/>
      <c r="Y33" s="187"/>
      <c r="Z33" s="220"/>
      <c r="AA33" s="224"/>
    </row>
    <row r="34" spans="1:27" s="85" customFormat="1" ht="18" customHeight="1" x14ac:dyDescent="0.35">
      <c r="A34" s="90">
        <v>28</v>
      </c>
      <c r="B34" s="87"/>
      <c r="C34" s="222"/>
      <c r="D34" s="223"/>
      <c r="E34" s="187"/>
      <c r="F34" s="220"/>
      <c r="G34" s="220"/>
      <c r="H34" s="222"/>
      <c r="I34" s="223"/>
      <c r="J34" s="187"/>
      <c r="K34" s="220"/>
      <c r="L34" s="220"/>
      <c r="M34" s="222"/>
      <c r="N34" s="223"/>
      <c r="O34" s="187"/>
      <c r="P34" s="220"/>
      <c r="Q34" s="220"/>
      <c r="R34" s="222"/>
      <c r="S34" s="223"/>
      <c r="T34" s="187"/>
      <c r="U34" s="220"/>
      <c r="V34" s="220"/>
      <c r="W34" s="222"/>
      <c r="X34" s="223"/>
      <c r="Y34" s="187"/>
      <c r="Z34" s="220"/>
      <c r="AA34" s="220"/>
    </row>
    <row r="35" spans="1:27" s="85" customFormat="1" ht="18" customHeight="1" x14ac:dyDescent="0.35">
      <c r="A35" s="86">
        <v>29</v>
      </c>
      <c r="B35" s="87"/>
      <c r="C35" s="222"/>
      <c r="D35" s="223"/>
      <c r="E35" s="187"/>
      <c r="F35" s="220"/>
      <c r="G35" s="224"/>
      <c r="H35" s="222"/>
      <c r="I35" s="223"/>
      <c r="J35" s="187"/>
      <c r="K35" s="220"/>
      <c r="L35" s="224"/>
      <c r="M35" s="222"/>
      <c r="N35" s="223"/>
      <c r="O35" s="187"/>
      <c r="P35" s="220"/>
      <c r="Q35" s="224"/>
      <c r="R35" s="222"/>
      <c r="S35" s="223"/>
      <c r="T35" s="187"/>
      <c r="U35" s="220"/>
      <c r="V35" s="224"/>
      <c r="W35" s="222"/>
      <c r="X35" s="223"/>
      <c r="Y35" s="187"/>
      <c r="Z35" s="220"/>
      <c r="AA35" s="224"/>
    </row>
    <row r="36" spans="1:27" s="85" customFormat="1" ht="18" customHeight="1" x14ac:dyDescent="0.35">
      <c r="A36" s="86">
        <v>30</v>
      </c>
      <c r="B36" s="87"/>
      <c r="C36" s="222"/>
      <c r="D36" s="223"/>
      <c r="E36" s="187"/>
      <c r="F36" s="220"/>
      <c r="G36" s="224"/>
      <c r="H36" s="222"/>
      <c r="I36" s="223"/>
      <c r="J36" s="187"/>
      <c r="K36" s="220"/>
      <c r="L36" s="224"/>
      <c r="M36" s="222"/>
      <c r="N36" s="223"/>
      <c r="O36" s="187"/>
      <c r="P36" s="220"/>
      <c r="Q36" s="224"/>
      <c r="R36" s="222"/>
      <c r="S36" s="223"/>
      <c r="T36" s="187"/>
      <c r="U36" s="220"/>
      <c r="V36" s="224"/>
      <c r="W36" s="222"/>
      <c r="X36" s="223"/>
      <c r="Y36" s="187"/>
      <c r="Z36" s="220"/>
      <c r="AA36" s="224"/>
    </row>
    <row r="37" spans="1:27" s="85" customFormat="1" ht="18" customHeight="1" x14ac:dyDescent="0.35">
      <c r="A37" s="86">
        <v>31</v>
      </c>
      <c r="B37" s="87"/>
      <c r="C37" s="222"/>
      <c r="D37" s="223"/>
      <c r="E37" s="187"/>
      <c r="F37" s="220"/>
      <c r="G37" s="224"/>
      <c r="H37" s="222"/>
      <c r="I37" s="223"/>
      <c r="J37" s="187"/>
      <c r="K37" s="220"/>
      <c r="L37" s="224"/>
      <c r="M37" s="222"/>
      <c r="N37" s="223"/>
      <c r="O37" s="187"/>
      <c r="P37" s="220"/>
      <c r="Q37" s="224"/>
      <c r="R37" s="222"/>
      <c r="S37" s="223"/>
      <c r="T37" s="187"/>
      <c r="U37" s="220"/>
      <c r="V37" s="224"/>
      <c r="W37" s="222"/>
      <c r="X37" s="223"/>
      <c r="Y37" s="187"/>
      <c r="Z37" s="220"/>
      <c r="AA37" s="224"/>
    </row>
    <row r="38" spans="1:27" s="85" customFormat="1" ht="18" customHeight="1" x14ac:dyDescent="0.35">
      <c r="A38" s="86">
        <v>32</v>
      </c>
      <c r="B38" s="91"/>
      <c r="C38" s="225"/>
      <c r="D38" s="226"/>
      <c r="E38" s="227"/>
      <c r="F38" s="220"/>
      <c r="G38" s="220"/>
      <c r="H38" s="225"/>
      <c r="I38" s="226"/>
      <c r="J38" s="227"/>
      <c r="K38" s="220"/>
      <c r="L38" s="220"/>
      <c r="M38" s="225"/>
      <c r="N38" s="226"/>
      <c r="O38" s="227"/>
      <c r="P38" s="220"/>
      <c r="Q38" s="220"/>
      <c r="R38" s="225"/>
      <c r="S38" s="226"/>
      <c r="T38" s="227"/>
      <c r="U38" s="220"/>
      <c r="V38" s="220"/>
      <c r="W38" s="225"/>
      <c r="X38" s="226"/>
      <c r="Y38" s="227"/>
      <c r="Z38" s="220"/>
      <c r="AA38" s="220"/>
    </row>
    <row r="39" spans="1:27" s="85" customFormat="1" ht="18" customHeight="1" x14ac:dyDescent="0.35">
      <c r="A39" s="86">
        <v>33</v>
      </c>
      <c r="B39" s="92"/>
      <c r="C39" s="222"/>
      <c r="D39" s="223"/>
      <c r="E39" s="187"/>
      <c r="F39" s="220"/>
      <c r="G39" s="224"/>
      <c r="H39" s="222"/>
      <c r="I39" s="223"/>
      <c r="J39" s="187"/>
      <c r="K39" s="220"/>
      <c r="L39" s="224"/>
      <c r="M39" s="222"/>
      <c r="N39" s="223"/>
      <c r="O39" s="187"/>
      <c r="P39" s="220"/>
      <c r="Q39" s="224"/>
      <c r="R39" s="222"/>
      <c r="S39" s="223"/>
      <c r="T39" s="187"/>
      <c r="U39" s="220"/>
      <c r="V39" s="224"/>
      <c r="W39" s="222"/>
      <c r="X39" s="223"/>
      <c r="Y39" s="187"/>
      <c r="Z39" s="220"/>
      <c r="AA39" s="224"/>
    </row>
    <row r="40" spans="1:27" s="85" customFormat="1" ht="18" customHeight="1" x14ac:dyDescent="0.35">
      <c r="A40" s="86">
        <v>34</v>
      </c>
      <c r="B40" s="92"/>
      <c r="C40" s="225"/>
      <c r="D40" s="226"/>
      <c r="E40" s="227"/>
      <c r="F40" s="220"/>
      <c r="G40" s="220"/>
      <c r="H40" s="225"/>
      <c r="I40" s="226"/>
      <c r="J40" s="227"/>
      <c r="K40" s="220"/>
      <c r="L40" s="220"/>
      <c r="M40" s="225"/>
      <c r="N40" s="226"/>
      <c r="O40" s="227"/>
      <c r="P40" s="220"/>
      <c r="Q40" s="220"/>
      <c r="R40" s="225"/>
      <c r="S40" s="226"/>
      <c r="T40" s="227"/>
      <c r="U40" s="220"/>
      <c r="V40" s="220"/>
      <c r="W40" s="225"/>
      <c r="X40" s="226"/>
      <c r="Y40" s="227"/>
      <c r="Z40" s="220"/>
      <c r="AA40" s="220"/>
    </row>
    <row r="41" spans="1:27" s="85" customFormat="1" ht="18" customHeight="1" x14ac:dyDescent="0.35">
      <c r="A41" s="86">
        <v>35</v>
      </c>
      <c r="B41" s="87"/>
      <c r="C41" s="222"/>
      <c r="D41" s="223"/>
      <c r="E41" s="187"/>
      <c r="F41" s="224"/>
      <c r="G41" s="224"/>
      <c r="H41" s="222"/>
      <c r="I41" s="223"/>
      <c r="J41" s="187"/>
      <c r="K41" s="224"/>
      <c r="L41" s="224"/>
      <c r="M41" s="222"/>
      <c r="N41" s="223"/>
      <c r="O41" s="187"/>
      <c r="P41" s="224"/>
      <c r="Q41" s="224"/>
      <c r="R41" s="222"/>
      <c r="S41" s="223"/>
      <c r="T41" s="187"/>
      <c r="U41" s="224"/>
      <c r="V41" s="224"/>
      <c r="W41" s="222"/>
      <c r="X41" s="223"/>
      <c r="Y41" s="187"/>
      <c r="Z41" s="224"/>
      <c r="AA41" s="224"/>
    </row>
  </sheetData>
  <mergeCells count="23">
    <mergeCell ref="AA4:AA5"/>
    <mergeCell ref="Z4:Z5"/>
    <mergeCell ref="A5:A6"/>
    <mergeCell ref="A3:B4"/>
    <mergeCell ref="F4:F5"/>
    <mergeCell ref="G4:G5"/>
    <mergeCell ref="U4:U5"/>
    <mergeCell ref="A2:AA2"/>
    <mergeCell ref="C3:G3"/>
    <mergeCell ref="C4:E4"/>
    <mergeCell ref="H3:L3"/>
    <mergeCell ref="H4:J4"/>
    <mergeCell ref="K4:K5"/>
    <mergeCell ref="L4:L5"/>
    <mergeCell ref="M3:Q3"/>
    <mergeCell ref="M4:O4"/>
    <mergeCell ref="P4:P5"/>
    <mergeCell ref="Q4:Q5"/>
    <mergeCell ref="R3:V3"/>
    <mergeCell ref="R4:T4"/>
    <mergeCell ref="V4:V5"/>
    <mergeCell ref="W3:AA3"/>
    <mergeCell ref="W4:Y4"/>
  </mergeCells>
  <pageMargins left="0.38541666666666669" right="0.17708333333333334" top="0.15748031496062992" bottom="0.15748031496062992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A41"/>
  <sheetViews>
    <sheetView view="pageBreakPreview" topLeftCell="A7" zoomScale="120" zoomScaleNormal="120" zoomScaleSheetLayoutView="120" workbookViewId="0">
      <selection activeCell="T18" sqref="T18"/>
    </sheetView>
  </sheetViews>
  <sheetFormatPr defaultColWidth="9.125" defaultRowHeight="18.75" x14ac:dyDescent="0.3"/>
  <cols>
    <col min="1" max="1" width="2.875" style="78" customWidth="1"/>
    <col min="2" max="2" width="15.875" style="78" customWidth="1"/>
    <col min="3" max="27" width="2.625" style="78" customWidth="1"/>
    <col min="28" max="16384" width="9.125" style="78"/>
  </cols>
  <sheetData>
    <row r="1" spans="1:27" ht="18.75" customHeight="1" x14ac:dyDescent="0.3">
      <c r="A1" s="77"/>
      <c r="AA1" s="78">
        <v>9</v>
      </c>
    </row>
    <row r="2" spans="1:27" ht="18.75" customHeight="1" x14ac:dyDescent="0.3">
      <c r="A2" s="477" t="s">
        <v>227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9"/>
    </row>
    <row r="3" spans="1:27" ht="18.75" customHeight="1" thickBot="1" x14ac:dyDescent="0.35">
      <c r="A3" s="490" t="s">
        <v>128</v>
      </c>
      <c r="B3" s="491"/>
      <c r="C3" s="480">
        <v>1</v>
      </c>
      <c r="D3" s="481"/>
      <c r="E3" s="481"/>
      <c r="F3" s="481"/>
      <c r="G3" s="482"/>
      <c r="H3" s="480">
        <v>2</v>
      </c>
      <c r="I3" s="481"/>
      <c r="J3" s="481"/>
      <c r="K3" s="481"/>
      <c r="L3" s="482"/>
      <c r="M3" s="480">
        <v>3</v>
      </c>
      <c r="N3" s="481"/>
      <c r="O3" s="481"/>
      <c r="P3" s="481"/>
      <c r="Q3" s="482"/>
      <c r="R3" s="480">
        <v>4</v>
      </c>
      <c r="S3" s="481"/>
      <c r="T3" s="481"/>
      <c r="U3" s="481"/>
      <c r="V3" s="482"/>
      <c r="W3" s="480">
        <v>5</v>
      </c>
      <c r="X3" s="481"/>
      <c r="Y3" s="481"/>
      <c r="Z3" s="481"/>
      <c r="AA3" s="482"/>
    </row>
    <row r="4" spans="1:27" ht="20.100000000000001" customHeight="1" thickBot="1" x14ac:dyDescent="0.35">
      <c r="A4" s="492"/>
      <c r="B4" s="493"/>
      <c r="C4" s="483" t="s">
        <v>97</v>
      </c>
      <c r="D4" s="484"/>
      <c r="E4" s="485"/>
      <c r="F4" s="486" t="s">
        <v>34</v>
      </c>
      <c r="G4" s="486" t="s">
        <v>35</v>
      </c>
      <c r="H4" s="483" t="s">
        <v>97</v>
      </c>
      <c r="I4" s="484"/>
      <c r="J4" s="485"/>
      <c r="K4" s="486" t="s">
        <v>34</v>
      </c>
      <c r="L4" s="486" t="s">
        <v>35</v>
      </c>
      <c r="M4" s="483" t="s">
        <v>97</v>
      </c>
      <c r="N4" s="484"/>
      <c r="O4" s="485"/>
      <c r="P4" s="486" t="s">
        <v>34</v>
      </c>
      <c r="Q4" s="486" t="s">
        <v>35</v>
      </c>
      <c r="R4" s="483" t="s">
        <v>97</v>
      </c>
      <c r="S4" s="484"/>
      <c r="T4" s="485"/>
      <c r="U4" s="486" t="s">
        <v>34</v>
      </c>
      <c r="V4" s="486" t="s">
        <v>35</v>
      </c>
      <c r="W4" s="483" t="s">
        <v>97</v>
      </c>
      <c r="X4" s="484"/>
      <c r="Y4" s="485"/>
      <c r="Z4" s="486" t="s">
        <v>34</v>
      </c>
      <c r="AA4" s="486" t="s">
        <v>35</v>
      </c>
    </row>
    <row r="5" spans="1:27" ht="20.100000000000001" customHeight="1" thickBot="1" x14ac:dyDescent="0.35">
      <c r="A5" s="488" t="s">
        <v>27</v>
      </c>
      <c r="B5" s="79" t="s">
        <v>36</v>
      </c>
      <c r="C5" s="372"/>
      <c r="D5" s="81"/>
      <c r="E5" s="81"/>
      <c r="F5" s="487"/>
      <c r="G5" s="487"/>
      <c r="H5" s="349"/>
      <c r="I5" s="81"/>
      <c r="J5" s="81"/>
      <c r="K5" s="487"/>
      <c r="L5" s="487"/>
      <c r="M5" s="349"/>
      <c r="N5" s="81"/>
      <c r="O5" s="81"/>
      <c r="P5" s="487"/>
      <c r="Q5" s="487"/>
      <c r="R5" s="349"/>
      <c r="S5" s="81"/>
      <c r="T5" s="81"/>
      <c r="U5" s="487"/>
      <c r="V5" s="487"/>
      <c r="W5" s="80"/>
      <c r="X5" s="81"/>
      <c r="Y5" s="81"/>
      <c r="Z5" s="487"/>
      <c r="AA5" s="487"/>
    </row>
    <row r="6" spans="1:27" ht="18" customHeight="1" thickBot="1" x14ac:dyDescent="0.35">
      <c r="A6" s="489"/>
      <c r="B6" s="82" t="s">
        <v>37</v>
      </c>
      <c r="C6" s="381">
        <v>0</v>
      </c>
      <c r="D6" s="81"/>
      <c r="E6" s="81"/>
      <c r="F6" s="317">
        <f>SUM(C6:E6)</f>
        <v>0</v>
      </c>
      <c r="G6" s="317"/>
      <c r="H6" s="381">
        <v>0</v>
      </c>
      <c r="I6" s="81"/>
      <c r="J6" s="81"/>
      <c r="K6" s="317">
        <f>SUM(H6:J6)</f>
        <v>0</v>
      </c>
      <c r="L6" s="317"/>
      <c r="M6" s="381">
        <v>0</v>
      </c>
      <c r="N6" s="81"/>
      <c r="O6" s="81"/>
      <c r="P6" s="317">
        <f>SUM(M6:O6)</f>
        <v>0</v>
      </c>
      <c r="Q6" s="317"/>
      <c r="R6" s="381">
        <v>0</v>
      </c>
      <c r="S6" s="81"/>
      <c r="T6" s="81"/>
      <c r="U6" s="317">
        <f>SUM(R6:T6)</f>
        <v>0</v>
      </c>
      <c r="V6" s="317"/>
      <c r="W6" s="381">
        <v>0</v>
      </c>
      <c r="X6" s="81"/>
      <c r="Y6" s="81"/>
      <c r="Z6" s="317">
        <f>SUM(W6:Y6)</f>
        <v>0</v>
      </c>
      <c r="AA6" s="317"/>
    </row>
    <row r="7" spans="1:27" s="85" customFormat="1" ht="18" customHeight="1" x14ac:dyDescent="0.35">
      <c r="A7" s="83">
        <v>1</v>
      </c>
      <c r="B7" s="84" t="str">
        <f>'เวลาเรียน (2)'!C6</f>
        <v>เด็กชายธนาธร    กิติกาแดง</v>
      </c>
      <c r="C7" s="217"/>
      <c r="D7" s="218"/>
      <c r="E7" s="219"/>
      <c r="F7" s="220">
        <f>SUM(C7:E7)</f>
        <v>0</v>
      </c>
      <c r="G7" s="221"/>
      <c r="H7" s="217"/>
      <c r="I7" s="218"/>
      <c r="J7" s="219"/>
      <c r="K7" s="220">
        <f>SUM(H7:J7)</f>
        <v>0</v>
      </c>
      <c r="L7" s="221"/>
      <c r="M7" s="217"/>
      <c r="N7" s="218"/>
      <c r="O7" s="219"/>
      <c r="P7" s="220">
        <f>SUM(M7:O7)</f>
        <v>0</v>
      </c>
      <c r="Q7" s="221"/>
      <c r="R7" s="217"/>
      <c r="S7" s="218"/>
      <c r="T7" s="219"/>
      <c r="U7" s="220">
        <f>SUM(R7:T7)</f>
        <v>0</v>
      </c>
      <c r="V7" s="221"/>
      <c r="W7" s="217"/>
      <c r="X7" s="218"/>
      <c r="Y7" s="219"/>
      <c r="Z7" s="220">
        <f>SUM(W7:Y7)</f>
        <v>0</v>
      </c>
      <c r="AA7" s="221"/>
    </row>
    <row r="8" spans="1:27" s="85" customFormat="1" ht="18" customHeight="1" x14ac:dyDescent="0.35">
      <c r="A8" s="86">
        <v>2</v>
      </c>
      <c r="B8" s="87" t="str">
        <f>'เวลาเรียน (2)'!C7</f>
        <v>เด็กชายนิรวุฒิ  วันทอง</v>
      </c>
      <c r="C8" s="222"/>
      <c r="D8" s="223"/>
      <c r="E8" s="187"/>
      <c r="F8" s="220">
        <f t="shared" ref="F8:F12" si="0">SUM(C8:E8)</f>
        <v>0</v>
      </c>
      <c r="G8" s="224"/>
      <c r="H8" s="222"/>
      <c r="I8" s="223"/>
      <c r="J8" s="187"/>
      <c r="K8" s="220">
        <f t="shared" ref="K8:K12" si="1">SUM(H8:J8)</f>
        <v>0</v>
      </c>
      <c r="L8" s="224"/>
      <c r="M8" s="222"/>
      <c r="N8" s="223"/>
      <c r="O8" s="187"/>
      <c r="P8" s="220">
        <f t="shared" ref="P8:P12" si="2">SUM(M8:O8)</f>
        <v>0</v>
      </c>
      <c r="Q8" s="224"/>
      <c r="R8" s="222"/>
      <c r="S8" s="223"/>
      <c r="T8" s="187"/>
      <c r="U8" s="220">
        <f t="shared" ref="U8:U12" si="3">SUM(R8:T8)</f>
        <v>0</v>
      </c>
      <c r="V8" s="224"/>
      <c r="W8" s="222"/>
      <c r="X8" s="223"/>
      <c r="Y8" s="187"/>
      <c r="Z8" s="220">
        <f t="shared" ref="Z8:Z12" si="4">SUM(W8:Y8)</f>
        <v>0</v>
      </c>
      <c r="AA8" s="224"/>
    </row>
    <row r="9" spans="1:27" s="85" customFormat="1" ht="18" customHeight="1" x14ac:dyDescent="0.35">
      <c r="A9" s="86">
        <v>3</v>
      </c>
      <c r="B9" s="87" t="str">
        <f>'เวลาเรียน (2)'!C8</f>
        <v>เด็กชายศรันยู  รัตนมงคล</v>
      </c>
      <c r="C9" s="222"/>
      <c r="D9" s="223"/>
      <c r="E9" s="187"/>
      <c r="F9" s="220">
        <f t="shared" si="0"/>
        <v>0</v>
      </c>
      <c r="G9" s="224"/>
      <c r="H9" s="222"/>
      <c r="I9" s="223"/>
      <c r="J9" s="187"/>
      <c r="K9" s="220">
        <f t="shared" si="1"/>
        <v>0</v>
      </c>
      <c r="L9" s="224"/>
      <c r="M9" s="222"/>
      <c r="N9" s="223"/>
      <c r="O9" s="187"/>
      <c r="P9" s="220">
        <f t="shared" si="2"/>
        <v>0</v>
      </c>
      <c r="Q9" s="224"/>
      <c r="R9" s="222"/>
      <c r="S9" s="223"/>
      <c r="T9" s="187"/>
      <c r="U9" s="220">
        <f t="shared" si="3"/>
        <v>0</v>
      </c>
      <c r="V9" s="224"/>
      <c r="W9" s="222"/>
      <c r="X9" s="223"/>
      <c r="Y9" s="187"/>
      <c r="Z9" s="220">
        <f t="shared" si="4"/>
        <v>0</v>
      </c>
      <c r="AA9" s="224"/>
    </row>
    <row r="10" spans="1:27" s="85" customFormat="1" ht="18" customHeight="1" x14ac:dyDescent="0.35">
      <c r="A10" s="86">
        <v>4</v>
      </c>
      <c r="B10" s="87" t="str">
        <f>'เวลาเรียน (2)'!C9</f>
        <v>เด็กชายสิรธีร์  เวียงอินทร์</v>
      </c>
      <c r="C10" s="222"/>
      <c r="D10" s="223"/>
      <c r="E10" s="187"/>
      <c r="F10" s="220">
        <f t="shared" si="0"/>
        <v>0</v>
      </c>
      <c r="G10" s="224"/>
      <c r="H10" s="222"/>
      <c r="I10" s="223"/>
      <c r="J10" s="187"/>
      <c r="K10" s="220">
        <f t="shared" si="1"/>
        <v>0</v>
      </c>
      <c r="L10" s="224"/>
      <c r="M10" s="222"/>
      <c r="N10" s="223"/>
      <c r="O10" s="187"/>
      <c r="P10" s="220">
        <f t="shared" si="2"/>
        <v>0</v>
      </c>
      <c r="Q10" s="224"/>
      <c r="R10" s="222"/>
      <c r="S10" s="223"/>
      <c r="T10" s="187"/>
      <c r="U10" s="220">
        <f t="shared" si="3"/>
        <v>0</v>
      </c>
      <c r="V10" s="224"/>
      <c r="W10" s="222"/>
      <c r="X10" s="223"/>
      <c r="Y10" s="187"/>
      <c r="Z10" s="220">
        <f t="shared" si="4"/>
        <v>0</v>
      </c>
      <c r="AA10" s="224"/>
    </row>
    <row r="11" spans="1:27" s="85" customFormat="1" ht="18" customHeight="1" x14ac:dyDescent="0.35">
      <c r="A11" s="86">
        <v>5</v>
      </c>
      <c r="B11" s="87" t="str">
        <f>'เวลาเรียน (2)'!C10</f>
        <v>เด็กหญิงจิรภิญญา  เขื่อนพงษ์</v>
      </c>
      <c r="C11" s="222"/>
      <c r="D11" s="223"/>
      <c r="E11" s="187"/>
      <c r="F11" s="220">
        <f t="shared" si="0"/>
        <v>0</v>
      </c>
      <c r="G11" s="224"/>
      <c r="H11" s="222"/>
      <c r="I11" s="223"/>
      <c r="J11" s="187"/>
      <c r="K11" s="220">
        <f t="shared" si="1"/>
        <v>0</v>
      </c>
      <c r="L11" s="224"/>
      <c r="M11" s="222"/>
      <c r="N11" s="223"/>
      <c r="O11" s="187"/>
      <c r="P11" s="220">
        <f t="shared" si="2"/>
        <v>0</v>
      </c>
      <c r="Q11" s="224"/>
      <c r="R11" s="222"/>
      <c r="S11" s="223"/>
      <c r="T11" s="187"/>
      <c r="U11" s="220">
        <f t="shared" si="3"/>
        <v>0</v>
      </c>
      <c r="V11" s="224"/>
      <c r="W11" s="222"/>
      <c r="X11" s="223"/>
      <c r="Y11" s="187"/>
      <c r="Z11" s="220">
        <f t="shared" si="4"/>
        <v>0</v>
      </c>
      <c r="AA11" s="224"/>
    </row>
    <row r="12" spans="1:27" s="85" customFormat="1" ht="18" customHeight="1" x14ac:dyDescent="0.35">
      <c r="A12" s="86">
        <v>6</v>
      </c>
      <c r="B12" s="87" t="str">
        <f>'เวลาเรียน (2)'!C11</f>
        <v>เด็กหญิงภคพร  วงค์สา</v>
      </c>
      <c r="C12" s="222"/>
      <c r="D12" s="223"/>
      <c r="E12" s="187"/>
      <c r="F12" s="220">
        <f t="shared" si="0"/>
        <v>0</v>
      </c>
      <c r="G12" s="224"/>
      <c r="H12" s="222"/>
      <c r="I12" s="223"/>
      <c r="J12" s="187"/>
      <c r="K12" s="220">
        <f t="shared" si="1"/>
        <v>0</v>
      </c>
      <c r="L12" s="224"/>
      <c r="M12" s="222"/>
      <c r="N12" s="223"/>
      <c r="O12" s="187"/>
      <c r="P12" s="220">
        <f t="shared" si="2"/>
        <v>0</v>
      </c>
      <c r="Q12" s="224"/>
      <c r="R12" s="222"/>
      <c r="S12" s="223"/>
      <c r="T12" s="187"/>
      <c r="U12" s="220">
        <f t="shared" si="3"/>
        <v>0</v>
      </c>
      <c r="V12" s="224"/>
      <c r="W12" s="222"/>
      <c r="X12" s="223"/>
      <c r="Y12" s="187"/>
      <c r="Z12" s="220">
        <f t="shared" si="4"/>
        <v>0</v>
      </c>
      <c r="AA12" s="224"/>
    </row>
    <row r="13" spans="1:27" s="85" customFormat="1" ht="18" customHeight="1" x14ac:dyDescent="0.35">
      <c r="A13" s="86">
        <v>7</v>
      </c>
      <c r="B13" s="87" t="str">
        <f>'เวลาเรียน (2)'!C12</f>
        <v>เด็กหญิงศิริณภา  สุวรรณจันทร์</v>
      </c>
      <c r="C13" s="222"/>
      <c r="D13" s="223"/>
      <c r="E13" s="187"/>
      <c r="F13" s="220">
        <f t="shared" ref="F13:F15" si="5">SUM(C13:E13)</f>
        <v>0</v>
      </c>
      <c r="G13" s="224"/>
      <c r="H13" s="222"/>
      <c r="I13" s="223"/>
      <c r="J13" s="187"/>
      <c r="K13" s="220">
        <f t="shared" ref="K13:K15" si="6">SUM(H13:J13)</f>
        <v>0</v>
      </c>
      <c r="L13" s="224"/>
      <c r="M13" s="222"/>
      <c r="N13" s="223"/>
      <c r="O13" s="187"/>
      <c r="P13" s="220">
        <f t="shared" ref="P13:P15" si="7">SUM(M13:O13)</f>
        <v>0</v>
      </c>
      <c r="Q13" s="224"/>
      <c r="R13" s="222"/>
      <c r="S13" s="223"/>
      <c r="T13" s="187"/>
      <c r="U13" s="220">
        <f t="shared" ref="U13:U15" si="8">SUM(R13:T13)</f>
        <v>0</v>
      </c>
      <c r="V13" s="224"/>
      <c r="W13" s="222"/>
      <c r="X13" s="223"/>
      <c r="Y13" s="187"/>
      <c r="Z13" s="220">
        <f t="shared" ref="Z13:Z15" si="9">SUM(W13:Y13)</f>
        <v>0</v>
      </c>
      <c r="AA13" s="224"/>
    </row>
    <row r="14" spans="1:27" s="85" customFormat="1" ht="18" customHeight="1" x14ac:dyDescent="0.35">
      <c r="A14" s="86">
        <v>8</v>
      </c>
      <c r="B14" s="87" t="str">
        <f>'เวลาเรียน (2)'!C13</f>
        <v>เด็กหญิงศุภิสรา  โม้แซง</v>
      </c>
      <c r="C14" s="222"/>
      <c r="D14" s="223"/>
      <c r="E14" s="187"/>
      <c r="F14" s="220">
        <f t="shared" si="5"/>
        <v>0</v>
      </c>
      <c r="G14" s="224"/>
      <c r="H14" s="222"/>
      <c r="I14" s="223"/>
      <c r="J14" s="187"/>
      <c r="K14" s="220">
        <f t="shared" si="6"/>
        <v>0</v>
      </c>
      <c r="L14" s="224"/>
      <c r="M14" s="222"/>
      <c r="N14" s="223"/>
      <c r="O14" s="187"/>
      <c r="P14" s="220">
        <f t="shared" si="7"/>
        <v>0</v>
      </c>
      <c r="Q14" s="224"/>
      <c r="R14" s="222"/>
      <c r="S14" s="223"/>
      <c r="T14" s="187"/>
      <c r="U14" s="220">
        <f t="shared" si="8"/>
        <v>0</v>
      </c>
      <c r="V14" s="224"/>
      <c r="W14" s="222"/>
      <c r="X14" s="223"/>
      <c r="Y14" s="187"/>
      <c r="Z14" s="220">
        <f t="shared" si="9"/>
        <v>0</v>
      </c>
      <c r="AA14" s="224"/>
    </row>
    <row r="15" spans="1:27" s="85" customFormat="1" ht="18" customHeight="1" x14ac:dyDescent="0.35">
      <c r="A15" s="86">
        <v>9</v>
      </c>
      <c r="B15" s="87" t="str">
        <f>'เวลาเรียน (2)'!C14</f>
        <v>เด็กหญิงสุพิชชา  ชาวนาฮี</v>
      </c>
      <c r="C15" s="222"/>
      <c r="D15" s="223"/>
      <c r="E15" s="187"/>
      <c r="F15" s="220">
        <f t="shared" si="5"/>
        <v>0</v>
      </c>
      <c r="G15" s="224"/>
      <c r="H15" s="222"/>
      <c r="I15" s="223"/>
      <c r="J15" s="187"/>
      <c r="K15" s="220">
        <f t="shared" si="6"/>
        <v>0</v>
      </c>
      <c r="L15" s="224"/>
      <c r="M15" s="222"/>
      <c r="N15" s="223"/>
      <c r="O15" s="187"/>
      <c r="P15" s="220">
        <f t="shared" si="7"/>
        <v>0</v>
      </c>
      <c r="Q15" s="224"/>
      <c r="R15" s="222"/>
      <c r="S15" s="223"/>
      <c r="T15" s="187"/>
      <c r="U15" s="220">
        <f t="shared" si="8"/>
        <v>0</v>
      </c>
      <c r="V15" s="224"/>
      <c r="W15" s="222"/>
      <c r="X15" s="223"/>
      <c r="Y15" s="187"/>
      <c r="Z15" s="220">
        <f t="shared" si="9"/>
        <v>0</v>
      </c>
      <c r="AA15" s="224"/>
    </row>
    <row r="16" spans="1:27" s="85" customFormat="1" ht="18" customHeight="1" x14ac:dyDescent="0.35">
      <c r="A16" s="86">
        <v>10</v>
      </c>
      <c r="B16" s="87"/>
      <c r="C16" s="222"/>
      <c r="D16" s="223"/>
      <c r="E16" s="187"/>
      <c r="F16" s="220"/>
      <c r="G16" s="224"/>
      <c r="H16" s="222"/>
      <c r="I16" s="223"/>
      <c r="J16" s="187"/>
      <c r="K16" s="220"/>
      <c r="L16" s="224"/>
      <c r="M16" s="222"/>
      <c r="N16" s="223"/>
      <c r="O16" s="187"/>
      <c r="P16" s="220"/>
      <c r="Q16" s="224"/>
      <c r="R16" s="222"/>
      <c r="S16" s="223"/>
      <c r="T16" s="187"/>
      <c r="U16" s="220"/>
      <c r="V16" s="224"/>
      <c r="W16" s="222"/>
      <c r="X16" s="223"/>
      <c r="Y16" s="187"/>
      <c r="Z16" s="220"/>
      <c r="AA16" s="224"/>
    </row>
    <row r="17" spans="1:27" s="85" customFormat="1" ht="18" customHeight="1" x14ac:dyDescent="0.35">
      <c r="A17" s="86">
        <v>11</v>
      </c>
      <c r="B17" s="87"/>
      <c r="C17" s="222"/>
      <c r="D17" s="223"/>
      <c r="E17" s="187"/>
      <c r="F17" s="220"/>
      <c r="G17" s="224"/>
      <c r="H17" s="222"/>
      <c r="I17" s="223"/>
      <c r="J17" s="187"/>
      <c r="K17" s="220"/>
      <c r="L17" s="224"/>
      <c r="M17" s="222"/>
      <c r="N17" s="223"/>
      <c r="O17" s="187"/>
      <c r="P17" s="220"/>
      <c r="Q17" s="224"/>
      <c r="R17" s="222"/>
      <c r="S17" s="223"/>
      <c r="T17" s="187"/>
      <c r="U17" s="220"/>
      <c r="V17" s="224"/>
      <c r="W17" s="222"/>
      <c r="X17" s="223"/>
      <c r="Y17" s="187"/>
      <c r="Z17" s="220"/>
      <c r="AA17" s="224"/>
    </row>
    <row r="18" spans="1:27" s="85" customFormat="1" ht="18" customHeight="1" x14ac:dyDescent="0.35">
      <c r="A18" s="86">
        <v>12</v>
      </c>
      <c r="B18" s="87"/>
      <c r="C18" s="222"/>
      <c r="D18" s="223"/>
      <c r="E18" s="187"/>
      <c r="F18" s="220"/>
      <c r="G18" s="224"/>
      <c r="H18" s="222"/>
      <c r="I18" s="223"/>
      <c r="J18" s="187"/>
      <c r="K18" s="220"/>
      <c r="L18" s="224"/>
      <c r="M18" s="222"/>
      <c r="N18" s="223"/>
      <c r="O18" s="187"/>
      <c r="P18" s="220"/>
      <c r="Q18" s="224"/>
      <c r="R18" s="222"/>
      <c r="S18" s="223"/>
      <c r="T18" s="187"/>
      <c r="U18" s="220"/>
      <c r="V18" s="224"/>
      <c r="W18" s="222"/>
      <c r="X18" s="223"/>
      <c r="Y18" s="187"/>
      <c r="Z18" s="220"/>
      <c r="AA18" s="224"/>
    </row>
    <row r="19" spans="1:27" s="85" customFormat="1" ht="18" customHeight="1" x14ac:dyDescent="0.35">
      <c r="A19" s="86">
        <v>13</v>
      </c>
      <c r="B19" s="87"/>
      <c r="C19" s="222"/>
      <c r="D19" s="223"/>
      <c r="E19" s="187"/>
      <c r="F19" s="220"/>
      <c r="G19" s="224"/>
      <c r="H19" s="222"/>
      <c r="I19" s="223"/>
      <c r="J19" s="187"/>
      <c r="K19" s="220"/>
      <c r="L19" s="224"/>
      <c r="M19" s="222"/>
      <c r="N19" s="223"/>
      <c r="O19" s="187"/>
      <c r="P19" s="220"/>
      <c r="Q19" s="224"/>
      <c r="R19" s="222"/>
      <c r="S19" s="223"/>
      <c r="T19" s="187"/>
      <c r="U19" s="220"/>
      <c r="V19" s="224"/>
      <c r="W19" s="222"/>
      <c r="X19" s="223"/>
      <c r="Y19" s="187"/>
      <c r="Z19" s="220"/>
      <c r="AA19" s="224"/>
    </row>
    <row r="20" spans="1:27" s="85" customFormat="1" ht="18" customHeight="1" x14ac:dyDescent="0.35">
      <c r="A20" s="86">
        <v>14</v>
      </c>
      <c r="B20" s="87"/>
      <c r="C20" s="222"/>
      <c r="D20" s="223"/>
      <c r="E20" s="187"/>
      <c r="F20" s="220"/>
      <c r="G20" s="224"/>
      <c r="H20" s="222"/>
      <c r="I20" s="223"/>
      <c r="J20" s="187"/>
      <c r="K20" s="220"/>
      <c r="L20" s="224"/>
      <c r="M20" s="222"/>
      <c r="N20" s="223"/>
      <c r="O20" s="187"/>
      <c r="P20" s="220"/>
      <c r="Q20" s="224"/>
      <c r="R20" s="222"/>
      <c r="S20" s="223"/>
      <c r="T20" s="187"/>
      <c r="U20" s="220"/>
      <c r="V20" s="224"/>
      <c r="W20" s="222"/>
      <c r="X20" s="223"/>
      <c r="Y20" s="187"/>
      <c r="Z20" s="220"/>
      <c r="AA20" s="224"/>
    </row>
    <row r="21" spans="1:27" s="85" customFormat="1" ht="18" customHeight="1" x14ac:dyDescent="0.35">
      <c r="A21" s="86">
        <v>15</v>
      </c>
      <c r="B21" s="87"/>
      <c r="C21" s="222"/>
      <c r="D21" s="223"/>
      <c r="E21" s="187"/>
      <c r="F21" s="220"/>
      <c r="G21" s="224"/>
      <c r="H21" s="222"/>
      <c r="I21" s="223"/>
      <c r="J21" s="187"/>
      <c r="K21" s="220"/>
      <c r="L21" s="224"/>
      <c r="M21" s="222"/>
      <c r="N21" s="223"/>
      <c r="O21" s="187"/>
      <c r="P21" s="220"/>
      <c r="Q21" s="224"/>
      <c r="R21" s="222"/>
      <c r="S21" s="223"/>
      <c r="T21" s="187"/>
      <c r="U21" s="220"/>
      <c r="V21" s="224"/>
      <c r="W21" s="222"/>
      <c r="X21" s="223"/>
      <c r="Y21" s="187"/>
      <c r="Z21" s="220"/>
      <c r="AA21" s="224"/>
    </row>
    <row r="22" spans="1:27" s="85" customFormat="1" ht="18" customHeight="1" x14ac:dyDescent="0.35">
      <c r="A22" s="86">
        <v>16</v>
      </c>
      <c r="B22" s="87"/>
      <c r="C22" s="222"/>
      <c r="D22" s="223"/>
      <c r="E22" s="187"/>
      <c r="F22" s="220"/>
      <c r="G22" s="224"/>
      <c r="H22" s="222"/>
      <c r="I22" s="223"/>
      <c r="J22" s="187"/>
      <c r="K22" s="220"/>
      <c r="L22" s="224"/>
      <c r="M22" s="222"/>
      <c r="N22" s="223"/>
      <c r="O22" s="187"/>
      <c r="P22" s="220"/>
      <c r="Q22" s="224"/>
      <c r="R22" s="222"/>
      <c r="S22" s="223"/>
      <c r="T22" s="187"/>
      <c r="U22" s="220"/>
      <c r="V22" s="224"/>
      <c r="W22" s="222"/>
      <c r="X22" s="223"/>
      <c r="Y22" s="187"/>
      <c r="Z22" s="220"/>
      <c r="AA22" s="224"/>
    </row>
    <row r="23" spans="1:27" s="85" customFormat="1" ht="18" customHeight="1" x14ac:dyDescent="0.35">
      <c r="A23" s="86">
        <v>17</v>
      </c>
      <c r="B23" s="87"/>
      <c r="C23" s="222"/>
      <c r="D23" s="223"/>
      <c r="E23" s="187"/>
      <c r="F23" s="220"/>
      <c r="G23" s="224"/>
      <c r="H23" s="222"/>
      <c r="I23" s="223"/>
      <c r="J23" s="187"/>
      <c r="K23" s="220"/>
      <c r="L23" s="224"/>
      <c r="M23" s="222"/>
      <c r="N23" s="223"/>
      <c r="O23" s="187"/>
      <c r="P23" s="220"/>
      <c r="Q23" s="224"/>
      <c r="R23" s="222"/>
      <c r="S23" s="223"/>
      <c r="T23" s="187"/>
      <c r="U23" s="220"/>
      <c r="V23" s="224"/>
      <c r="W23" s="222"/>
      <c r="X23" s="223"/>
      <c r="Y23" s="187"/>
      <c r="Z23" s="220"/>
      <c r="AA23" s="224"/>
    </row>
    <row r="24" spans="1:27" s="85" customFormat="1" ht="18" customHeight="1" x14ac:dyDescent="0.35">
      <c r="A24" s="86">
        <v>18</v>
      </c>
      <c r="B24" s="87"/>
      <c r="C24" s="222"/>
      <c r="D24" s="223"/>
      <c r="E24" s="187"/>
      <c r="F24" s="220"/>
      <c r="G24" s="224"/>
      <c r="H24" s="222"/>
      <c r="I24" s="223"/>
      <c r="J24" s="187"/>
      <c r="K24" s="220"/>
      <c r="L24" s="224"/>
      <c r="M24" s="222"/>
      <c r="N24" s="223"/>
      <c r="O24" s="187"/>
      <c r="P24" s="220"/>
      <c r="Q24" s="224"/>
      <c r="R24" s="222"/>
      <c r="S24" s="223"/>
      <c r="T24" s="187"/>
      <c r="U24" s="220"/>
      <c r="V24" s="224"/>
      <c r="W24" s="222"/>
      <c r="X24" s="223"/>
      <c r="Y24" s="187"/>
      <c r="Z24" s="220"/>
      <c r="AA24" s="224"/>
    </row>
    <row r="25" spans="1:27" s="85" customFormat="1" ht="18" customHeight="1" x14ac:dyDescent="0.35">
      <c r="A25" s="86">
        <v>19</v>
      </c>
      <c r="B25" s="87"/>
      <c r="C25" s="222"/>
      <c r="D25" s="223"/>
      <c r="E25" s="187"/>
      <c r="F25" s="220"/>
      <c r="G25" s="224"/>
      <c r="H25" s="222"/>
      <c r="I25" s="223"/>
      <c r="J25" s="187"/>
      <c r="K25" s="220"/>
      <c r="L25" s="224"/>
      <c r="M25" s="222"/>
      <c r="N25" s="223"/>
      <c r="O25" s="187"/>
      <c r="P25" s="220"/>
      <c r="Q25" s="224"/>
      <c r="R25" s="222"/>
      <c r="S25" s="223"/>
      <c r="T25" s="187"/>
      <c r="U25" s="220"/>
      <c r="V25" s="224"/>
      <c r="W25" s="222"/>
      <c r="X25" s="223"/>
      <c r="Y25" s="187"/>
      <c r="Z25" s="220"/>
      <c r="AA25" s="224"/>
    </row>
    <row r="26" spans="1:27" s="85" customFormat="1" ht="18" customHeight="1" x14ac:dyDescent="0.35">
      <c r="A26" s="86">
        <v>20</v>
      </c>
      <c r="B26" s="87"/>
      <c r="C26" s="222"/>
      <c r="D26" s="223"/>
      <c r="E26" s="187"/>
      <c r="F26" s="220"/>
      <c r="G26" s="224"/>
      <c r="H26" s="222"/>
      <c r="I26" s="223"/>
      <c r="J26" s="187"/>
      <c r="K26" s="220"/>
      <c r="L26" s="224"/>
      <c r="M26" s="222"/>
      <c r="N26" s="223"/>
      <c r="O26" s="187"/>
      <c r="P26" s="220"/>
      <c r="Q26" s="224"/>
      <c r="R26" s="222"/>
      <c r="S26" s="223"/>
      <c r="T26" s="187"/>
      <c r="U26" s="220"/>
      <c r="V26" s="224"/>
      <c r="W26" s="222"/>
      <c r="X26" s="223"/>
      <c r="Y26" s="187"/>
      <c r="Z26" s="220"/>
      <c r="AA26" s="224"/>
    </row>
    <row r="27" spans="1:27" s="85" customFormat="1" ht="18" customHeight="1" x14ac:dyDescent="0.35">
      <c r="A27" s="86">
        <v>21</v>
      </c>
      <c r="B27" s="87"/>
      <c r="C27" s="222"/>
      <c r="D27" s="223"/>
      <c r="E27" s="187"/>
      <c r="F27" s="220"/>
      <c r="G27" s="224"/>
      <c r="H27" s="222"/>
      <c r="I27" s="223"/>
      <c r="J27" s="187"/>
      <c r="K27" s="220"/>
      <c r="L27" s="224"/>
      <c r="M27" s="222"/>
      <c r="N27" s="223"/>
      <c r="O27" s="187"/>
      <c r="P27" s="220"/>
      <c r="Q27" s="224"/>
      <c r="R27" s="222"/>
      <c r="S27" s="223"/>
      <c r="T27" s="187"/>
      <c r="U27" s="220"/>
      <c r="V27" s="224"/>
      <c r="W27" s="222"/>
      <c r="X27" s="223"/>
      <c r="Y27" s="187"/>
      <c r="Z27" s="220"/>
      <c r="AA27" s="224"/>
    </row>
    <row r="28" spans="1:27" s="85" customFormat="1" ht="18" customHeight="1" x14ac:dyDescent="0.35">
      <c r="A28" s="86">
        <v>22</v>
      </c>
      <c r="B28" s="87"/>
      <c r="C28" s="222"/>
      <c r="D28" s="223"/>
      <c r="E28" s="187"/>
      <c r="F28" s="220"/>
      <c r="G28" s="224"/>
      <c r="H28" s="222"/>
      <c r="I28" s="223"/>
      <c r="J28" s="187"/>
      <c r="K28" s="220"/>
      <c r="L28" s="224"/>
      <c r="M28" s="222"/>
      <c r="N28" s="223"/>
      <c r="O28" s="187"/>
      <c r="P28" s="220"/>
      <c r="Q28" s="224"/>
      <c r="R28" s="222"/>
      <c r="S28" s="223"/>
      <c r="T28" s="187"/>
      <c r="U28" s="220"/>
      <c r="V28" s="224"/>
      <c r="W28" s="222"/>
      <c r="X28" s="223"/>
      <c r="Y28" s="187"/>
      <c r="Z28" s="220"/>
      <c r="AA28" s="224"/>
    </row>
    <row r="29" spans="1:27" s="85" customFormat="1" ht="18" customHeight="1" x14ac:dyDescent="0.35">
      <c r="A29" s="90">
        <v>23</v>
      </c>
      <c r="B29" s="87"/>
      <c r="C29" s="222"/>
      <c r="D29" s="223"/>
      <c r="E29" s="187"/>
      <c r="F29" s="220"/>
      <c r="G29" s="220"/>
      <c r="H29" s="222"/>
      <c r="I29" s="223"/>
      <c r="J29" s="187"/>
      <c r="K29" s="220"/>
      <c r="L29" s="220"/>
      <c r="M29" s="222"/>
      <c r="N29" s="223"/>
      <c r="O29" s="187"/>
      <c r="P29" s="220"/>
      <c r="Q29" s="220"/>
      <c r="R29" s="222"/>
      <c r="S29" s="223"/>
      <c r="T29" s="187"/>
      <c r="U29" s="220"/>
      <c r="V29" s="220"/>
      <c r="W29" s="222"/>
      <c r="X29" s="223"/>
      <c r="Y29" s="187"/>
      <c r="Z29" s="220"/>
      <c r="AA29" s="220"/>
    </row>
    <row r="30" spans="1:27" s="85" customFormat="1" ht="18" customHeight="1" x14ac:dyDescent="0.35">
      <c r="A30" s="86">
        <v>24</v>
      </c>
      <c r="B30" s="87"/>
      <c r="C30" s="222"/>
      <c r="D30" s="223"/>
      <c r="E30" s="187"/>
      <c r="F30" s="220"/>
      <c r="G30" s="224"/>
      <c r="H30" s="222"/>
      <c r="I30" s="223"/>
      <c r="J30" s="187"/>
      <c r="K30" s="220"/>
      <c r="L30" s="224"/>
      <c r="M30" s="222"/>
      <c r="N30" s="223"/>
      <c r="O30" s="187"/>
      <c r="P30" s="220"/>
      <c r="Q30" s="224"/>
      <c r="R30" s="222"/>
      <c r="S30" s="223"/>
      <c r="T30" s="187"/>
      <c r="U30" s="220"/>
      <c r="V30" s="224"/>
      <c r="W30" s="222"/>
      <c r="X30" s="223"/>
      <c r="Y30" s="187"/>
      <c r="Z30" s="220"/>
      <c r="AA30" s="224"/>
    </row>
    <row r="31" spans="1:27" s="85" customFormat="1" ht="18" customHeight="1" x14ac:dyDescent="0.35">
      <c r="A31" s="86">
        <v>25</v>
      </c>
      <c r="B31" s="87"/>
      <c r="C31" s="222"/>
      <c r="D31" s="223"/>
      <c r="E31" s="187"/>
      <c r="F31" s="220"/>
      <c r="G31" s="224"/>
      <c r="H31" s="222"/>
      <c r="I31" s="223"/>
      <c r="J31" s="187"/>
      <c r="K31" s="220"/>
      <c r="L31" s="224"/>
      <c r="M31" s="222"/>
      <c r="N31" s="223"/>
      <c r="O31" s="187"/>
      <c r="P31" s="220"/>
      <c r="Q31" s="224"/>
      <c r="R31" s="222"/>
      <c r="S31" s="223"/>
      <c r="T31" s="187"/>
      <c r="U31" s="220"/>
      <c r="V31" s="224"/>
      <c r="W31" s="222"/>
      <c r="X31" s="223"/>
      <c r="Y31" s="187"/>
      <c r="Z31" s="220"/>
      <c r="AA31" s="224"/>
    </row>
    <row r="32" spans="1:27" s="85" customFormat="1" ht="18" customHeight="1" x14ac:dyDescent="0.35">
      <c r="A32" s="86">
        <v>26</v>
      </c>
      <c r="B32" s="87"/>
      <c r="C32" s="222"/>
      <c r="D32" s="223"/>
      <c r="E32" s="187"/>
      <c r="F32" s="220"/>
      <c r="G32" s="224"/>
      <c r="H32" s="222"/>
      <c r="I32" s="223"/>
      <c r="J32" s="187"/>
      <c r="K32" s="220"/>
      <c r="L32" s="224"/>
      <c r="M32" s="222"/>
      <c r="N32" s="223"/>
      <c r="O32" s="187"/>
      <c r="P32" s="220"/>
      <c r="Q32" s="224"/>
      <c r="R32" s="222"/>
      <c r="S32" s="223"/>
      <c r="T32" s="187"/>
      <c r="U32" s="220"/>
      <c r="V32" s="224"/>
      <c r="W32" s="222"/>
      <c r="X32" s="223"/>
      <c r="Y32" s="187"/>
      <c r="Z32" s="220"/>
      <c r="AA32" s="224"/>
    </row>
    <row r="33" spans="1:27" s="85" customFormat="1" ht="18" customHeight="1" x14ac:dyDescent="0.35">
      <c r="A33" s="86">
        <v>27</v>
      </c>
      <c r="B33" s="87"/>
      <c r="C33" s="222"/>
      <c r="D33" s="223"/>
      <c r="E33" s="187"/>
      <c r="F33" s="220"/>
      <c r="G33" s="224"/>
      <c r="H33" s="222"/>
      <c r="I33" s="223"/>
      <c r="J33" s="187"/>
      <c r="K33" s="220"/>
      <c r="L33" s="224"/>
      <c r="M33" s="222"/>
      <c r="N33" s="223"/>
      <c r="O33" s="187"/>
      <c r="P33" s="220"/>
      <c r="Q33" s="224"/>
      <c r="R33" s="222"/>
      <c r="S33" s="223"/>
      <c r="T33" s="187"/>
      <c r="U33" s="220"/>
      <c r="V33" s="224"/>
      <c r="W33" s="222"/>
      <c r="X33" s="223"/>
      <c r="Y33" s="187"/>
      <c r="Z33" s="220"/>
      <c r="AA33" s="224"/>
    </row>
    <row r="34" spans="1:27" s="85" customFormat="1" ht="18" customHeight="1" x14ac:dyDescent="0.35">
      <c r="A34" s="90">
        <v>28</v>
      </c>
      <c r="B34" s="87"/>
      <c r="C34" s="222"/>
      <c r="D34" s="223"/>
      <c r="E34" s="187"/>
      <c r="F34" s="220"/>
      <c r="G34" s="220"/>
      <c r="H34" s="222"/>
      <c r="I34" s="223"/>
      <c r="J34" s="187"/>
      <c r="K34" s="220"/>
      <c r="L34" s="220"/>
      <c r="M34" s="222"/>
      <c r="N34" s="223"/>
      <c r="O34" s="187"/>
      <c r="P34" s="220"/>
      <c r="Q34" s="220"/>
      <c r="R34" s="222"/>
      <c r="S34" s="223"/>
      <c r="T34" s="187"/>
      <c r="U34" s="220"/>
      <c r="V34" s="220"/>
      <c r="W34" s="222"/>
      <c r="X34" s="223"/>
      <c r="Y34" s="187"/>
      <c r="Z34" s="220"/>
      <c r="AA34" s="220"/>
    </row>
    <row r="35" spans="1:27" s="85" customFormat="1" ht="18" customHeight="1" x14ac:dyDescent="0.35">
      <c r="A35" s="86">
        <v>29</v>
      </c>
      <c r="B35" s="87"/>
      <c r="C35" s="222"/>
      <c r="D35" s="223"/>
      <c r="E35" s="187"/>
      <c r="F35" s="220"/>
      <c r="G35" s="224"/>
      <c r="H35" s="222"/>
      <c r="I35" s="223"/>
      <c r="J35" s="187"/>
      <c r="K35" s="220"/>
      <c r="L35" s="224"/>
      <c r="M35" s="222"/>
      <c r="N35" s="223"/>
      <c r="O35" s="187"/>
      <c r="P35" s="220"/>
      <c r="Q35" s="224"/>
      <c r="R35" s="222"/>
      <c r="S35" s="223"/>
      <c r="T35" s="187"/>
      <c r="U35" s="220"/>
      <c r="V35" s="224"/>
      <c r="W35" s="222"/>
      <c r="X35" s="223"/>
      <c r="Y35" s="187"/>
      <c r="Z35" s="220"/>
      <c r="AA35" s="224"/>
    </row>
    <row r="36" spans="1:27" s="85" customFormat="1" ht="18" customHeight="1" x14ac:dyDescent="0.35">
      <c r="A36" s="86">
        <v>30</v>
      </c>
      <c r="B36" s="87"/>
      <c r="C36" s="222"/>
      <c r="D36" s="223"/>
      <c r="E36" s="187"/>
      <c r="F36" s="220"/>
      <c r="G36" s="224"/>
      <c r="H36" s="222"/>
      <c r="I36" s="223"/>
      <c r="J36" s="187"/>
      <c r="K36" s="220"/>
      <c r="L36" s="224"/>
      <c r="M36" s="222"/>
      <c r="N36" s="223"/>
      <c r="O36" s="187"/>
      <c r="P36" s="220"/>
      <c r="Q36" s="224"/>
      <c r="R36" s="222"/>
      <c r="S36" s="223"/>
      <c r="T36" s="187"/>
      <c r="U36" s="220"/>
      <c r="V36" s="224"/>
      <c r="W36" s="222"/>
      <c r="X36" s="223"/>
      <c r="Y36" s="187"/>
      <c r="Z36" s="220"/>
      <c r="AA36" s="224"/>
    </row>
    <row r="37" spans="1:27" s="85" customFormat="1" ht="18" customHeight="1" x14ac:dyDescent="0.35">
      <c r="A37" s="86">
        <v>31</v>
      </c>
      <c r="B37" s="87"/>
      <c r="C37" s="222"/>
      <c r="D37" s="223"/>
      <c r="E37" s="187"/>
      <c r="F37" s="220"/>
      <c r="G37" s="224"/>
      <c r="H37" s="222"/>
      <c r="I37" s="223"/>
      <c r="J37" s="187"/>
      <c r="K37" s="220"/>
      <c r="L37" s="224"/>
      <c r="M37" s="222"/>
      <c r="N37" s="223"/>
      <c r="O37" s="187"/>
      <c r="P37" s="220"/>
      <c r="Q37" s="224"/>
      <c r="R37" s="222"/>
      <c r="S37" s="223"/>
      <c r="T37" s="187"/>
      <c r="U37" s="220"/>
      <c r="V37" s="224"/>
      <c r="W37" s="222"/>
      <c r="X37" s="223"/>
      <c r="Y37" s="187"/>
      <c r="Z37" s="220"/>
      <c r="AA37" s="224"/>
    </row>
    <row r="38" spans="1:27" s="85" customFormat="1" ht="18" customHeight="1" x14ac:dyDescent="0.35">
      <c r="A38" s="86">
        <v>32</v>
      </c>
      <c r="B38" s="91"/>
      <c r="C38" s="225"/>
      <c r="D38" s="226"/>
      <c r="E38" s="227"/>
      <c r="F38" s="220"/>
      <c r="G38" s="220"/>
      <c r="H38" s="225"/>
      <c r="I38" s="226"/>
      <c r="J38" s="227"/>
      <c r="K38" s="220"/>
      <c r="L38" s="220"/>
      <c r="M38" s="225"/>
      <c r="N38" s="226"/>
      <c r="O38" s="227"/>
      <c r="P38" s="220"/>
      <c r="Q38" s="220"/>
      <c r="R38" s="225"/>
      <c r="S38" s="226"/>
      <c r="T38" s="227"/>
      <c r="U38" s="220"/>
      <c r="V38" s="220"/>
      <c r="W38" s="225"/>
      <c r="X38" s="226"/>
      <c r="Y38" s="227"/>
      <c r="Z38" s="220"/>
      <c r="AA38" s="220"/>
    </row>
    <row r="39" spans="1:27" s="85" customFormat="1" ht="18" customHeight="1" x14ac:dyDescent="0.35">
      <c r="A39" s="86">
        <v>33</v>
      </c>
      <c r="B39" s="92"/>
      <c r="C39" s="222"/>
      <c r="D39" s="223"/>
      <c r="E39" s="187"/>
      <c r="F39" s="220"/>
      <c r="G39" s="224"/>
      <c r="H39" s="222"/>
      <c r="I39" s="223"/>
      <c r="J39" s="187"/>
      <c r="K39" s="220"/>
      <c r="L39" s="224"/>
      <c r="M39" s="222"/>
      <c r="N39" s="223"/>
      <c r="O39" s="187"/>
      <c r="P39" s="220"/>
      <c r="Q39" s="224"/>
      <c r="R39" s="222"/>
      <c r="S39" s="223"/>
      <c r="T39" s="187"/>
      <c r="U39" s="220"/>
      <c r="V39" s="224"/>
      <c r="W39" s="222"/>
      <c r="X39" s="223"/>
      <c r="Y39" s="187"/>
      <c r="Z39" s="220"/>
      <c r="AA39" s="224"/>
    </row>
    <row r="40" spans="1:27" s="85" customFormat="1" ht="18" customHeight="1" x14ac:dyDescent="0.35">
      <c r="A40" s="86">
        <v>34</v>
      </c>
      <c r="B40" s="92"/>
      <c r="C40" s="225"/>
      <c r="D40" s="226"/>
      <c r="E40" s="227"/>
      <c r="F40" s="220"/>
      <c r="G40" s="220"/>
      <c r="H40" s="225"/>
      <c r="I40" s="226"/>
      <c r="J40" s="227"/>
      <c r="K40" s="220"/>
      <c r="L40" s="220"/>
      <c r="M40" s="225"/>
      <c r="N40" s="226"/>
      <c r="O40" s="227"/>
      <c r="P40" s="220"/>
      <c r="Q40" s="220"/>
      <c r="R40" s="225"/>
      <c r="S40" s="226"/>
      <c r="T40" s="227"/>
      <c r="U40" s="220"/>
      <c r="V40" s="220"/>
      <c r="W40" s="225"/>
      <c r="X40" s="226"/>
      <c r="Y40" s="227"/>
      <c r="Z40" s="220"/>
      <c r="AA40" s="220"/>
    </row>
    <row r="41" spans="1:27" s="85" customFormat="1" ht="18" customHeight="1" x14ac:dyDescent="0.35">
      <c r="A41" s="86">
        <v>35</v>
      </c>
      <c r="B41" s="87"/>
      <c r="C41" s="222"/>
      <c r="D41" s="223"/>
      <c r="E41" s="187"/>
      <c r="F41" s="224"/>
      <c r="G41" s="224"/>
      <c r="H41" s="222"/>
      <c r="I41" s="223"/>
      <c r="J41" s="187"/>
      <c r="K41" s="224"/>
      <c r="L41" s="224"/>
      <c r="M41" s="222"/>
      <c r="N41" s="223"/>
      <c r="O41" s="187"/>
      <c r="P41" s="224"/>
      <c r="Q41" s="224"/>
      <c r="R41" s="222"/>
      <c r="S41" s="223"/>
      <c r="T41" s="187"/>
      <c r="U41" s="224"/>
      <c r="V41" s="224"/>
      <c r="W41" s="222"/>
      <c r="X41" s="223"/>
      <c r="Y41" s="187"/>
      <c r="Z41" s="224"/>
      <c r="AA41" s="224"/>
    </row>
  </sheetData>
  <mergeCells count="23">
    <mergeCell ref="A2:AA2"/>
    <mergeCell ref="A3:B4"/>
    <mergeCell ref="C3:G3"/>
    <mergeCell ref="H3:L3"/>
    <mergeCell ref="M3:Q3"/>
    <mergeCell ref="R3:V3"/>
    <mergeCell ref="W3:AA3"/>
    <mergeCell ref="C4:E4"/>
    <mergeCell ref="F4:F5"/>
    <mergeCell ref="G4:G5"/>
    <mergeCell ref="Z4:Z5"/>
    <mergeCell ref="AA4:AA5"/>
    <mergeCell ref="H4:J4"/>
    <mergeCell ref="K4:K5"/>
    <mergeCell ref="L4:L5"/>
    <mergeCell ref="M4:O4"/>
    <mergeCell ref="V4:V5"/>
    <mergeCell ref="W4:Y4"/>
    <mergeCell ref="P4:P5"/>
    <mergeCell ref="Q4:Q5"/>
    <mergeCell ref="A5:A6"/>
    <mergeCell ref="R4:T4"/>
    <mergeCell ref="U4:U5"/>
  </mergeCells>
  <pageMargins left="0.38541666666666669" right="0.17708333333333334" top="0.15748031496062992" bottom="0.15748031496062992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S42"/>
  <sheetViews>
    <sheetView view="pageBreakPreview" topLeftCell="A7" zoomScale="120" zoomScaleNormal="120" zoomScaleSheetLayoutView="120" workbookViewId="0">
      <selection activeCell="Q18" sqref="Q18"/>
    </sheetView>
  </sheetViews>
  <sheetFormatPr defaultColWidth="9.125" defaultRowHeight="18" customHeight="1" x14ac:dyDescent="0.3"/>
  <cols>
    <col min="1" max="1" width="3.75" style="78" customWidth="1"/>
    <col min="2" max="2" width="17.5" style="78" customWidth="1"/>
    <col min="3" max="14" width="3.5" style="78" customWidth="1"/>
    <col min="15" max="19" width="5.625" style="78" customWidth="1"/>
    <col min="20" max="16384" width="9.125" style="78"/>
  </cols>
  <sheetData>
    <row r="1" spans="1:19" ht="18" customHeight="1" thickBot="1" x14ac:dyDescent="0.4">
      <c r="A1" s="77"/>
      <c r="S1" s="93">
        <v>10</v>
      </c>
    </row>
    <row r="2" spans="1:19" ht="18" customHeight="1" thickBot="1" x14ac:dyDescent="0.35">
      <c r="A2" s="494" t="s">
        <v>38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6"/>
    </row>
    <row r="3" spans="1:19" ht="18" customHeight="1" x14ac:dyDescent="0.3">
      <c r="A3" s="511" t="s">
        <v>39</v>
      </c>
      <c r="B3" s="512"/>
      <c r="C3" s="503" t="s">
        <v>40</v>
      </c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5"/>
      <c r="O3" s="518" t="s">
        <v>228</v>
      </c>
      <c r="P3" s="521" t="s">
        <v>229</v>
      </c>
      <c r="Q3" s="497" t="s">
        <v>41</v>
      </c>
      <c r="R3" s="498"/>
      <c r="S3" s="499" t="s">
        <v>42</v>
      </c>
    </row>
    <row r="4" spans="1:19" ht="18" customHeight="1" thickBot="1" x14ac:dyDescent="0.35">
      <c r="A4" s="513"/>
      <c r="B4" s="514"/>
      <c r="C4" s="506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8"/>
      <c r="O4" s="519"/>
      <c r="P4" s="522"/>
      <c r="Q4" s="502" t="s">
        <v>34</v>
      </c>
      <c r="R4" s="135" t="s">
        <v>44</v>
      </c>
      <c r="S4" s="500"/>
    </row>
    <row r="5" spans="1:19" ht="18" customHeight="1" thickBot="1" x14ac:dyDescent="0.35">
      <c r="A5" s="320"/>
      <c r="B5" s="337"/>
      <c r="C5" s="515" t="s">
        <v>226</v>
      </c>
      <c r="D5" s="516"/>
      <c r="E5" s="516"/>
      <c r="F5" s="516"/>
      <c r="G5" s="516"/>
      <c r="H5" s="517"/>
      <c r="I5" s="515" t="s">
        <v>227</v>
      </c>
      <c r="J5" s="516"/>
      <c r="K5" s="516"/>
      <c r="L5" s="516"/>
      <c r="M5" s="516"/>
      <c r="N5" s="517"/>
      <c r="O5" s="519"/>
      <c r="P5" s="522"/>
      <c r="Q5" s="502"/>
      <c r="R5" s="135"/>
      <c r="S5" s="500"/>
    </row>
    <row r="6" spans="1:19" ht="18" customHeight="1" x14ac:dyDescent="0.3">
      <c r="A6" s="509" t="s">
        <v>43</v>
      </c>
      <c r="B6" s="510"/>
      <c r="C6" s="338">
        <v>1</v>
      </c>
      <c r="D6" s="97">
        <v>2</v>
      </c>
      <c r="E6" s="97">
        <v>3</v>
      </c>
      <c r="F6" s="97">
        <v>4</v>
      </c>
      <c r="G6" s="97">
        <v>5</v>
      </c>
      <c r="H6" s="339"/>
      <c r="I6" s="338">
        <v>1</v>
      </c>
      <c r="J6" s="97">
        <v>2</v>
      </c>
      <c r="K6" s="97">
        <v>3</v>
      </c>
      <c r="L6" s="97">
        <v>4</v>
      </c>
      <c r="M6" s="97">
        <v>5</v>
      </c>
      <c r="N6" s="339"/>
      <c r="O6" s="520"/>
      <c r="P6" s="523"/>
      <c r="Q6" s="502"/>
      <c r="R6" s="135" t="s">
        <v>45</v>
      </c>
      <c r="S6" s="500"/>
    </row>
    <row r="7" spans="1:19" ht="18" customHeight="1" thickBot="1" x14ac:dyDescent="0.35">
      <c r="A7" s="129" t="s">
        <v>27</v>
      </c>
      <c r="B7" s="341" t="s">
        <v>46</v>
      </c>
      <c r="C7" s="260">
        <f>'ภาค1(8)'!F6</f>
        <v>0</v>
      </c>
      <c r="D7" s="203">
        <f>'ภาค1(8)'!H6</f>
        <v>0</v>
      </c>
      <c r="E7" s="203">
        <f>'ภาค1(8)'!P6</f>
        <v>0</v>
      </c>
      <c r="F7" s="203">
        <f>'ภาค1(8)'!U6</f>
        <v>0</v>
      </c>
      <c r="G7" s="203">
        <f>'ภาค1(8)'!Z6</f>
        <v>0</v>
      </c>
      <c r="H7" s="340"/>
      <c r="I7" s="260">
        <f>'ภาค2 (9)'!F6</f>
        <v>0</v>
      </c>
      <c r="J7" s="203">
        <f>'ภาค2 (9)'!K6</f>
        <v>0</v>
      </c>
      <c r="K7" s="203">
        <f>'ภาค2 (9)'!P6</f>
        <v>0</v>
      </c>
      <c r="L7" s="203">
        <f>'ภาค2 (9)'!U6</f>
        <v>0</v>
      </c>
      <c r="M7" s="203">
        <f>'ภาค2 (9)'!Z6</f>
        <v>0</v>
      </c>
      <c r="N7" s="340"/>
      <c r="O7" s="382">
        <v>20</v>
      </c>
      <c r="P7" s="383">
        <v>20</v>
      </c>
      <c r="Q7" s="260">
        <f>SUM(C7:P7)</f>
        <v>40</v>
      </c>
      <c r="R7" s="130" t="s">
        <v>47</v>
      </c>
      <c r="S7" s="501"/>
    </row>
    <row r="8" spans="1:19" ht="18" customHeight="1" x14ac:dyDescent="0.35">
      <c r="A8" s="131">
        <v>1</v>
      </c>
      <c r="B8" s="132" t="str">
        <f>'เวลาเรียน (2)'!C6</f>
        <v>เด็กชายธนาธร    กิติกาแดง</v>
      </c>
      <c r="C8" s="204">
        <f>'ภาค1(8)'!F7</f>
        <v>0</v>
      </c>
      <c r="D8" s="205">
        <f>'ภาค1(8)'!H7</f>
        <v>0</v>
      </c>
      <c r="E8" s="205">
        <f>'ภาค1(8)'!P7</f>
        <v>0</v>
      </c>
      <c r="F8" s="205">
        <f>'ภาค1(8)'!U7</f>
        <v>0</v>
      </c>
      <c r="G8" s="205">
        <f>'ภาค1(8)'!Z7</f>
        <v>0</v>
      </c>
      <c r="H8" s="205"/>
      <c r="I8" s="205">
        <f>'ภาค2 (9)'!F7</f>
        <v>0</v>
      </c>
      <c r="J8" s="205">
        <f>'ภาค2 (9)'!K7</f>
        <v>0</v>
      </c>
      <c r="K8" s="205">
        <f>'ภาค2 (9)'!P7</f>
        <v>0</v>
      </c>
      <c r="L8" s="205">
        <f>'ภาค2 (9)'!U7</f>
        <v>0</v>
      </c>
      <c r="M8" s="205">
        <f>'ภาค2 (9)'!Z7</f>
        <v>0</v>
      </c>
      <c r="N8" s="206"/>
      <c r="O8" s="209"/>
      <c r="P8" s="210"/>
      <c r="Q8" s="211">
        <f t="shared" ref="Q8:Q13" si="0">SUM(C8:P8)</f>
        <v>0</v>
      </c>
      <c r="R8" s="212">
        <f>IF(Q8&gt;79,4,IF(Q8&gt;74,3.5,IF(Q8&gt;69,3,IF(Q8&gt;64,2.5,IF(Q8&gt;59,2,IF(Q8&gt;54,1.5,IF(Q8&gt;49,1,IF(Q8&lt;50,0))))))))</f>
        <v>0</v>
      </c>
      <c r="S8" s="138"/>
    </row>
    <row r="9" spans="1:19" ht="18" customHeight="1" x14ac:dyDescent="0.35">
      <c r="A9" s="133">
        <v>2</v>
      </c>
      <c r="B9" s="134" t="str">
        <f>'เวลาเรียน (2)'!C7</f>
        <v>เด็กชายนิรวุฒิ  วันทอง</v>
      </c>
      <c r="C9" s="207">
        <f>'ภาค1(8)'!F8</f>
        <v>0</v>
      </c>
      <c r="D9" s="208">
        <f>'ภาค1(8)'!H8</f>
        <v>0</v>
      </c>
      <c r="E9" s="208">
        <f>'ภาค1(8)'!P8</f>
        <v>0</v>
      </c>
      <c r="F9" s="208">
        <f>'ภาค1(8)'!U8</f>
        <v>0</v>
      </c>
      <c r="G9" s="208">
        <f>'ภาค1(8)'!Z8</f>
        <v>0</v>
      </c>
      <c r="H9" s="208"/>
      <c r="I9" s="208">
        <f>'ภาค2 (9)'!F8</f>
        <v>0</v>
      </c>
      <c r="J9" s="208">
        <f>'ภาค2 (9)'!K8</f>
        <v>0</v>
      </c>
      <c r="K9" s="205">
        <f>'ภาค2 (9)'!P8</f>
        <v>0</v>
      </c>
      <c r="L9" s="205">
        <f>'ภาค2 (9)'!U8</f>
        <v>0</v>
      </c>
      <c r="M9" s="205">
        <f>'ภาค2 (9)'!Z8</f>
        <v>0</v>
      </c>
      <c r="N9" s="206"/>
      <c r="O9" s="213"/>
      <c r="P9" s="214"/>
      <c r="Q9" s="215">
        <f t="shared" si="0"/>
        <v>0</v>
      </c>
      <c r="R9" s="216">
        <f t="shared" ref="R9:R13" si="1">IF(Q9&gt;79,4,IF(Q9&gt;74,3.5,IF(Q9&gt;69,3,IF(Q9&gt;64,2.5,IF(Q9&gt;59,2,IF(Q9&gt;54,1.5,IF(Q9&gt;49,1,IF(Q9&lt;50,0))))))))</f>
        <v>0</v>
      </c>
      <c r="S9" s="139"/>
    </row>
    <row r="10" spans="1:19" ht="18" customHeight="1" x14ac:dyDescent="0.35">
      <c r="A10" s="133">
        <v>3</v>
      </c>
      <c r="B10" s="134" t="str">
        <f>'เวลาเรียน (2)'!C8</f>
        <v>เด็กชายศรันยู  รัตนมงคล</v>
      </c>
      <c r="C10" s="207">
        <f>'ภาค1(8)'!F9</f>
        <v>0</v>
      </c>
      <c r="D10" s="208">
        <f>'ภาค1(8)'!H9</f>
        <v>0</v>
      </c>
      <c r="E10" s="208">
        <f>'ภาค1(8)'!P9</f>
        <v>0</v>
      </c>
      <c r="F10" s="208">
        <f>'ภาค1(8)'!U9</f>
        <v>0</v>
      </c>
      <c r="G10" s="208">
        <f>'ภาค1(8)'!Z9</f>
        <v>0</v>
      </c>
      <c r="H10" s="208"/>
      <c r="I10" s="208">
        <f>'ภาค2 (9)'!F9</f>
        <v>0</v>
      </c>
      <c r="J10" s="208">
        <f>'ภาค2 (9)'!K9</f>
        <v>0</v>
      </c>
      <c r="K10" s="205">
        <f>'ภาค2 (9)'!P9</f>
        <v>0</v>
      </c>
      <c r="L10" s="205">
        <f>'ภาค2 (9)'!U9</f>
        <v>0</v>
      </c>
      <c r="M10" s="205">
        <f>'ภาค2 (9)'!Z9</f>
        <v>0</v>
      </c>
      <c r="N10" s="206"/>
      <c r="O10" s="213"/>
      <c r="P10" s="214"/>
      <c r="Q10" s="215">
        <f t="shared" si="0"/>
        <v>0</v>
      </c>
      <c r="R10" s="216">
        <f t="shared" si="1"/>
        <v>0</v>
      </c>
      <c r="S10" s="139"/>
    </row>
    <row r="11" spans="1:19" ht="18" customHeight="1" x14ac:dyDescent="0.35">
      <c r="A11" s="133">
        <v>4</v>
      </c>
      <c r="B11" s="134" t="str">
        <f>'เวลาเรียน (2)'!C9</f>
        <v>เด็กชายสิรธีร์  เวียงอินทร์</v>
      </c>
      <c r="C11" s="207">
        <f>'ภาค1(8)'!F10</f>
        <v>0</v>
      </c>
      <c r="D11" s="208">
        <f>'ภาค1(8)'!H10</f>
        <v>0</v>
      </c>
      <c r="E11" s="208">
        <f>'ภาค1(8)'!P10</f>
        <v>0</v>
      </c>
      <c r="F11" s="208">
        <f>'ภาค1(8)'!U10</f>
        <v>0</v>
      </c>
      <c r="G11" s="208">
        <f>'ภาค1(8)'!Z10</f>
        <v>0</v>
      </c>
      <c r="H11" s="208"/>
      <c r="I11" s="208">
        <f>'ภาค2 (9)'!F10</f>
        <v>0</v>
      </c>
      <c r="J11" s="208">
        <f>'ภาค2 (9)'!K10</f>
        <v>0</v>
      </c>
      <c r="K11" s="205">
        <f>'ภาค2 (9)'!P10</f>
        <v>0</v>
      </c>
      <c r="L11" s="205">
        <f>'ภาค2 (9)'!U10</f>
        <v>0</v>
      </c>
      <c r="M11" s="205">
        <f>'ภาค2 (9)'!Z10</f>
        <v>0</v>
      </c>
      <c r="N11" s="206"/>
      <c r="O11" s="213"/>
      <c r="P11" s="214"/>
      <c r="Q11" s="215">
        <f t="shared" si="0"/>
        <v>0</v>
      </c>
      <c r="R11" s="216">
        <f t="shared" si="1"/>
        <v>0</v>
      </c>
      <c r="S11" s="139"/>
    </row>
    <row r="12" spans="1:19" ht="18" customHeight="1" x14ac:dyDescent="0.35">
      <c r="A12" s="133">
        <v>5</v>
      </c>
      <c r="B12" s="134" t="str">
        <f>'เวลาเรียน (2)'!C10</f>
        <v>เด็กหญิงจิรภิญญา  เขื่อนพงษ์</v>
      </c>
      <c r="C12" s="207">
        <f>'ภาค1(8)'!F11</f>
        <v>0</v>
      </c>
      <c r="D12" s="208">
        <f>'ภาค1(8)'!H11</f>
        <v>0</v>
      </c>
      <c r="E12" s="208">
        <f>'ภาค1(8)'!P11</f>
        <v>0</v>
      </c>
      <c r="F12" s="208">
        <f>'ภาค1(8)'!U11</f>
        <v>0</v>
      </c>
      <c r="G12" s="208">
        <f>'ภาค1(8)'!Z11</f>
        <v>0</v>
      </c>
      <c r="H12" s="208"/>
      <c r="I12" s="208">
        <f>'ภาค2 (9)'!F11</f>
        <v>0</v>
      </c>
      <c r="J12" s="208">
        <f>'ภาค2 (9)'!K11</f>
        <v>0</v>
      </c>
      <c r="K12" s="205">
        <f>'ภาค2 (9)'!P11</f>
        <v>0</v>
      </c>
      <c r="L12" s="205">
        <f>'ภาค2 (9)'!U11</f>
        <v>0</v>
      </c>
      <c r="M12" s="205">
        <f>'ภาค2 (9)'!Z11</f>
        <v>0</v>
      </c>
      <c r="N12" s="206"/>
      <c r="O12" s="213"/>
      <c r="P12" s="214"/>
      <c r="Q12" s="215">
        <f t="shared" si="0"/>
        <v>0</v>
      </c>
      <c r="R12" s="216">
        <f t="shared" si="1"/>
        <v>0</v>
      </c>
      <c r="S12" s="139"/>
    </row>
    <row r="13" spans="1:19" ht="18" customHeight="1" x14ac:dyDescent="0.35">
      <c r="A13" s="133">
        <v>6</v>
      </c>
      <c r="B13" s="134" t="str">
        <f>'เวลาเรียน (2)'!C11</f>
        <v>เด็กหญิงภคพร  วงค์สา</v>
      </c>
      <c r="C13" s="207">
        <f>'ภาค1(8)'!F12</f>
        <v>0</v>
      </c>
      <c r="D13" s="208">
        <f>'ภาค1(8)'!H12</f>
        <v>0</v>
      </c>
      <c r="E13" s="208">
        <f>'ภาค1(8)'!P12</f>
        <v>0</v>
      </c>
      <c r="F13" s="208">
        <f>'ภาค1(8)'!U12</f>
        <v>0</v>
      </c>
      <c r="G13" s="208">
        <f>'ภาค1(8)'!Z12</f>
        <v>0</v>
      </c>
      <c r="H13" s="208"/>
      <c r="I13" s="208">
        <f>'ภาค2 (9)'!F12</f>
        <v>0</v>
      </c>
      <c r="J13" s="208">
        <f>'ภาค2 (9)'!K12</f>
        <v>0</v>
      </c>
      <c r="K13" s="205">
        <f>'ภาค2 (9)'!P12</f>
        <v>0</v>
      </c>
      <c r="L13" s="205">
        <f>'ภาค2 (9)'!U12</f>
        <v>0</v>
      </c>
      <c r="M13" s="205">
        <f>'ภาค2 (9)'!Z12</f>
        <v>0</v>
      </c>
      <c r="N13" s="206"/>
      <c r="O13" s="213"/>
      <c r="P13" s="214"/>
      <c r="Q13" s="215">
        <f t="shared" si="0"/>
        <v>0</v>
      </c>
      <c r="R13" s="216">
        <f t="shared" si="1"/>
        <v>0</v>
      </c>
      <c r="S13" s="139"/>
    </row>
    <row r="14" spans="1:19" ht="18" customHeight="1" x14ac:dyDescent="0.35">
      <c r="A14" s="133">
        <v>7</v>
      </c>
      <c r="B14" s="134" t="str">
        <f>'เวลาเรียน (2)'!C12</f>
        <v>เด็กหญิงศิริณภา  สุวรรณจันทร์</v>
      </c>
      <c r="C14" s="207">
        <f>'ภาค1(8)'!F13</f>
        <v>0</v>
      </c>
      <c r="D14" s="208">
        <f>'ภาค1(8)'!H13</f>
        <v>0</v>
      </c>
      <c r="E14" s="208">
        <f>'ภาค1(8)'!P13</f>
        <v>0</v>
      </c>
      <c r="F14" s="208">
        <f>'ภาค1(8)'!U13</f>
        <v>0</v>
      </c>
      <c r="G14" s="208">
        <f>'ภาค1(8)'!Z13</f>
        <v>0</v>
      </c>
      <c r="H14" s="208"/>
      <c r="I14" s="208">
        <f>'ภาค2 (9)'!F13</f>
        <v>0</v>
      </c>
      <c r="J14" s="208">
        <f>'ภาค2 (9)'!K13</f>
        <v>0</v>
      </c>
      <c r="K14" s="205">
        <f>'ภาค2 (9)'!P13</f>
        <v>0</v>
      </c>
      <c r="L14" s="205">
        <f>'ภาค2 (9)'!U13</f>
        <v>0</v>
      </c>
      <c r="M14" s="205">
        <f>'ภาค2 (9)'!Z13</f>
        <v>0</v>
      </c>
      <c r="N14" s="206"/>
      <c r="O14" s="213"/>
      <c r="P14" s="214"/>
      <c r="Q14" s="215">
        <f t="shared" ref="Q14:Q16" si="2">SUM(C14:P14)</f>
        <v>0</v>
      </c>
      <c r="R14" s="216">
        <f t="shared" ref="R14:R16" si="3">IF(Q14&gt;79,4,IF(Q14&gt;74,3.5,IF(Q14&gt;69,3,IF(Q14&gt;64,2.5,IF(Q14&gt;59,2,IF(Q14&gt;54,1.5,IF(Q14&gt;49,1,IF(Q14&lt;50,0))))))))</f>
        <v>0</v>
      </c>
      <c r="S14" s="139"/>
    </row>
    <row r="15" spans="1:19" ht="18" customHeight="1" x14ac:dyDescent="0.35">
      <c r="A15" s="133">
        <v>8</v>
      </c>
      <c r="B15" s="134" t="str">
        <f>'เวลาเรียน (2)'!C13</f>
        <v>เด็กหญิงศุภิสรา  โม้แซง</v>
      </c>
      <c r="C15" s="207">
        <f>'ภาค1(8)'!F14</f>
        <v>0</v>
      </c>
      <c r="D15" s="208">
        <f>'ภาค1(8)'!H14</f>
        <v>0</v>
      </c>
      <c r="E15" s="208">
        <f>'ภาค1(8)'!P14</f>
        <v>0</v>
      </c>
      <c r="F15" s="208">
        <f>'ภาค1(8)'!U14</f>
        <v>0</v>
      </c>
      <c r="G15" s="208">
        <f>'ภาค1(8)'!Z14</f>
        <v>0</v>
      </c>
      <c r="H15" s="208"/>
      <c r="I15" s="208">
        <f>'ภาค2 (9)'!F14</f>
        <v>0</v>
      </c>
      <c r="J15" s="208">
        <f>'ภาค2 (9)'!K14</f>
        <v>0</v>
      </c>
      <c r="K15" s="205">
        <f>'ภาค2 (9)'!P14</f>
        <v>0</v>
      </c>
      <c r="L15" s="205">
        <f>'ภาค2 (9)'!U14</f>
        <v>0</v>
      </c>
      <c r="M15" s="205">
        <f>'ภาค2 (9)'!Z14</f>
        <v>0</v>
      </c>
      <c r="N15" s="206"/>
      <c r="O15" s="213"/>
      <c r="P15" s="214"/>
      <c r="Q15" s="215">
        <f t="shared" si="2"/>
        <v>0</v>
      </c>
      <c r="R15" s="216">
        <f t="shared" si="3"/>
        <v>0</v>
      </c>
      <c r="S15" s="139"/>
    </row>
    <row r="16" spans="1:19" ht="18" customHeight="1" x14ac:dyDescent="0.35">
      <c r="A16" s="133">
        <v>9</v>
      </c>
      <c r="B16" s="134" t="str">
        <f>'เวลาเรียน (2)'!C14</f>
        <v>เด็กหญิงสุพิชชา  ชาวนาฮี</v>
      </c>
      <c r="C16" s="207">
        <f>'ภาค1(8)'!F15</f>
        <v>0</v>
      </c>
      <c r="D16" s="208">
        <f>'ภาค1(8)'!H15</f>
        <v>0</v>
      </c>
      <c r="E16" s="208">
        <f>'ภาค1(8)'!P15</f>
        <v>0</v>
      </c>
      <c r="F16" s="208">
        <f>'ภาค1(8)'!U15</f>
        <v>0</v>
      </c>
      <c r="G16" s="208">
        <f>'ภาค1(8)'!Z15</f>
        <v>0</v>
      </c>
      <c r="H16" s="208"/>
      <c r="I16" s="208">
        <f>'ภาค2 (9)'!F15</f>
        <v>0</v>
      </c>
      <c r="J16" s="208">
        <f>'ภาค2 (9)'!K15</f>
        <v>0</v>
      </c>
      <c r="K16" s="205">
        <f>'ภาค2 (9)'!P15</f>
        <v>0</v>
      </c>
      <c r="L16" s="205">
        <f>'ภาค2 (9)'!U15</f>
        <v>0</v>
      </c>
      <c r="M16" s="205">
        <f>'ภาค2 (9)'!Z15</f>
        <v>0</v>
      </c>
      <c r="N16" s="206"/>
      <c r="O16" s="213"/>
      <c r="P16" s="214"/>
      <c r="Q16" s="215">
        <f t="shared" si="2"/>
        <v>0</v>
      </c>
      <c r="R16" s="216">
        <f t="shared" si="3"/>
        <v>0</v>
      </c>
      <c r="S16" s="139"/>
    </row>
    <row r="17" spans="1:19" ht="18" customHeight="1" x14ac:dyDescent="0.35">
      <c r="A17" s="133">
        <v>10</v>
      </c>
      <c r="B17" s="134"/>
      <c r="C17" s="207"/>
      <c r="D17" s="208"/>
      <c r="E17" s="208"/>
      <c r="F17" s="208"/>
      <c r="G17" s="208"/>
      <c r="H17" s="208"/>
      <c r="I17" s="208"/>
      <c r="J17" s="208"/>
      <c r="K17" s="205"/>
      <c r="L17" s="205"/>
      <c r="M17" s="205"/>
      <c r="N17" s="206"/>
      <c r="O17" s="213"/>
      <c r="P17" s="214"/>
      <c r="Q17" s="215"/>
      <c r="R17" s="216"/>
      <c r="S17" s="140"/>
    </row>
    <row r="18" spans="1:19" ht="18" customHeight="1" x14ac:dyDescent="0.35">
      <c r="A18" s="133">
        <v>11</v>
      </c>
      <c r="B18" s="134"/>
      <c r="C18" s="207"/>
      <c r="D18" s="208"/>
      <c r="E18" s="208"/>
      <c r="F18" s="208"/>
      <c r="G18" s="208"/>
      <c r="H18" s="208"/>
      <c r="I18" s="208"/>
      <c r="J18" s="208"/>
      <c r="K18" s="205"/>
      <c r="L18" s="205"/>
      <c r="M18" s="205"/>
      <c r="N18" s="206"/>
      <c r="O18" s="213"/>
      <c r="P18" s="214"/>
      <c r="Q18" s="215"/>
      <c r="R18" s="216"/>
      <c r="S18" s="139"/>
    </row>
    <row r="19" spans="1:19" ht="18" customHeight="1" x14ac:dyDescent="0.35">
      <c r="A19" s="133">
        <v>12</v>
      </c>
      <c r="B19" s="134"/>
      <c r="C19" s="207"/>
      <c r="D19" s="208"/>
      <c r="E19" s="208"/>
      <c r="F19" s="208"/>
      <c r="G19" s="208"/>
      <c r="H19" s="208"/>
      <c r="I19" s="208"/>
      <c r="J19" s="208"/>
      <c r="K19" s="205"/>
      <c r="L19" s="205"/>
      <c r="M19" s="205"/>
      <c r="N19" s="206"/>
      <c r="O19" s="213"/>
      <c r="P19" s="214"/>
      <c r="Q19" s="215"/>
      <c r="R19" s="216"/>
      <c r="S19" s="139"/>
    </row>
    <row r="20" spans="1:19" ht="18" customHeight="1" x14ac:dyDescent="0.35">
      <c r="A20" s="133">
        <v>13</v>
      </c>
      <c r="B20" s="134"/>
      <c r="C20" s="207"/>
      <c r="D20" s="208"/>
      <c r="E20" s="208"/>
      <c r="F20" s="208"/>
      <c r="G20" s="208"/>
      <c r="H20" s="208"/>
      <c r="I20" s="208"/>
      <c r="J20" s="208"/>
      <c r="K20" s="205"/>
      <c r="L20" s="205"/>
      <c r="M20" s="205"/>
      <c r="N20" s="206"/>
      <c r="O20" s="213"/>
      <c r="P20" s="214"/>
      <c r="Q20" s="215"/>
      <c r="R20" s="216"/>
      <c r="S20" s="139"/>
    </row>
    <row r="21" spans="1:19" ht="18" customHeight="1" x14ac:dyDescent="0.35">
      <c r="A21" s="133">
        <v>14</v>
      </c>
      <c r="B21" s="134"/>
      <c r="C21" s="207"/>
      <c r="D21" s="208"/>
      <c r="E21" s="208"/>
      <c r="F21" s="208"/>
      <c r="G21" s="208"/>
      <c r="H21" s="208"/>
      <c r="I21" s="208"/>
      <c r="J21" s="208"/>
      <c r="K21" s="205"/>
      <c r="L21" s="205"/>
      <c r="M21" s="205"/>
      <c r="N21" s="206"/>
      <c r="O21" s="213"/>
      <c r="P21" s="214"/>
      <c r="Q21" s="215"/>
      <c r="R21" s="216"/>
      <c r="S21" s="139"/>
    </row>
    <row r="22" spans="1:19" ht="18" customHeight="1" x14ac:dyDescent="0.35">
      <c r="A22" s="133">
        <v>15</v>
      </c>
      <c r="B22" s="134"/>
      <c r="C22" s="207"/>
      <c r="D22" s="208"/>
      <c r="E22" s="208"/>
      <c r="F22" s="208"/>
      <c r="G22" s="208"/>
      <c r="H22" s="208"/>
      <c r="I22" s="208"/>
      <c r="J22" s="208"/>
      <c r="K22" s="205"/>
      <c r="L22" s="205"/>
      <c r="M22" s="205"/>
      <c r="N22" s="206"/>
      <c r="O22" s="213"/>
      <c r="P22" s="214"/>
      <c r="Q22" s="215"/>
      <c r="R22" s="216"/>
      <c r="S22" s="139"/>
    </row>
    <row r="23" spans="1:19" ht="18" customHeight="1" x14ac:dyDescent="0.35">
      <c r="A23" s="133">
        <v>16</v>
      </c>
      <c r="B23" s="134"/>
      <c r="C23" s="207"/>
      <c r="D23" s="208"/>
      <c r="E23" s="208"/>
      <c r="F23" s="208"/>
      <c r="G23" s="208"/>
      <c r="H23" s="208"/>
      <c r="I23" s="208"/>
      <c r="J23" s="208"/>
      <c r="K23" s="205"/>
      <c r="L23" s="205"/>
      <c r="M23" s="205"/>
      <c r="N23" s="206"/>
      <c r="O23" s="213"/>
      <c r="P23" s="214"/>
      <c r="Q23" s="215"/>
      <c r="R23" s="216"/>
      <c r="S23" s="139"/>
    </row>
    <row r="24" spans="1:19" ht="18" customHeight="1" x14ac:dyDescent="0.35">
      <c r="A24" s="133">
        <v>17</v>
      </c>
      <c r="B24" s="134"/>
      <c r="C24" s="207"/>
      <c r="D24" s="208"/>
      <c r="E24" s="208"/>
      <c r="F24" s="208"/>
      <c r="G24" s="208"/>
      <c r="H24" s="208"/>
      <c r="I24" s="208"/>
      <c r="J24" s="208"/>
      <c r="K24" s="205"/>
      <c r="L24" s="205"/>
      <c r="M24" s="205"/>
      <c r="N24" s="206"/>
      <c r="O24" s="213"/>
      <c r="P24" s="214"/>
      <c r="Q24" s="215"/>
      <c r="R24" s="216"/>
      <c r="S24" s="141"/>
    </row>
    <row r="25" spans="1:19" ht="18" customHeight="1" x14ac:dyDescent="0.35">
      <c r="A25" s="133">
        <v>18</v>
      </c>
      <c r="B25" s="134"/>
      <c r="C25" s="207"/>
      <c r="D25" s="208"/>
      <c r="E25" s="208"/>
      <c r="F25" s="208"/>
      <c r="G25" s="208"/>
      <c r="H25" s="208"/>
      <c r="I25" s="208"/>
      <c r="J25" s="208"/>
      <c r="K25" s="205"/>
      <c r="L25" s="205"/>
      <c r="M25" s="205"/>
      <c r="N25" s="206"/>
      <c r="O25" s="213"/>
      <c r="P25" s="214"/>
      <c r="Q25" s="215"/>
      <c r="R25" s="216"/>
      <c r="S25" s="139"/>
    </row>
    <row r="26" spans="1:19" ht="18" customHeight="1" x14ac:dyDescent="0.3">
      <c r="A26" s="133">
        <v>19</v>
      </c>
      <c r="B26" s="134"/>
      <c r="C26" s="94"/>
      <c r="D26" s="95"/>
      <c r="E26" s="95"/>
      <c r="F26" s="95"/>
      <c r="G26" s="95"/>
      <c r="H26" s="95"/>
      <c r="I26" s="95"/>
      <c r="J26" s="95"/>
      <c r="K26" s="97"/>
      <c r="L26" s="97"/>
      <c r="M26" s="97"/>
      <c r="N26" s="98"/>
      <c r="O26" s="142"/>
      <c r="P26" s="143"/>
      <c r="Q26" s="136"/>
      <c r="R26" s="137"/>
      <c r="S26" s="139"/>
    </row>
    <row r="27" spans="1:19" ht="18" customHeight="1" x14ac:dyDescent="0.3">
      <c r="A27" s="133">
        <v>20</v>
      </c>
      <c r="B27" s="134"/>
      <c r="C27" s="94"/>
      <c r="D27" s="95"/>
      <c r="E27" s="95"/>
      <c r="F27" s="95"/>
      <c r="G27" s="95"/>
      <c r="H27" s="95"/>
      <c r="I27" s="95"/>
      <c r="J27" s="95"/>
      <c r="K27" s="97"/>
      <c r="L27" s="97"/>
      <c r="M27" s="97"/>
      <c r="N27" s="98"/>
      <c r="O27" s="142"/>
      <c r="P27" s="143"/>
      <c r="Q27" s="136"/>
      <c r="R27" s="137"/>
      <c r="S27" s="139"/>
    </row>
    <row r="28" spans="1:19" ht="18" customHeight="1" x14ac:dyDescent="0.3">
      <c r="A28" s="133">
        <v>21</v>
      </c>
      <c r="B28" s="134"/>
      <c r="C28" s="94"/>
      <c r="D28" s="95"/>
      <c r="E28" s="95"/>
      <c r="F28" s="95"/>
      <c r="G28" s="95"/>
      <c r="H28" s="95"/>
      <c r="I28" s="95"/>
      <c r="J28" s="95"/>
      <c r="K28" s="97"/>
      <c r="L28" s="97"/>
      <c r="M28" s="97"/>
      <c r="N28" s="98"/>
      <c r="O28" s="142"/>
      <c r="P28" s="143"/>
      <c r="Q28" s="136"/>
      <c r="R28" s="137"/>
      <c r="S28" s="140"/>
    </row>
    <row r="29" spans="1:19" ht="18" customHeight="1" x14ac:dyDescent="0.3">
      <c r="A29" s="133">
        <v>22</v>
      </c>
      <c r="B29" s="134"/>
      <c r="C29" s="94"/>
      <c r="D29" s="95"/>
      <c r="E29" s="95"/>
      <c r="F29" s="95"/>
      <c r="G29" s="95"/>
      <c r="H29" s="95"/>
      <c r="I29" s="95"/>
      <c r="J29" s="95"/>
      <c r="K29" s="97"/>
      <c r="L29" s="97"/>
      <c r="M29" s="97"/>
      <c r="N29" s="98"/>
      <c r="O29" s="142"/>
      <c r="P29" s="143"/>
      <c r="Q29" s="136"/>
      <c r="R29" s="137"/>
      <c r="S29" s="139"/>
    </row>
    <row r="30" spans="1:19" ht="18" customHeight="1" x14ac:dyDescent="0.3">
      <c r="A30" s="133">
        <v>23</v>
      </c>
      <c r="B30" s="134"/>
      <c r="C30" s="94"/>
      <c r="D30" s="95"/>
      <c r="E30" s="95"/>
      <c r="F30" s="95"/>
      <c r="G30" s="95"/>
      <c r="H30" s="95"/>
      <c r="I30" s="95"/>
      <c r="J30" s="95"/>
      <c r="K30" s="97"/>
      <c r="L30" s="97"/>
      <c r="M30" s="97"/>
      <c r="N30" s="98"/>
      <c r="O30" s="142"/>
      <c r="P30" s="143"/>
      <c r="Q30" s="136"/>
      <c r="R30" s="137"/>
      <c r="S30" s="139"/>
    </row>
    <row r="31" spans="1:19" ht="18" customHeight="1" x14ac:dyDescent="0.3">
      <c r="A31" s="133">
        <v>24</v>
      </c>
      <c r="B31" s="134"/>
      <c r="C31" s="94"/>
      <c r="D31" s="95"/>
      <c r="E31" s="95"/>
      <c r="F31" s="95"/>
      <c r="G31" s="95"/>
      <c r="H31" s="95"/>
      <c r="I31" s="95"/>
      <c r="J31" s="95"/>
      <c r="K31" s="97"/>
      <c r="L31" s="97"/>
      <c r="M31" s="97"/>
      <c r="N31" s="98"/>
      <c r="O31" s="142"/>
      <c r="P31" s="143"/>
      <c r="Q31" s="136"/>
      <c r="R31" s="137"/>
      <c r="S31" s="139"/>
    </row>
    <row r="32" spans="1:19" ht="18" customHeight="1" x14ac:dyDescent="0.3">
      <c r="A32" s="133">
        <v>25</v>
      </c>
      <c r="B32" s="134"/>
      <c r="C32" s="94"/>
      <c r="D32" s="95"/>
      <c r="E32" s="95"/>
      <c r="F32" s="95"/>
      <c r="G32" s="95"/>
      <c r="H32" s="95"/>
      <c r="I32" s="95"/>
      <c r="J32" s="95"/>
      <c r="K32" s="97"/>
      <c r="L32" s="97"/>
      <c r="M32" s="97"/>
      <c r="N32" s="98"/>
      <c r="O32" s="142"/>
      <c r="P32" s="143"/>
      <c r="Q32" s="136"/>
      <c r="R32" s="137"/>
      <c r="S32" s="139"/>
    </row>
    <row r="33" spans="1:19" ht="18" customHeight="1" x14ac:dyDescent="0.3">
      <c r="A33" s="133">
        <v>26</v>
      </c>
      <c r="B33" s="134"/>
      <c r="C33" s="94"/>
      <c r="D33" s="95"/>
      <c r="E33" s="95"/>
      <c r="F33" s="95"/>
      <c r="G33" s="95"/>
      <c r="H33" s="95"/>
      <c r="I33" s="95"/>
      <c r="J33" s="95"/>
      <c r="K33" s="97"/>
      <c r="L33" s="97"/>
      <c r="M33" s="97"/>
      <c r="N33" s="98"/>
      <c r="O33" s="142"/>
      <c r="P33" s="143"/>
      <c r="Q33" s="136"/>
      <c r="R33" s="137"/>
      <c r="S33" s="139"/>
    </row>
    <row r="34" spans="1:19" ht="18" customHeight="1" x14ac:dyDescent="0.3">
      <c r="A34" s="133">
        <v>27</v>
      </c>
      <c r="B34" s="134"/>
      <c r="C34" s="94"/>
      <c r="D34" s="95"/>
      <c r="E34" s="95"/>
      <c r="F34" s="95"/>
      <c r="G34" s="95"/>
      <c r="H34" s="95"/>
      <c r="I34" s="95"/>
      <c r="J34" s="95"/>
      <c r="K34" s="97"/>
      <c r="L34" s="97"/>
      <c r="M34" s="97"/>
      <c r="N34" s="98"/>
      <c r="O34" s="142"/>
      <c r="P34" s="143"/>
      <c r="Q34" s="136"/>
      <c r="R34" s="137"/>
      <c r="S34" s="139"/>
    </row>
    <row r="35" spans="1:19" ht="18" customHeight="1" x14ac:dyDescent="0.3">
      <c r="A35" s="133">
        <v>28</v>
      </c>
      <c r="B35" s="134"/>
      <c r="C35" s="94"/>
      <c r="D35" s="95"/>
      <c r="E35" s="95"/>
      <c r="F35" s="95"/>
      <c r="G35" s="95"/>
      <c r="H35" s="95"/>
      <c r="I35" s="95"/>
      <c r="J35" s="95"/>
      <c r="K35" s="97"/>
      <c r="L35" s="97"/>
      <c r="M35" s="97"/>
      <c r="N35" s="98"/>
      <c r="O35" s="142"/>
      <c r="P35" s="143"/>
      <c r="Q35" s="136"/>
      <c r="R35" s="137"/>
      <c r="S35" s="139"/>
    </row>
    <row r="36" spans="1:19" ht="18" customHeight="1" x14ac:dyDescent="0.3">
      <c r="A36" s="133">
        <v>29</v>
      </c>
      <c r="B36" s="134"/>
      <c r="C36" s="94"/>
      <c r="D36" s="95"/>
      <c r="E36" s="95"/>
      <c r="F36" s="95"/>
      <c r="G36" s="95"/>
      <c r="H36" s="95"/>
      <c r="I36" s="95"/>
      <c r="J36" s="95"/>
      <c r="K36" s="97"/>
      <c r="L36" s="97"/>
      <c r="M36" s="97"/>
      <c r="N36" s="98"/>
      <c r="O36" s="142"/>
      <c r="P36" s="143"/>
      <c r="Q36" s="136"/>
      <c r="R36" s="137"/>
      <c r="S36" s="139"/>
    </row>
    <row r="37" spans="1:19" ht="18" customHeight="1" x14ac:dyDescent="0.3">
      <c r="A37" s="133">
        <v>30</v>
      </c>
      <c r="B37" s="134"/>
      <c r="C37" s="94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6"/>
      <c r="O37" s="142"/>
      <c r="P37" s="143"/>
      <c r="Q37" s="136"/>
      <c r="R37" s="137"/>
      <c r="S37" s="139"/>
    </row>
    <row r="38" spans="1:19" ht="18" customHeight="1" x14ac:dyDescent="0.3">
      <c r="A38" s="133">
        <v>31</v>
      </c>
      <c r="B38" s="134"/>
      <c r="C38" s="94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6"/>
      <c r="O38" s="142"/>
      <c r="P38" s="143"/>
      <c r="Q38" s="136"/>
      <c r="R38" s="137"/>
      <c r="S38" s="139"/>
    </row>
    <row r="39" spans="1:19" ht="18" customHeight="1" x14ac:dyDescent="0.3">
      <c r="A39" s="133">
        <v>32</v>
      </c>
      <c r="B39" s="134"/>
      <c r="C39" s="94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6"/>
      <c r="O39" s="142"/>
      <c r="P39" s="143"/>
      <c r="Q39" s="136"/>
      <c r="R39" s="137"/>
      <c r="S39" s="139"/>
    </row>
    <row r="40" spans="1:19" ht="18" customHeight="1" x14ac:dyDescent="0.3">
      <c r="A40" s="133">
        <v>33</v>
      </c>
      <c r="B40" s="134"/>
      <c r="C40" s="94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6"/>
      <c r="O40" s="142"/>
      <c r="P40" s="143"/>
      <c r="Q40" s="136"/>
      <c r="R40" s="137"/>
      <c r="S40" s="139"/>
    </row>
    <row r="41" spans="1:19" ht="18" customHeight="1" x14ac:dyDescent="0.3">
      <c r="A41" s="133">
        <v>34</v>
      </c>
      <c r="B41" s="134"/>
      <c r="C41" s="94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6"/>
      <c r="O41" s="144"/>
      <c r="P41" s="145"/>
      <c r="Q41" s="136"/>
      <c r="R41" s="137"/>
      <c r="S41" s="139"/>
    </row>
    <row r="42" spans="1:19" ht="18" customHeight="1" x14ac:dyDescent="0.3">
      <c r="A42" s="133">
        <v>35</v>
      </c>
      <c r="B42" s="134"/>
      <c r="C42" s="94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144"/>
      <c r="P42" s="145"/>
      <c r="Q42" s="136"/>
      <c r="R42" s="137"/>
      <c r="S42" s="139"/>
    </row>
  </sheetData>
  <mergeCells count="11">
    <mergeCell ref="A2:S2"/>
    <mergeCell ref="Q3:R3"/>
    <mergeCell ref="S3:S7"/>
    <mergeCell ref="Q4:Q6"/>
    <mergeCell ref="C3:N4"/>
    <mergeCell ref="A6:B6"/>
    <mergeCell ref="A3:B4"/>
    <mergeCell ref="I5:N5"/>
    <mergeCell ref="C5:H5"/>
    <mergeCell ref="O3:O6"/>
    <mergeCell ref="P3:P6"/>
  </mergeCells>
  <pageMargins left="0.44791666666666669" right="5.2083333333333336E-2" top="0.15748031496062992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Z39"/>
  <sheetViews>
    <sheetView view="pageBreakPreview" topLeftCell="A7" zoomScale="140" zoomScaleNormal="130" zoomScaleSheetLayoutView="140" workbookViewId="0">
      <selection activeCell="G15" sqref="G15"/>
    </sheetView>
  </sheetViews>
  <sheetFormatPr defaultColWidth="9.125" defaultRowHeight="18" customHeight="1" x14ac:dyDescent="0.3"/>
  <cols>
    <col min="1" max="1" width="3.125" style="78" customWidth="1"/>
    <col min="2" max="2" width="21.25" style="78" customWidth="1"/>
    <col min="3" max="26" width="2.5" style="78" customWidth="1"/>
    <col min="27" max="16384" width="9.125" style="78"/>
  </cols>
  <sheetData>
    <row r="1" spans="1:26" ht="18" customHeight="1" thickBot="1" x14ac:dyDescent="0.4">
      <c r="L1" s="93"/>
      <c r="S1" s="180"/>
      <c r="Z1" s="180">
        <v>11</v>
      </c>
    </row>
    <row r="2" spans="1:26" ht="18" customHeight="1" thickBot="1" x14ac:dyDescent="0.35">
      <c r="A2" s="526" t="s">
        <v>130</v>
      </c>
      <c r="B2" s="527"/>
      <c r="C2" s="483" t="s">
        <v>129</v>
      </c>
      <c r="D2" s="484"/>
      <c r="E2" s="484"/>
      <c r="F2" s="484"/>
      <c r="G2" s="484"/>
      <c r="H2" s="484"/>
      <c r="I2" s="484"/>
      <c r="J2" s="484"/>
      <c r="K2" s="484"/>
      <c r="L2" s="485"/>
      <c r="M2" s="528" t="s">
        <v>131</v>
      </c>
      <c r="N2" s="529"/>
      <c r="O2" s="529"/>
      <c r="P2" s="529"/>
      <c r="Q2" s="529"/>
      <c r="R2" s="529"/>
      <c r="S2" s="530"/>
      <c r="T2" s="483" t="s">
        <v>207</v>
      </c>
      <c r="U2" s="484"/>
      <c r="V2" s="484"/>
      <c r="W2" s="484"/>
      <c r="X2" s="484"/>
      <c r="Y2" s="484"/>
      <c r="Z2" s="485"/>
    </row>
    <row r="3" spans="1:26" s="85" customFormat="1" ht="78" customHeight="1" thickBot="1" x14ac:dyDescent="0.3">
      <c r="A3" s="531" t="s">
        <v>27</v>
      </c>
      <c r="B3" s="99" t="s">
        <v>125</v>
      </c>
      <c r="C3" s="302" t="s">
        <v>48</v>
      </c>
      <c r="D3" s="303" t="s">
        <v>49</v>
      </c>
      <c r="E3" s="303" t="s">
        <v>50</v>
      </c>
      <c r="F3" s="303" t="s">
        <v>51</v>
      </c>
      <c r="G3" s="303" t="s">
        <v>52</v>
      </c>
      <c r="H3" s="303" t="s">
        <v>53</v>
      </c>
      <c r="I3" s="303" t="s">
        <v>54</v>
      </c>
      <c r="J3" s="304" t="s">
        <v>55</v>
      </c>
      <c r="K3" s="305" t="s">
        <v>132</v>
      </c>
      <c r="L3" s="524" t="s">
        <v>42</v>
      </c>
      <c r="M3" s="306" t="s">
        <v>133</v>
      </c>
      <c r="N3" s="307" t="s">
        <v>134</v>
      </c>
      <c r="O3" s="307" t="s">
        <v>135</v>
      </c>
      <c r="P3" s="307" t="s">
        <v>136</v>
      </c>
      <c r="Q3" s="308" t="s">
        <v>137</v>
      </c>
      <c r="R3" s="309" t="s">
        <v>132</v>
      </c>
      <c r="S3" s="524" t="s">
        <v>42</v>
      </c>
      <c r="T3" s="306" t="s">
        <v>208</v>
      </c>
      <c r="U3" s="307" t="s">
        <v>209</v>
      </c>
      <c r="V3" s="307" t="s">
        <v>210</v>
      </c>
      <c r="W3" s="307" t="s">
        <v>211</v>
      </c>
      <c r="X3" s="308" t="s">
        <v>212</v>
      </c>
      <c r="Y3" s="309" t="s">
        <v>132</v>
      </c>
      <c r="Z3" s="524" t="s">
        <v>42</v>
      </c>
    </row>
    <row r="4" spans="1:26" s="85" customFormat="1" ht="17.25" customHeight="1" thickBot="1" x14ac:dyDescent="0.3">
      <c r="A4" s="532"/>
      <c r="B4" s="100" t="s">
        <v>124</v>
      </c>
      <c r="C4" s="192">
        <v>3</v>
      </c>
      <c r="D4" s="193">
        <v>3</v>
      </c>
      <c r="E4" s="193">
        <v>3</v>
      </c>
      <c r="F4" s="193">
        <v>3</v>
      </c>
      <c r="G4" s="193">
        <v>3</v>
      </c>
      <c r="H4" s="193">
        <v>3</v>
      </c>
      <c r="I4" s="193">
        <v>3</v>
      </c>
      <c r="J4" s="194">
        <v>3</v>
      </c>
      <c r="K4" s="202">
        <v>3</v>
      </c>
      <c r="L4" s="525"/>
      <c r="M4" s="192">
        <v>3</v>
      </c>
      <c r="N4" s="193">
        <v>3</v>
      </c>
      <c r="O4" s="193">
        <v>3</v>
      </c>
      <c r="P4" s="193">
        <v>3</v>
      </c>
      <c r="Q4" s="194">
        <v>3</v>
      </c>
      <c r="R4" s="202">
        <v>3</v>
      </c>
      <c r="S4" s="525"/>
      <c r="T4" s="192">
        <v>3</v>
      </c>
      <c r="U4" s="193">
        <v>3</v>
      </c>
      <c r="V4" s="193">
        <v>3</v>
      </c>
      <c r="W4" s="193">
        <v>3</v>
      </c>
      <c r="X4" s="194">
        <v>3</v>
      </c>
      <c r="Y4" s="202">
        <v>3</v>
      </c>
      <c r="Z4" s="525"/>
    </row>
    <row r="5" spans="1:26" s="85" customFormat="1" ht="17.25" customHeight="1" x14ac:dyDescent="0.35">
      <c r="A5" s="90">
        <v>1</v>
      </c>
      <c r="B5" s="114" t="str">
        <f>'เวลาเรียน (2)'!C6</f>
        <v>เด็กชายธนาธร    กิติกาแดง</v>
      </c>
      <c r="C5" s="181">
        <f>K5</f>
        <v>0</v>
      </c>
      <c r="D5" s="182">
        <f>C5</f>
        <v>0</v>
      </c>
      <c r="E5" s="182">
        <f t="shared" ref="E5:J5" si="0">D5</f>
        <v>0</v>
      </c>
      <c r="F5" s="182">
        <f t="shared" si="0"/>
        <v>0</v>
      </c>
      <c r="G5" s="182">
        <f t="shared" si="0"/>
        <v>0</v>
      </c>
      <c r="H5" s="182">
        <f t="shared" si="0"/>
        <v>0</v>
      </c>
      <c r="I5" s="182">
        <f t="shared" si="0"/>
        <v>0</v>
      </c>
      <c r="J5" s="182">
        <f t="shared" si="0"/>
        <v>0</v>
      </c>
      <c r="K5" s="199">
        <f>IF('สรุปผลรวม (10)'!Q8&gt;70,3,IF('สรุปผลรวม (10)'!Q8&gt;59,2,IF('สรุปผลรวม (10)'!Q8&gt;49,1,IF('สรุปผลรวม (10)'!Q8&lt;50,0))))</f>
        <v>0</v>
      </c>
      <c r="L5" s="183"/>
      <c r="M5" s="184">
        <f>R5</f>
        <v>0</v>
      </c>
      <c r="N5" s="182">
        <f>M5</f>
        <v>0</v>
      </c>
      <c r="O5" s="182">
        <f t="shared" ref="O5:Q5" si="1">N5</f>
        <v>0</v>
      </c>
      <c r="P5" s="182">
        <f t="shared" si="1"/>
        <v>0</v>
      </c>
      <c r="Q5" s="185">
        <f t="shared" si="1"/>
        <v>0</v>
      </c>
      <c r="R5" s="199">
        <f>IF('สรุปผลรวม (10)'!Q8&gt;74,3,IF('สรุปผลรวม (10)'!Q8&gt;59,2,IF('สรุปผลรวม (10)'!Q8&gt;49,1,IF('สรุปผลรวม (10)'!Q8&lt;50,0))))</f>
        <v>0</v>
      </c>
      <c r="S5" s="117"/>
      <c r="T5" s="184">
        <f>Y5</f>
        <v>0</v>
      </c>
      <c r="U5" s="182">
        <f>T5</f>
        <v>0</v>
      </c>
      <c r="V5" s="182">
        <f t="shared" ref="V5:X5" si="2">U5</f>
        <v>0</v>
      </c>
      <c r="W5" s="182">
        <f t="shared" si="2"/>
        <v>0</v>
      </c>
      <c r="X5" s="182">
        <f t="shared" si="2"/>
        <v>0</v>
      </c>
      <c r="Y5" s="199">
        <f>IF('สรุปผลรวม (10)'!Q8&gt;74,3,IF('สรุปผลรวม (10)'!Q8&gt;59,2,IF('สรุปผลรวม (10)'!Q8&gt;49,1,IF('สรุปผลรวม (10)'!Q8&lt;50,0))))</f>
        <v>0</v>
      </c>
      <c r="Z5" s="117"/>
    </row>
    <row r="6" spans="1:26" s="85" customFormat="1" ht="17.25" customHeight="1" x14ac:dyDescent="0.35">
      <c r="A6" s="86">
        <v>2</v>
      </c>
      <c r="B6" s="115" t="str">
        <f>'เวลาเรียน (2)'!C7</f>
        <v>เด็กชายนิรวุฒิ  วันทอง</v>
      </c>
      <c r="C6" s="186">
        <f t="shared" ref="C6:C13" si="3">K6</f>
        <v>0</v>
      </c>
      <c r="D6" s="187">
        <f t="shared" ref="D6:J6" si="4">C6</f>
        <v>0</v>
      </c>
      <c r="E6" s="187">
        <f t="shared" si="4"/>
        <v>0</v>
      </c>
      <c r="F6" s="187">
        <f t="shared" si="4"/>
        <v>0</v>
      </c>
      <c r="G6" s="187">
        <f t="shared" si="4"/>
        <v>0</v>
      </c>
      <c r="H6" s="187">
        <f t="shared" si="4"/>
        <v>0</v>
      </c>
      <c r="I6" s="187">
        <f t="shared" si="4"/>
        <v>0</v>
      </c>
      <c r="J6" s="188">
        <f t="shared" si="4"/>
        <v>0</v>
      </c>
      <c r="K6" s="195">
        <f>IF('สรุปผลรวม (10)'!Q9&gt;70,3,IF('สรุปผลรวม (10)'!Q9&gt;59,2,IF('สรุปผลรวม (10)'!Q9&gt;49,1,IF('สรุปผลรวม (10)'!Q9&lt;50,0))))</f>
        <v>0</v>
      </c>
      <c r="L6" s="189"/>
      <c r="M6" s="190">
        <f t="shared" ref="M6:M13" si="5">R6</f>
        <v>0</v>
      </c>
      <c r="N6" s="187">
        <f t="shared" ref="N6:Q6" si="6">M6</f>
        <v>0</v>
      </c>
      <c r="O6" s="187">
        <f t="shared" si="6"/>
        <v>0</v>
      </c>
      <c r="P6" s="187">
        <f t="shared" si="6"/>
        <v>0</v>
      </c>
      <c r="Q6" s="191">
        <f t="shared" si="6"/>
        <v>0</v>
      </c>
      <c r="R6" s="199">
        <f>IF('สรุปผลรวม (10)'!Q9&gt;74,3,IF('สรุปผลรวม (10)'!Q9&gt;59,2,IF('สรุปผลรวม (10)'!Q9&gt;49,1,IF('สรุปผลรวม (10)'!Q9&lt;50,0))))</f>
        <v>0</v>
      </c>
      <c r="S6" s="118"/>
      <c r="T6" s="190">
        <f t="shared" ref="T6:T13" si="7">Y6</f>
        <v>0</v>
      </c>
      <c r="U6" s="187">
        <f t="shared" ref="U6:X6" si="8">T6</f>
        <v>0</v>
      </c>
      <c r="V6" s="187">
        <f t="shared" si="8"/>
        <v>0</v>
      </c>
      <c r="W6" s="187">
        <f t="shared" si="8"/>
        <v>0</v>
      </c>
      <c r="X6" s="187">
        <f t="shared" si="8"/>
        <v>0</v>
      </c>
      <c r="Y6" s="199">
        <f>IF('สรุปผลรวม (10)'!Q9&gt;74,3,IF('สรุปผลรวม (10)'!Q9&gt;59,2,IF('สรุปผลรวม (10)'!Q9&gt;49,1,IF('สรุปผลรวม (10)'!Q9&lt;50,0))))</f>
        <v>0</v>
      </c>
      <c r="Z6" s="118"/>
    </row>
    <row r="7" spans="1:26" s="85" customFormat="1" ht="17.25" customHeight="1" x14ac:dyDescent="0.35">
      <c r="A7" s="86">
        <v>3</v>
      </c>
      <c r="B7" s="115" t="str">
        <f>'เวลาเรียน (2)'!C8</f>
        <v>เด็กชายศรันยู  รัตนมงคล</v>
      </c>
      <c r="C7" s="186">
        <f t="shared" si="3"/>
        <v>0</v>
      </c>
      <c r="D7" s="187">
        <f t="shared" ref="D7:J7" si="9">C7</f>
        <v>0</v>
      </c>
      <c r="E7" s="187">
        <f t="shared" si="9"/>
        <v>0</v>
      </c>
      <c r="F7" s="187">
        <f t="shared" si="9"/>
        <v>0</v>
      </c>
      <c r="G7" s="187">
        <f t="shared" si="9"/>
        <v>0</v>
      </c>
      <c r="H7" s="187">
        <f t="shared" si="9"/>
        <v>0</v>
      </c>
      <c r="I7" s="187">
        <f t="shared" si="9"/>
        <v>0</v>
      </c>
      <c r="J7" s="188">
        <f t="shared" si="9"/>
        <v>0</v>
      </c>
      <c r="K7" s="195">
        <f>IF('สรุปผลรวม (10)'!Q10&gt;70,3,IF('สรุปผลรวม (10)'!Q10&gt;59,2,IF('สรุปผลรวม (10)'!Q10&gt;49,1,IF('สรุปผลรวม (10)'!Q10&lt;50,0))))</f>
        <v>0</v>
      </c>
      <c r="L7" s="189"/>
      <c r="M7" s="190">
        <f t="shared" si="5"/>
        <v>0</v>
      </c>
      <c r="N7" s="187">
        <f t="shared" ref="N7:Q7" si="10">M7</f>
        <v>0</v>
      </c>
      <c r="O7" s="187">
        <f t="shared" si="10"/>
        <v>0</v>
      </c>
      <c r="P7" s="187">
        <f t="shared" si="10"/>
        <v>0</v>
      </c>
      <c r="Q7" s="191">
        <f t="shared" si="10"/>
        <v>0</v>
      </c>
      <c r="R7" s="199">
        <f>IF('สรุปผลรวม (10)'!Q10&gt;74,3,IF('สรุปผลรวม (10)'!Q10&gt;59,2,IF('สรุปผลรวม (10)'!Q10&gt;49,1,IF('สรุปผลรวม (10)'!Q10&lt;50,0))))</f>
        <v>0</v>
      </c>
      <c r="S7" s="118"/>
      <c r="T7" s="190">
        <f t="shared" si="7"/>
        <v>0</v>
      </c>
      <c r="U7" s="187">
        <f t="shared" ref="U7:X7" si="11">T7</f>
        <v>0</v>
      </c>
      <c r="V7" s="187">
        <f t="shared" si="11"/>
        <v>0</v>
      </c>
      <c r="W7" s="187">
        <f t="shared" si="11"/>
        <v>0</v>
      </c>
      <c r="X7" s="187">
        <f t="shared" si="11"/>
        <v>0</v>
      </c>
      <c r="Y7" s="199">
        <f>IF('สรุปผลรวม (10)'!Q10&gt;74,3,IF('สรุปผลรวม (10)'!Q10&gt;59,2,IF('สรุปผลรวม (10)'!Q10&gt;49,1,IF('สรุปผลรวม (10)'!Q10&lt;50,0))))</f>
        <v>0</v>
      </c>
      <c r="Z7" s="118"/>
    </row>
    <row r="8" spans="1:26" s="85" customFormat="1" ht="17.25" customHeight="1" x14ac:dyDescent="0.35">
      <c r="A8" s="86">
        <v>4</v>
      </c>
      <c r="B8" s="115" t="str">
        <f>'เวลาเรียน (2)'!C9</f>
        <v>เด็กชายสิรธีร์  เวียงอินทร์</v>
      </c>
      <c r="C8" s="186">
        <f t="shared" si="3"/>
        <v>0</v>
      </c>
      <c r="D8" s="187">
        <f t="shared" ref="D8:J8" si="12">C8</f>
        <v>0</v>
      </c>
      <c r="E8" s="187">
        <f t="shared" si="12"/>
        <v>0</v>
      </c>
      <c r="F8" s="187">
        <f t="shared" si="12"/>
        <v>0</v>
      </c>
      <c r="G8" s="187">
        <f t="shared" si="12"/>
        <v>0</v>
      </c>
      <c r="H8" s="187">
        <f t="shared" si="12"/>
        <v>0</v>
      </c>
      <c r="I8" s="187">
        <f t="shared" si="12"/>
        <v>0</v>
      </c>
      <c r="J8" s="188">
        <f t="shared" si="12"/>
        <v>0</v>
      </c>
      <c r="K8" s="195">
        <f>IF('สรุปผลรวม (10)'!Q11&gt;70,3,IF('สรุปผลรวม (10)'!Q11&gt;59,2,IF('สรุปผลรวม (10)'!Q11&gt;49,1,IF('สรุปผลรวม (10)'!Q11&lt;50,0))))</f>
        <v>0</v>
      </c>
      <c r="L8" s="189"/>
      <c r="M8" s="190">
        <f t="shared" si="5"/>
        <v>0</v>
      </c>
      <c r="N8" s="187">
        <f t="shared" ref="N8:Q8" si="13">M8</f>
        <v>0</v>
      </c>
      <c r="O8" s="187">
        <f t="shared" si="13"/>
        <v>0</v>
      </c>
      <c r="P8" s="187">
        <f t="shared" si="13"/>
        <v>0</v>
      </c>
      <c r="Q8" s="191">
        <f t="shared" si="13"/>
        <v>0</v>
      </c>
      <c r="R8" s="199">
        <f>IF('สรุปผลรวม (10)'!Q11&gt;74,3,IF('สรุปผลรวม (10)'!Q11&gt;59,2,IF('สรุปผลรวม (10)'!Q11&gt;49,1,IF('สรุปผลรวม (10)'!Q11&lt;50,0))))</f>
        <v>0</v>
      </c>
      <c r="S8" s="118"/>
      <c r="T8" s="190">
        <f t="shared" si="7"/>
        <v>0</v>
      </c>
      <c r="U8" s="187">
        <f t="shared" ref="U8:X8" si="14">T8</f>
        <v>0</v>
      </c>
      <c r="V8" s="187">
        <f t="shared" si="14"/>
        <v>0</v>
      </c>
      <c r="W8" s="187">
        <f t="shared" si="14"/>
        <v>0</v>
      </c>
      <c r="X8" s="187">
        <f t="shared" si="14"/>
        <v>0</v>
      </c>
      <c r="Y8" s="199">
        <f>IF('สรุปผลรวม (10)'!Q11&gt;74,3,IF('สรุปผลรวม (10)'!Q11&gt;59,2,IF('สรุปผลรวม (10)'!Q11&gt;49,1,IF('สรุปผลรวม (10)'!Q11&lt;50,0))))</f>
        <v>0</v>
      </c>
      <c r="Z8" s="118"/>
    </row>
    <row r="9" spans="1:26" s="85" customFormat="1" ht="17.25" customHeight="1" x14ac:dyDescent="0.35">
      <c r="A9" s="86">
        <v>5</v>
      </c>
      <c r="B9" s="115" t="str">
        <f>'เวลาเรียน (2)'!C10</f>
        <v>เด็กหญิงจิรภิญญา  เขื่อนพงษ์</v>
      </c>
      <c r="C9" s="186">
        <f t="shared" si="3"/>
        <v>0</v>
      </c>
      <c r="D9" s="187">
        <f t="shared" ref="D9:J9" si="15">C9</f>
        <v>0</v>
      </c>
      <c r="E9" s="187">
        <f t="shared" si="15"/>
        <v>0</v>
      </c>
      <c r="F9" s="187">
        <f t="shared" si="15"/>
        <v>0</v>
      </c>
      <c r="G9" s="187">
        <f t="shared" si="15"/>
        <v>0</v>
      </c>
      <c r="H9" s="187">
        <f t="shared" si="15"/>
        <v>0</v>
      </c>
      <c r="I9" s="187">
        <f t="shared" si="15"/>
        <v>0</v>
      </c>
      <c r="J9" s="188">
        <f t="shared" si="15"/>
        <v>0</v>
      </c>
      <c r="K9" s="195">
        <f>IF('สรุปผลรวม (10)'!Q12&gt;70,3,IF('สรุปผลรวม (10)'!Q12&gt;59,2,IF('สรุปผลรวม (10)'!Q12&gt;49,1,IF('สรุปผลรวม (10)'!Q12&lt;50,0))))</f>
        <v>0</v>
      </c>
      <c r="L9" s="189"/>
      <c r="M9" s="190">
        <f t="shared" si="5"/>
        <v>0</v>
      </c>
      <c r="N9" s="187">
        <f t="shared" ref="N9:Q9" si="16">M9</f>
        <v>0</v>
      </c>
      <c r="O9" s="187">
        <f t="shared" si="16"/>
        <v>0</v>
      </c>
      <c r="P9" s="187">
        <f t="shared" si="16"/>
        <v>0</v>
      </c>
      <c r="Q9" s="191">
        <f t="shared" si="16"/>
        <v>0</v>
      </c>
      <c r="R9" s="199">
        <f>IF('สรุปผลรวม (10)'!Q12&gt;74,3,IF('สรุปผลรวม (10)'!Q12&gt;59,2,IF('สรุปผลรวม (10)'!Q12&gt;49,1,IF('สรุปผลรวม (10)'!Q12&lt;50,0))))</f>
        <v>0</v>
      </c>
      <c r="S9" s="118"/>
      <c r="T9" s="190">
        <f t="shared" si="7"/>
        <v>0</v>
      </c>
      <c r="U9" s="187">
        <f t="shared" ref="U9:X9" si="17">T9</f>
        <v>0</v>
      </c>
      <c r="V9" s="187">
        <f t="shared" si="17"/>
        <v>0</v>
      </c>
      <c r="W9" s="187">
        <f t="shared" si="17"/>
        <v>0</v>
      </c>
      <c r="X9" s="187">
        <f t="shared" si="17"/>
        <v>0</v>
      </c>
      <c r="Y9" s="199">
        <f>IF('สรุปผลรวม (10)'!Q12&gt;74,3,IF('สรุปผลรวม (10)'!Q12&gt;59,2,IF('สรุปผลรวม (10)'!Q12&gt;49,1,IF('สรุปผลรวม (10)'!Q12&lt;50,0))))</f>
        <v>0</v>
      </c>
      <c r="Z9" s="118"/>
    </row>
    <row r="10" spans="1:26" s="85" customFormat="1" ht="17.25" customHeight="1" x14ac:dyDescent="0.35">
      <c r="A10" s="86">
        <v>6</v>
      </c>
      <c r="B10" s="115" t="str">
        <f>'เวลาเรียน (2)'!C11</f>
        <v>เด็กหญิงภคพร  วงค์สา</v>
      </c>
      <c r="C10" s="186">
        <f t="shared" si="3"/>
        <v>0</v>
      </c>
      <c r="D10" s="187">
        <f t="shared" ref="D10:J10" si="18">C10</f>
        <v>0</v>
      </c>
      <c r="E10" s="187">
        <f t="shared" si="18"/>
        <v>0</v>
      </c>
      <c r="F10" s="187">
        <f t="shared" si="18"/>
        <v>0</v>
      </c>
      <c r="G10" s="187">
        <f t="shared" si="18"/>
        <v>0</v>
      </c>
      <c r="H10" s="187">
        <f t="shared" si="18"/>
        <v>0</v>
      </c>
      <c r="I10" s="187">
        <f t="shared" si="18"/>
        <v>0</v>
      </c>
      <c r="J10" s="188">
        <f t="shared" si="18"/>
        <v>0</v>
      </c>
      <c r="K10" s="195">
        <f>IF('สรุปผลรวม (10)'!Q13&gt;70,3,IF('สรุปผลรวม (10)'!Q13&gt;59,2,IF('สรุปผลรวม (10)'!Q13&gt;49,1,IF('สรุปผลรวม (10)'!Q13&lt;50,0))))</f>
        <v>0</v>
      </c>
      <c r="L10" s="189"/>
      <c r="M10" s="190">
        <f t="shared" si="5"/>
        <v>0</v>
      </c>
      <c r="N10" s="187">
        <f t="shared" ref="N10:Q10" si="19">M10</f>
        <v>0</v>
      </c>
      <c r="O10" s="187">
        <f t="shared" si="19"/>
        <v>0</v>
      </c>
      <c r="P10" s="187">
        <f t="shared" si="19"/>
        <v>0</v>
      </c>
      <c r="Q10" s="191">
        <f t="shared" si="19"/>
        <v>0</v>
      </c>
      <c r="R10" s="199">
        <f>IF('สรุปผลรวม (10)'!Q13&gt;74,3,IF('สรุปผลรวม (10)'!Q13&gt;59,2,IF('สรุปผลรวม (10)'!Q13&gt;49,1,IF('สรุปผลรวม (10)'!Q13&lt;50,0))))</f>
        <v>0</v>
      </c>
      <c r="S10" s="118"/>
      <c r="T10" s="190">
        <f t="shared" si="7"/>
        <v>0</v>
      </c>
      <c r="U10" s="187">
        <f t="shared" ref="U10:X10" si="20">T10</f>
        <v>0</v>
      </c>
      <c r="V10" s="187">
        <f t="shared" si="20"/>
        <v>0</v>
      </c>
      <c r="W10" s="187">
        <f t="shared" si="20"/>
        <v>0</v>
      </c>
      <c r="X10" s="187">
        <f t="shared" si="20"/>
        <v>0</v>
      </c>
      <c r="Y10" s="199">
        <f>IF('สรุปผลรวม (10)'!Q13&gt;74,3,IF('สรุปผลรวม (10)'!Q13&gt;59,2,IF('สรุปผลรวม (10)'!Q13&gt;49,1,IF('สรุปผลรวม (10)'!Q13&lt;50,0))))</f>
        <v>0</v>
      </c>
      <c r="Z10" s="118"/>
    </row>
    <row r="11" spans="1:26" s="85" customFormat="1" ht="17.25" customHeight="1" x14ac:dyDescent="0.35">
      <c r="A11" s="86">
        <v>7</v>
      </c>
      <c r="B11" s="115" t="str">
        <f>'เวลาเรียน (2)'!C12</f>
        <v>เด็กหญิงศิริณภา  สุวรรณจันทร์</v>
      </c>
      <c r="C11" s="186">
        <f t="shared" si="3"/>
        <v>0</v>
      </c>
      <c r="D11" s="187">
        <f t="shared" ref="D11:J11" si="21">C11</f>
        <v>0</v>
      </c>
      <c r="E11" s="187">
        <f t="shared" si="21"/>
        <v>0</v>
      </c>
      <c r="F11" s="187">
        <f t="shared" si="21"/>
        <v>0</v>
      </c>
      <c r="G11" s="187">
        <f t="shared" si="21"/>
        <v>0</v>
      </c>
      <c r="H11" s="187">
        <f t="shared" si="21"/>
        <v>0</v>
      </c>
      <c r="I11" s="187">
        <f t="shared" si="21"/>
        <v>0</v>
      </c>
      <c r="J11" s="188">
        <f t="shared" si="21"/>
        <v>0</v>
      </c>
      <c r="K11" s="195">
        <f>IF('สรุปผลรวม (10)'!Q14&gt;70,3,IF('สรุปผลรวม (10)'!Q14&gt;59,2,IF('สรุปผลรวม (10)'!Q14&gt;49,1,IF('สรุปผลรวม (10)'!Q14&lt;50,0))))</f>
        <v>0</v>
      </c>
      <c r="L11" s="189"/>
      <c r="M11" s="190">
        <f t="shared" si="5"/>
        <v>0</v>
      </c>
      <c r="N11" s="187">
        <f t="shared" ref="N11:Q11" si="22">M11</f>
        <v>0</v>
      </c>
      <c r="O11" s="187">
        <f t="shared" si="22"/>
        <v>0</v>
      </c>
      <c r="P11" s="187">
        <f t="shared" si="22"/>
        <v>0</v>
      </c>
      <c r="Q11" s="191">
        <f t="shared" si="22"/>
        <v>0</v>
      </c>
      <c r="R11" s="199">
        <f>IF('สรุปผลรวม (10)'!Q14&gt;74,3,IF('สรุปผลรวม (10)'!Q14&gt;59,2,IF('สรุปผลรวม (10)'!Q14&gt;49,1,IF('สรุปผลรวม (10)'!Q14&lt;50,0))))</f>
        <v>0</v>
      </c>
      <c r="S11" s="118"/>
      <c r="T11" s="190">
        <f t="shared" si="7"/>
        <v>0</v>
      </c>
      <c r="U11" s="187">
        <f t="shared" ref="U11:X11" si="23">T11</f>
        <v>0</v>
      </c>
      <c r="V11" s="187">
        <f t="shared" si="23"/>
        <v>0</v>
      </c>
      <c r="W11" s="187">
        <f t="shared" si="23"/>
        <v>0</v>
      </c>
      <c r="X11" s="187">
        <f t="shared" si="23"/>
        <v>0</v>
      </c>
      <c r="Y11" s="199">
        <f>IF('สรุปผลรวม (10)'!Q14&gt;74,3,IF('สรุปผลรวม (10)'!Q14&gt;59,2,IF('สรุปผลรวม (10)'!Q14&gt;49,1,IF('สรุปผลรวม (10)'!Q14&lt;50,0))))</f>
        <v>0</v>
      </c>
      <c r="Z11" s="118"/>
    </row>
    <row r="12" spans="1:26" s="85" customFormat="1" ht="17.25" customHeight="1" x14ac:dyDescent="0.35">
      <c r="A12" s="86">
        <v>8</v>
      </c>
      <c r="B12" s="115" t="str">
        <f>'เวลาเรียน (2)'!C13</f>
        <v>เด็กหญิงศุภิสรา  โม้แซง</v>
      </c>
      <c r="C12" s="186">
        <f t="shared" si="3"/>
        <v>0</v>
      </c>
      <c r="D12" s="187">
        <f t="shared" ref="D12:J12" si="24">C12</f>
        <v>0</v>
      </c>
      <c r="E12" s="187">
        <f t="shared" si="24"/>
        <v>0</v>
      </c>
      <c r="F12" s="187">
        <f t="shared" si="24"/>
        <v>0</v>
      </c>
      <c r="G12" s="187">
        <f t="shared" si="24"/>
        <v>0</v>
      </c>
      <c r="H12" s="187">
        <f t="shared" si="24"/>
        <v>0</v>
      </c>
      <c r="I12" s="187">
        <f t="shared" si="24"/>
        <v>0</v>
      </c>
      <c r="J12" s="188">
        <f t="shared" si="24"/>
        <v>0</v>
      </c>
      <c r="K12" s="195">
        <f>IF('สรุปผลรวม (10)'!Q15&gt;70,3,IF('สรุปผลรวม (10)'!Q15&gt;59,2,IF('สรุปผลรวม (10)'!Q15&gt;49,1,IF('สรุปผลรวม (10)'!Q15&lt;50,0))))</f>
        <v>0</v>
      </c>
      <c r="L12" s="189"/>
      <c r="M12" s="190">
        <f t="shared" si="5"/>
        <v>0</v>
      </c>
      <c r="N12" s="187">
        <f t="shared" ref="N12:Q12" si="25">M12</f>
        <v>0</v>
      </c>
      <c r="O12" s="187">
        <f t="shared" si="25"/>
        <v>0</v>
      </c>
      <c r="P12" s="187">
        <f t="shared" si="25"/>
        <v>0</v>
      </c>
      <c r="Q12" s="191">
        <f t="shared" si="25"/>
        <v>0</v>
      </c>
      <c r="R12" s="199">
        <f>IF('สรุปผลรวม (10)'!Q15&gt;74,3,IF('สรุปผลรวม (10)'!Q15&gt;59,2,IF('สรุปผลรวม (10)'!Q15&gt;49,1,IF('สรุปผลรวม (10)'!Q15&lt;50,0))))</f>
        <v>0</v>
      </c>
      <c r="S12" s="118"/>
      <c r="T12" s="190">
        <f t="shared" si="7"/>
        <v>0</v>
      </c>
      <c r="U12" s="187">
        <f t="shared" ref="U12:X12" si="26">T12</f>
        <v>0</v>
      </c>
      <c r="V12" s="187">
        <f t="shared" si="26"/>
        <v>0</v>
      </c>
      <c r="W12" s="187">
        <f t="shared" si="26"/>
        <v>0</v>
      </c>
      <c r="X12" s="187">
        <f t="shared" si="26"/>
        <v>0</v>
      </c>
      <c r="Y12" s="199">
        <f>IF('สรุปผลรวม (10)'!Q15&gt;74,3,IF('สรุปผลรวม (10)'!Q15&gt;59,2,IF('สรุปผลรวม (10)'!Q15&gt;49,1,IF('สรุปผลรวม (10)'!Q15&lt;50,0))))</f>
        <v>0</v>
      </c>
      <c r="Z12" s="118"/>
    </row>
    <row r="13" spans="1:26" s="85" customFormat="1" ht="17.25" customHeight="1" x14ac:dyDescent="0.35">
      <c r="A13" s="86">
        <v>9</v>
      </c>
      <c r="B13" s="115" t="str">
        <f>'เวลาเรียน (2)'!C14</f>
        <v>เด็กหญิงสุพิชชา  ชาวนาฮี</v>
      </c>
      <c r="C13" s="186">
        <f t="shared" si="3"/>
        <v>0</v>
      </c>
      <c r="D13" s="187">
        <f t="shared" ref="D13:J13" si="27">C13</f>
        <v>0</v>
      </c>
      <c r="E13" s="187">
        <f t="shared" si="27"/>
        <v>0</v>
      </c>
      <c r="F13" s="187">
        <f t="shared" si="27"/>
        <v>0</v>
      </c>
      <c r="G13" s="187">
        <f t="shared" si="27"/>
        <v>0</v>
      </c>
      <c r="H13" s="187">
        <f t="shared" si="27"/>
        <v>0</v>
      </c>
      <c r="I13" s="187">
        <f t="shared" si="27"/>
        <v>0</v>
      </c>
      <c r="J13" s="188">
        <f t="shared" si="27"/>
        <v>0</v>
      </c>
      <c r="K13" s="195">
        <f>IF('สรุปผลรวม (10)'!Q16&gt;70,3,IF('สรุปผลรวม (10)'!Q16&gt;59,2,IF('สรุปผลรวม (10)'!Q16&gt;49,1,IF('สรุปผลรวม (10)'!Q16&lt;50,0))))</f>
        <v>0</v>
      </c>
      <c r="L13" s="189"/>
      <c r="M13" s="190">
        <f t="shared" si="5"/>
        <v>0</v>
      </c>
      <c r="N13" s="187">
        <f t="shared" ref="N13:Q13" si="28">M13</f>
        <v>0</v>
      </c>
      <c r="O13" s="187">
        <f t="shared" si="28"/>
        <v>0</v>
      </c>
      <c r="P13" s="187">
        <f t="shared" si="28"/>
        <v>0</v>
      </c>
      <c r="Q13" s="191">
        <f t="shared" si="28"/>
        <v>0</v>
      </c>
      <c r="R13" s="199">
        <f>IF('สรุปผลรวม (10)'!Q16&gt;74,3,IF('สรุปผลรวม (10)'!Q16&gt;59,2,IF('สรุปผลรวม (10)'!Q16&gt;49,1,IF('สรุปผลรวม (10)'!Q16&lt;50,0))))</f>
        <v>0</v>
      </c>
      <c r="S13" s="118"/>
      <c r="T13" s="190">
        <f t="shared" si="7"/>
        <v>0</v>
      </c>
      <c r="U13" s="187">
        <f t="shared" ref="U13:X13" si="29">T13</f>
        <v>0</v>
      </c>
      <c r="V13" s="187">
        <f t="shared" si="29"/>
        <v>0</v>
      </c>
      <c r="W13" s="187">
        <f t="shared" si="29"/>
        <v>0</v>
      </c>
      <c r="X13" s="187">
        <f t="shared" si="29"/>
        <v>0</v>
      </c>
      <c r="Y13" s="199">
        <f>IF('สรุปผลรวม (10)'!Q16&gt;74,3,IF('สรุปผลรวม (10)'!Q16&gt;59,2,IF('สรุปผลรวม (10)'!Q16&gt;49,1,IF('สรุปผลรวม (10)'!Q16&lt;50,0))))</f>
        <v>0</v>
      </c>
      <c r="Z13" s="118"/>
    </row>
    <row r="14" spans="1:26" s="85" customFormat="1" ht="17.25" customHeight="1" x14ac:dyDescent="0.35">
      <c r="A14" s="86">
        <v>10</v>
      </c>
      <c r="B14" s="115"/>
      <c r="C14" s="186"/>
      <c r="D14" s="187"/>
      <c r="E14" s="187"/>
      <c r="F14" s="187"/>
      <c r="G14" s="187"/>
      <c r="H14" s="187"/>
      <c r="I14" s="187"/>
      <c r="J14" s="188"/>
      <c r="K14" s="195"/>
      <c r="L14" s="189"/>
      <c r="M14" s="190"/>
      <c r="N14" s="187"/>
      <c r="O14" s="187"/>
      <c r="P14" s="187"/>
      <c r="Q14" s="191"/>
      <c r="R14" s="199"/>
      <c r="S14" s="118"/>
      <c r="T14" s="190"/>
      <c r="U14" s="187"/>
      <c r="V14" s="187"/>
      <c r="W14" s="187"/>
      <c r="X14" s="187"/>
      <c r="Y14" s="199"/>
      <c r="Z14" s="118"/>
    </row>
    <row r="15" spans="1:26" s="85" customFormat="1" ht="17.25" customHeight="1" x14ac:dyDescent="0.35">
      <c r="A15" s="86">
        <v>11</v>
      </c>
      <c r="B15" s="115"/>
      <c r="C15" s="186"/>
      <c r="D15" s="187"/>
      <c r="E15" s="187"/>
      <c r="F15" s="187"/>
      <c r="G15" s="187"/>
      <c r="H15" s="187"/>
      <c r="I15" s="187"/>
      <c r="J15" s="188"/>
      <c r="K15" s="195"/>
      <c r="L15" s="189"/>
      <c r="M15" s="190"/>
      <c r="N15" s="187"/>
      <c r="O15" s="187"/>
      <c r="P15" s="187"/>
      <c r="Q15" s="191"/>
      <c r="R15" s="199"/>
      <c r="S15" s="118"/>
      <c r="T15" s="190"/>
      <c r="U15" s="187"/>
      <c r="V15" s="187"/>
      <c r="W15" s="187"/>
      <c r="X15" s="187"/>
      <c r="Y15" s="199"/>
      <c r="Z15" s="118"/>
    </row>
    <row r="16" spans="1:26" s="85" customFormat="1" ht="17.25" customHeight="1" x14ac:dyDescent="0.35">
      <c r="A16" s="86">
        <v>12</v>
      </c>
      <c r="B16" s="115"/>
      <c r="C16" s="186"/>
      <c r="D16" s="187"/>
      <c r="E16" s="187"/>
      <c r="F16" s="187"/>
      <c r="G16" s="187"/>
      <c r="H16" s="187"/>
      <c r="I16" s="187"/>
      <c r="J16" s="188"/>
      <c r="K16" s="195"/>
      <c r="L16" s="189"/>
      <c r="M16" s="190"/>
      <c r="N16" s="187"/>
      <c r="O16" s="187"/>
      <c r="P16" s="187"/>
      <c r="Q16" s="191"/>
      <c r="R16" s="199"/>
      <c r="S16" s="118"/>
      <c r="T16" s="190"/>
      <c r="U16" s="187"/>
      <c r="V16" s="187"/>
      <c r="W16" s="187"/>
      <c r="X16" s="187"/>
      <c r="Y16" s="199"/>
      <c r="Z16" s="118"/>
    </row>
    <row r="17" spans="1:26" s="85" customFormat="1" ht="17.25" customHeight="1" x14ac:dyDescent="0.35">
      <c r="A17" s="86">
        <v>13</v>
      </c>
      <c r="B17" s="115"/>
      <c r="C17" s="186"/>
      <c r="D17" s="187"/>
      <c r="E17" s="187"/>
      <c r="F17" s="187"/>
      <c r="G17" s="187"/>
      <c r="H17" s="187"/>
      <c r="I17" s="187"/>
      <c r="J17" s="188"/>
      <c r="K17" s="195"/>
      <c r="L17" s="189"/>
      <c r="M17" s="190"/>
      <c r="N17" s="187"/>
      <c r="O17" s="187"/>
      <c r="P17" s="187"/>
      <c r="Q17" s="191"/>
      <c r="R17" s="199"/>
      <c r="S17" s="118"/>
      <c r="T17" s="190"/>
      <c r="U17" s="187"/>
      <c r="V17" s="187"/>
      <c r="W17" s="187"/>
      <c r="X17" s="187"/>
      <c r="Y17" s="199"/>
      <c r="Z17" s="118"/>
    </row>
    <row r="18" spans="1:26" s="85" customFormat="1" ht="17.25" customHeight="1" x14ac:dyDescent="0.35">
      <c r="A18" s="86">
        <v>14</v>
      </c>
      <c r="B18" s="115"/>
      <c r="C18" s="186"/>
      <c r="D18" s="187"/>
      <c r="E18" s="187"/>
      <c r="F18" s="187"/>
      <c r="G18" s="187"/>
      <c r="H18" s="187"/>
      <c r="I18" s="187"/>
      <c r="J18" s="188"/>
      <c r="K18" s="195"/>
      <c r="L18" s="189"/>
      <c r="M18" s="190"/>
      <c r="N18" s="187"/>
      <c r="O18" s="187"/>
      <c r="P18" s="187"/>
      <c r="Q18" s="191"/>
      <c r="R18" s="199"/>
      <c r="S18" s="118"/>
      <c r="T18" s="190"/>
      <c r="U18" s="187"/>
      <c r="V18" s="187"/>
      <c r="W18" s="187"/>
      <c r="X18" s="187"/>
      <c r="Y18" s="199"/>
      <c r="Z18" s="118"/>
    </row>
    <row r="19" spans="1:26" s="85" customFormat="1" ht="17.25" customHeight="1" x14ac:dyDescent="0.35">
      <c r="A19" s="86">
        <v>15</v>
      </c>
      <c r="B19" s="115"/>
      <c r="C19" s="186"/>
      <c r="D19" s="187"/>
      <c r="E19" s="187"/>
      <c r="F19" s="187"/>
      <c r="G19" s="187"/>
      <c r="H19" s="187"/>
      <c r="I19" s="187"/>
      <c r="J19" s="188"/>
      <c r="K19" s="195"/>
      <c r="L19" s="189"/>
      <c r="M19" s="190"/>
      <c r="N19" s="187"/>
      <c r="O19" s="187"/>
      <c r="P19" s="187"/>
      <c r="Q19" s="191"/>
      <c r="R19" s="199"/>
      <c r="S19" s="118"/>
      <c r="T19" s="190"/>
      <c r="U19" s="187"/>
      <c r="V19" s="187"/>
      <c r="W19" s="187"/>
      <c r="X19" s="187"/>
      <c r="Y19" s="199"/>
      <c r="Z19" s="118"/>
    </row>
    <row r="20" spans="1:26" s="85" customFormat="1" ht="17.25" customHeight="1" x14ac:dyDescent="0.35">
      <c r="A20" s="86">
        <v>16</v>
      </c>
      <c r="B20" s="115"/>
      <c r="C20" s="186"/>
      <c r="D20" s="187"/>
      <c r="E20" s="187"/>
      <c r="F20" s="187"/>
      <c r="G20" s="187"/>
      <c r="H20" s="187"/>
      <c r="I20" s="187"/>
      <c r="J20" s="188"/>
      <c r="K20" s="195"/>
      <c r="L20" s="189"/>
      <c r="M20" s="190"/>
      <c r="N20" s="187"/>
      <c r="O20" s="187"/>
      <c r="P20" s="187"/>
      <c r="Q20" s="191"/>
      <c r="R20" s="199"/>
      <c r="S20" s="118"/>
      <c r="T20" s="190"/>
      <c r="U20" s="187"/>
      <c r="V20" s="187"/>
      <c r="W20" s="187"/>
      <c r="X20" s="187"/>
      <c r="Y20" s="199"/>
      <c r="Z20" s="118"/>
    </row>
    <row r="21" spans="1:26" s="85" customFormat="1" ht="17.25" customHeight="1" x14ac:dyDescent="0.35">
      <c r="A21" s="86">
        <v>17</v>
      </c>
      <c r="B21" s="115"/>
      <c r="C21" s="186"/>
      <c r="D21" s="187"/>
      <c r="E21" s="187"/>
      <c r="F21" s="187"/>
      <c r="G21" s="187"/>
      <c r="H21" s="187"/>
      <c r="I21" s="187"/>
      <c r="J21" s="188"/>
      <c r="K21" s="195"/>
      <c r="L21" s="189"/>
      <c r="M21" s="190"/>
      <c r="N21" s="187"/>
      <c r="O21" s="187"/>
      <c r="P21" s="187"/>
      <c r="Q21" s="191"/>
      <c r="R21" s="199"/>
      <c r="S21" s="118"/>
      <c r="T21" s="190"/>
      <c r="U21" s="187"/>
      <c r="V21" s="187"/>
      <c r="W21" s="187"/>
      <c r="X21" s="187"/>
      <c r="Y21" s="199"/>
      <c r="Z21" s="118"/>
    </row>
    <row r="22" spans="1:26" s="85" customFormat="1" ht="17.25" customHeight="1" x14ac:dyDescent="0.35">
      <c r="A22" s="86">
        <v>18</v>
      </c>
      <c r="B22" s="115"/>
      <c r="C22" s="186"/>
      <c r="D22" s="187"/>
      <c r="E22" s="187"/>
      <c r="F22" s="187"/>
      <c r="G22" s="187"/>
      <c r="H22" s="187"/>
      <c r="I22" s="187"/>
      <c r="J22" s="188"/>
      <c r="K22" s="195"/>
      <c r="L22" s="189"/>
      <c r="M22" s="190"/>
      <c r="N22" s="187"/>
      <c r="O22" s="187"/>
      <c r="P22" s="187"/>
      <c r="Q22" s="191"/>
      <c r="R22" s="199"/>
      <c r="S22" s="118"/>
      <c r="T22" s="190"/>
      <c r="U22" s="187"/>
      <c r="V22" s="187"/>
      <c r="W22" s="187"/>
      <c r="X22" s="187"/>
      <c r="Y22" s="199"/>
      <c r="Z22" s="118"/>
    </row>
    <row r="23" spans="1:26" s="85" customFormat="1" ht="17.25" customHeight="1" x14ac:dyDescent="0.3">
      <c r="A23" s="86">
        <v>19</v>
      </c>
      <c r="B23" s="115"/>
      <c r="C23" s="146"/>
      <c r="D23" s="88"/>
      <c r="E23" s="88"/>
      <c r="F23" s="88"/>
      <c r="G23" s="88"/>
      <c r="H23" s="88"/>
      <c r="I23" s="88"/>
      <c r="J23" s="147"/>
      <c r="K23" s="196"/>
      <c r="L23" s="104"/>
      <c r="M23" s="148"/>
      <c r="N23" s="88"/>
      <c r="O23" s="88"/>
      <c r="P23" s="88"/>
      <c r="Q23" s="89"/>
      <c r="R23" s="200"/>
      <c r="S23" s="118"/>
      <c r="T23" s="148"/>
      <c r="U23" s="88"/>
      <c r="V23" s="88"/>
      <c r="W23" s="88"/>
      <c r="X23" s="89"/>
      <c r="Y23" s="200"/>
      <c r="Z23" s="118"/>
    </row>
    <row r="24" spans="1:26" s="85" customFormat="1" ht="17.25" customHeight="1" x14ac:dyDescent="0.3">
      <c r="A24" s="86">
        <v>20</v>
      </c>
      <c r="B24" s="115"/>
      <c r="C24" s="146"/>
      <c r="D24" s="88"/>
      <c r="E24" s="88"/>
      <c r="F24" s="88"/>
      <c r="G24" s="88"/>
      <c r="H24" s="88"/>
      <c r="I24" s="88"/>
      <c r="J24" s="147"/>
      <c r="K24" s="196"/>
      <c r="L24" s="104"/>
      <c r="M24" s="148"/>
      <c r="N24" s="88"/>
      <c r="O24" s="88"/>
      <c r="P24" s="88"/>
      <c r="Q24" s="89"/>
      <c r="R24" s="200"/>
      <c r="S24" s="118"/>
      <c r="T24" s="148"/>
      <c r="U24" s="88"/>
      <c r="V24" s="88"/>
      <c r="W24" s="88"/>
      <c r="X24" s="89"/>
      <c r="Y24" s="200"/>
      <c r="Z24" s="118"/>
    </row>
    <row r="25" spans="1:26" s="85" customFormat="1" ht="17.25" customHeight="1" x14ac:dyDescent="0.3">
      <c r="A25" s="86">
        <v>21</v>
      </c>
      <c r="B25" s="115"/>
      <c r="C25" s="146"/>
      <c r="D25" s="88"/>
      <c r="E25" s="88"/>
      <c r="F25" s="88"/>
      <c r="G25" s="88"/>
      <c r="H25" s="88"/>
      <c r="I25" s="88"/>
      <c r="J25" s="147"/>
      <c r="K25" s="196"/>
      <c r="L25" s="104"/>
      <c r="M25" s="148"/>
      <c r="N25" s="88"/>
      <c r="O25" s="88"/>
      <c r="P25" s="88"/>
      <c r="Q25" s="89"/>
      <c r="R25" s="200"/>
      <c r="S25" s="118"/>
      <c r="T25" s="148"/>
      <c r="U25" s="88"/>
      <c r="V25" s="88"/>
      <c r="W25" s="88"/>
      <c r="X25" s="89"/>
      <c r="Y25" s="200"/>
      <c r="Z25" s="118"/>
    </row>
    <row r="26" spans="1:26" s="85" customFormat="1" ht="17.25" customHeight="1" x14ac:dyDescent="0.3">
      <c r="A26" s="86">
        <v>22</v>
      </c>
      <c r="B26" s="115"/>
      <c r="C26" s="146"/>
      <c r="D26" s="88"/>
      <c r="E26" s="88"/>
      <c r="F26" s="88"/>
      <c r="G26" s="88"/>
      <c r="H26" s="88"/>
      <c r="I26" s="88"/>
      <c r="J26" s="147"/>
      <c r="K26" s="196"/>
      <c r="L26" s="104"/>
      <c r="M26" s="148"/>
      <c r="N26" s="88"/>
      <c r="O26" s="88"/>
      <c r="P26" s="88"/>
      <c r="Q26" s="89"/>
      <c r="R26" s="200"/>
      <c r="S26" s="118"/>
      <c r="T26" s="148"/>
      <c r="U26" s="88"/>
      <c r="V26" s="88"/>
      <c r="W26" s="88"/>
      <c r="X26" s="89"/>
      <c r="Y26" s="200"/>
      <c r="Z26" s="118"/>
    </row>
    <row r="27" spans="1:26" s="85" customFormat="1" ht="17.25" customHeight="1" x14ac:dyDescent="0.3">
      <c r="A27" s="90">
        <v>23</v>
      </c>
      <c r="B27" s="115"/>
      <c r="C27" s="146"/>
      <c r="D27" s="88"/>
      <c r="E27" s="88"/>
      <c r="F27" s="88"/>
      <c r="G27" s="88"/>
      <c r="H27" s="88"/>
      <c r="I27" s="88"/>
      <c r="J27" s="147"/>
      <c r="K27" s="196"/>
      <c r="L27" s="104"/>
      <c r="M27" s="148"/>
      <c r="N27" s="88"/>
      <c r="O27" s="88"/>
      <c r="P27" s="88"/>
      <c r="Q27" s="89"/>
      <c r="R27" s="200"/>
      <c r="S27" s="118"/>
      <c r="T27" s="148"/>
      <c r="U27" s="88"/>
      <c r="V27" s="88"/>
      <c r="W27" s="88"/>
      <c r="X27" s="89"/>
      <c r="Y27" s="200"/>
      <c r="Z27" s="118"/>
    </row>
    <row r="28" spans="1:26" s="85" customFormat="1" ht="17.25" customHeight="1" x14ac:dyDescent="0.3">
      <c r="A28" s="86">
        <v>24</v>
      </c>
      <c r="B28" s="115"/>
      <c r="C28" s="146"/>
      <c r="D28" s="88"/>
      <c r="E28" s="88"/>
      <c r="F28" s="88"/>
      <c r="G28" s="88"/>
      <c r="H28" s="88"/>
      <c r="I28" s="88"/>
      <c r="J28" s="147"/>
      <c r="K28" s="196"/>
      <c r="L28" s="104"/>
      <c r="M28" s="148"/>
      <c r="N28" s="88"/>
      <c r="O28" s="88"/>
      <c r="P28" s="88"/>
      <c r="Q28" s="89"/>
      <c r="R28" s="200"/>
      <c r="S28" s="118"/>
      <c r="T28" s="148"/>
      <c r="U28" s="88"/>
      <c r="V28" s="88"/>
      <c r="W28" s="88"/>
      <c r="X28" s="89"/>
      <c r="Y28" s="200"/>
      <c r="Z28" s="118"/>
    </row>
    <row r="29" spans="1:26" s="85" customFormat="1" ht="17.25" customHeight="1" x14ac:dyDescent="0.3">
      <c r="A29" s="86">
        <v>25</v>
      </c>
      <c r="B29" s="115"/>
      <c r="C29" s="146"/>
      <c r="D29" s="88"/>
      <c r="E29" s="88"/>
      <c r="F29" s="88"/>
      <c r="G29" s="88"/>
      <c r="H29" s="88"/>
      <c r="I29" s="88"/>
      <c r="J29" s="147"/>
      <c r="K29" s="196"/>
      <c r="L29" s="104"/>
      <c r="M29" s="148"/>
      <c r="N29" s="88"/>
      <c r="O29" s="88"/>
      <c r="P29" s="88"/>
      <c r="Q29" s="89"/>
      <c r="R29" s="200"/>
      <c r="S29" s="118"/>
      <c r="T29" s="148"/>
      <c r="U29" s="88"/>
      <c r="V29" s="88"/>
      <c r="W29" s="88"/>
      <c r="X29" s="89"/>
      <c r="Y29" s="200"/>
      <c r="Z29" s="118"/>
    </row>
    <row r="30" spans="1:26" s="85" customFormat="1" ht="17.25" customHeight="1" x14ac:dyDescent="0.3">
      <c r="A30" s="86">
        <v>26</v>
      </c>
      <c r="B30" s="115"/>
      <c r="C30" s="146"/>
      <c r="D30" s="88"/>
      <c r="E30" s="88"/>
      <c r="F30" s="88"/>
      <c r="G30" s="88"/>
      <c r="H30" s="88"/>
      <c r="I30" s="88"/>
      <c r="J30" s="147"/>
      <c r="K30" s="196"/>
      <c r="L30" s="104"/>
      <c r="M30" s="148"/>
      <c r="N30" s="88"/>
      <c r="O30" s="88"/>
      <c r="P30" s="88"/>
      <c r="Q30" s="89"/>
      <c r="R30" s="200"/>
      <c r="S30" s="118"/>
      <c r="T30" s="148"/>
      <c r="U30" s="88"/>
      <c r="V30" s="88"/>
      <c r="W30" s="88"/>
      <c r="X30" s="89"/>
      <c r="Y30" s="200"/>
      <c r="Z30" s="118"/>
    </row>
    <row r="31" spans="1:26" s="85" customFormat="1" ht="17.25" customHeight="1" x14ac:dyDescent="0.3">
      <c r="A31" s="86">
        <v>27</v>
      </c>
      <c r="B31" s="115"/>
      <c r="C31" s="146"/>
      <c r="D31" s="88"/>
      <c r="E31" s="88"/>
      <c r="F31" s="88"/>
      <c r="G31" s="88"/>
      <c r="H31" s="88"/>
      <c r="I31" s="88"/>
      <c r="J31" s="147"/>
      <c r="K31" s="196"/>
      <c r="L31" s="104"/>
      <c r="M31" s="148"/>
      <c r="N31" s="88"/>
      <c r="O31" s="88"/>
      <c r="P31" s="88"/>
      <c r="Q31" s="89"/>
      <c r="R31" s="200"/>
      <c r="S31" s="118"/>
      <c r="T31" s="148"/>
      <c r="U31" s="88"/>
      <c r="V31" s="88"/>
      <c r="W31" s="88"/>
      <c r="X31" s="89"/>
      <c r="Y31" s="200"/>
      <c r="Z31" s="118"/>
    </row>
    <row r="32" spans="1:26" s="85" customFormat="1" ht="17.25" customHeight="1" x14ac:dyDescent="0.3">
      <c r="A32" s="90">
        <v>28</v>
      </c>
      <c r="B32" s="115"/>
      <c r="C32" s="146"/>
      <c r="D32" s="88"/>
      <c r="E32" s="88"/>
      <c r="F32" s="88"/>
      <c r="G32" s="88"/>
      <c r="H32" s="88"/>
      <c r="I32" s="88"/>
      <c r="J32" s="147"/>
      <c r="K32" s="196"/>
      <c r="L32" s="104"/>
      <c r="M32" s="148"/>
      <c r="N32" s="88"/>
      <c r="O32" s="88"/>
      <c r="P32" s="88"/>
      <c r="Q32" s="89"/>
      <c r="R32" s="200"/>
      <c r="S32" s="118"/>
      <c r="T32" s="148"/>
      <c r="U32" s="88"/>
      <c r="V32" s="88"/>
      <c r="W32" s="88"/>
      <c r="X32" s="89"/>
      <c r="Y32" s="200"/>
      <c r="Z32" s="118"/>
    </row>
    <row r="33" spans="1:26" s="85" customFormat="1" ht="17.25" customHeight="1" x14ac:dyDescent="0.3">
      <c r="A33" s="86">
        <v>29</v>
      </c>
      <c r="B33" s="115"/>
      <c r="C33" s="146"/>
      <c r="D33" s="88"/>
      <c r="E33" s="88"/>
      <c r="F33" s="88"/>
      <c r="G33" s="88"/>
      <c r="H33" s="88"/>
      <c r="I33" s="88"/>
      <c r="J33" s="147"/>
      <c r="K33" s="196"/>
      <c r="L33" s="104"/>
      <c r="M33" s="148"/>
      <c r="N33" s="88"/>
      <c r="O33" s="88"/>
      <c r="P33" s="88"/>
      <c r="Q33" s="89"/>
      <c r="R33" s="200"/>
      <c r="S33" s="118"/>
      <c r="T33" s="148"/>
      <c r="U33" s="88"/>
      <c r="V33" s="88"/>
      <c r="W33" s="88"/>
      <c r="X33" s="89"/>
      <c r="Y33" s="200"/>
      <c r="Z33" s="118"/>
    </row>
    <row r="34" spans="1:26" s="85" customFormat="1" ht="17.25" customHeight="1" x14ac:dyDescent="0.3">
      <c r="A34" s="86">
        <v>30</v>
      </c>
      <c r="B34" s="115"/>
      <c r="C34" s="146"/>
      <c r="D34" s="88"/>
      <c r="E34" s="88"/>
      <c r="F34" s="88"/>
      <c r="G34" s="88"/>
      <c r="H34" s="88"/>
      <c r="I34" s="88"/>
      <c r="J34" s="147"/>
      <c r="K34" s="196"/>
      <c r="L34" s="104"/>
      <c r="M34" s="148"/>
      <c r="N34" s="88"/>
      <c r="O34" s="88"/>
      <c r="P34" s="88"/>
      <c r="Q34" s="89"/>
      <c r="R34" s="200"/>
      <c r="S34" s="118"/>
      <c r="T34" s="148"/>
      <c r="U34" s="88"/>
      <c r="V34" s="88"/>
      <c r="W34" s="88"/>
      <c r="X34" s="89"/>
      <c r="Y34" s="200"/>
      <c r="Z34" s="118"/>
    </row>
    <row r="35" spans="1:26" s="85" customFormat="1" ht="17.25" customHeight="1" x14ac:dyDescent="0.35">
      <c r="A35" s="86">
        <v>31</v>
      </c>
      <c r="B35" s="115"/>
      <c r="C35" s="101"/>
      <c r="D35" s="102"/>
      <c r="E35" s="102"/>
      <c r="F35" s="102"/>
      <c r="G35" s="102"/>
      <c r="H35" s="102"/>
      <c r="I35" s="102"/>
      <c r="J35" s="103"/>
      <c r="K35" s="197"/>
      <c r="L35" s="104"/>
      <c r="M35" s="112"/>
      <c r="N35" s="102"/>
      <c r="O35" s="102"/>
      <c r="P35" s="102"/>
      <c r="Q35" s="120"/>
      <c r="R35" s="201"/>
      <c r="S35" s="118"/>
      <c r="T35" s="112"/>
      <c r="U35" s="102"/>
      <c r="V35" s="102"/>
      <c r="W35" s="102"/>
      <c r="X35" s="120"/>
      <c r="Y35" s="201"/>
      <c r="Z35" s="118"/>
    </row>
    <row r="36" spans="1:26" s="85" customFormat="1" ht="17.25" customHeight="1" x14ac:dyDescent="0.35">
      <c r="A36" s="86">
        <v>32</v>
      </c>
      <c r="B36" s="116"/>
      <c r="C36" s="105"/>
      <c r="D36" s="106"/>
      <c r="E36" s="106"/>
      <c r="F36" s="106"/>
      <c r="G36" s="106"/>
      <c r="H36" s="106"/>
      <c r="I36" s="106"/>
      <c r="J36" s="107"/>
      <c r="K36" s="198"/>
      <c r="L36" s="108"/>
      <c r="M36" s="113"/>
      <c r="N36" s="106"/>
      <c r="O36" s="106"/>
      <c r="P36" s="106"/>
      <c r="Q36" s="121"/>
      <c r="R36" s="201"/>
      <c r="S36" s="119"/>
      <c r="T36" s="113"/>
      <c r="U36" s="106"/>
      <c r="V36" s="106"/>
      <c r="W36" s="106"/>
      <c r="X36" s="121"/>
      <c r="Y36" s="201"/>
      <c r="Z36" s="119"/>
    </row>
    <row r="37" spans="1:26" s="85" customFormat="1" ht="17.25" customHeight="1" x14ac:dyDescent="0.35">
      <c r="A37" s="86">
        <v>33</v>
      </c>
      <c r="B37" s="115"/>
      <c r="C37" s="101"/>
      <c r="D37" s="102"/>
      <c r="E37" s="102"/>
      <c r="F37" s="102"/>
      <c r="G37" s="102"/>
      <c r="H37" s="102"/>
      <c r="I37" s="102"/>
      <c r="J37" s="103"/>
      <c r="K37" s="197"/>
      <c r="L37" s="104"/>
      <c r="M37" s="112"/>
      <c r="N37" s="102"/>
      <c r="O37" s="102"/>
      <c r="P37" s="102"/>
      <c r="Q37" s="120"/>
      <c r="R37" s="201"/>
      <c r="S37" s="118"/>
      <c r="T37" s="112"/>
      <c r="U37" s="102"/>
      <c r="V37" s="102"/>
      <c r="W37" s="102"/>
      <c r="X37" s="120"/>
      <c r="Y37" s="201"/>
      <c r="Z37" s="118"/>
    </row>
    <row r="38" spans="1:26" s="85" customFormat="1" ht="17.25" customHeight="1" x14ac:dyDescent="0.35">
      <c r="A38" s="86">
        <v>34</v>
      </c>
      <c r="B38" s="115"/>
      <c r="C38" s="105"/>
      <c r="D38" s="106"/>
      <c r="E38" s="106"/>
      <c r="F38" s="106"/>
      <c r="G38" s="106"/>
      <c r="H38" s="106"/>
      <c r="I38" s="106"/>
      <c r="J38" s="107"/>
      <c r="K38" s="198"/>
      <c r="L38" s="108"/>
      <c r="M38" s="113"/>
      <c r="N38" s="106"/>
      <c r="O38" s="106"/>
      <c r="P38" s="106"/>
      <c r="Q38" s="121"/>
      <c r="R38" s="201"/>
      <c r="S38" s="119"/>
      <c r="T38" s="113"/>
      <c r="U38" s="106"/>
      <c r="V38" s="106"/>
      <c r="W38" s="106"/>
      <c r="X38" s="121"/>
      <c r="Y38" s="201"/>
      <c r="Z38" s="119"/>
    </row>
    <row r="39" spans="1:26" s="85" customFormat="1" ht="17.25" customHeight="1" x14ac:dyDescent="0.35">
      <c r="A39" s="86">
        <v>35</v>
      </c>
      <c r="B39" s="115"/>
      <c r="C39" s="101"/>
      <c r="D39" s="102"/>
      <c r="E39" s="102"/>
      <c r="F39" s="102"/>
      <c r="G39" s="102"/>
      <c r="H39" s="102"/>
      <c r="I39" s="102"/>
      <c r="J39" s="103"/>
      <c r="K39" s="197"/>
      <c r="L39" s="104"/>
      <c r="M39" s="112"/>
      <c r="N39" s="102"/>
      <c r="O39" s="102"/>
      <c r="P39" s="102"/>
      <c r="Q39" s="120"/>
      <c r="R39" s="201"/>
      <c r="S39" s="118"/>
      <c r="T39" s="112"/>
      <c r="U39" s="102"/>
      <c r="V39" s="102"/>
      <c r="W39" s="102"/>
      <c r="X39" s="120"/>
      <c r="Y39" s="201"/>
      <c r="Z39" s="118"/>
    </row>
  </sheetData>
  <mergeCells count="8">
    <mergeCell ref="T2:Z2"/>
    <mergeCell ref="Z3:Z4"/>
    <mergeCell ref="A2:B2"/>
    <mergeCell ref="C2:L2"/>
    <mergeCell ref="M2:S2"/>
    <mergeCell ref="A3:A4"/>
    <mergeCell ref="L3:L4"/>
    <mergeCell ref="S3:S4"/>
  </mergeCells>
  <pageMargins left="0.70866141732283472" right="0.11811023622047245" top="0.15748031496062992" bottom="0.15748031496062992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L60"/>
  <sheetViews>
    <sheetView view="pageBreakPreview" zoomScale="120" zoomScaleNormal="100" zoomScaleSheetLayoutView="120" workbookViewId="0">
      <selection activeCell="A3" sqref="A3:I3"/>
    </sheetView>
  </sheetViews>
  <sheetFormatPr defaultColWidth="9.125" defaultRowHeight="18" customHeight="1" x14ac:dyDescent="0.3"/>
  <cols>
    <col min="1" max="1" width="6.25" style="1" customWidth="1"/>
    <col min="2" max="6" width="3.625" style="1" customWidth="1"/>
    <col min="7" max="7" width="3" style="1" customWidth="1"/>
    <col min="8" max="8" width="42.875" style="1" customWidth="1"/>
    <col min="9" max="9" width="12.625" style="1" customWidth="1"/>
    <col min="10" max="10" width="2.25" style="1" customWidth="1"/>
    <col min="11" max="11" width="3" style="1" customWidth="1"/>
    <col min="12" max="12" width="2.25" style="1" hidden="1" customWidth="1"/>
    <col min="13" max="16384" width="9.125" style="1"/>
  </cols>
  <sheetData>
    <row r="1" spans="1:12" ht="21" customHeight="1" thickBot="1" x14ac:dyDescent="0.4">
      <c r="A1" s="281"/>
      <c r="B1" s="261"/>
      <c r="C1" s="261"/>
      <c r="D1" s="261"/>
      <c r="E1" s="261"/>
      <c r="F1" s="261"/>
      <c r="G1" s="261"/>
      <c r="H1" s="261"/>
      <c r="I1" s="261">
        <v>12</v>
      </c>
    </row>
    <row r="2" spans="1:12" ht="21" customHeight="1" x14ac:dyDescent="0.3">
      <c r="A2" s="536" t="s">
        <v>225</v>
      </c>
      <c r="B2" s="537"/>
      <c r="C2" s="537"/>
      <c r="D2" s="537"/>
      <c r="E2" s="537"/>
      <c r="F2" s="537"/>
      <c r="G2" s="537"/>
      <c r="H2" s="537"/>
      <c r="I2" s="538"/>
    </row>
    <row r="3" spans="1:12" ht="21" customHeight="1" thickBot="1" x14ac:dyDescent="0.35">
      <c r="A3" s="539" t="str">
        <f>'ปก (1)'!C10&amp;'ปก (1)'!E10&amp;"  "&amp;'ปก (1)'!J10&amp;"  "&amp;'ปก (1)'!L10</f>
        <v>รายวิชาภาษาไทย  รหัสวิชา  ท11101</v>
      </c>
      <c r="B3" s="540"/>
      <c r="C3" s="540"/>
      <c r="D3" s="540"/>
      <c r="E3" s="540"/>
      <c r="F3" s="540"/>
      <c r="G3" s="540"/>
      <c r="H3" s="540"/>
      <c r="I3" s="541"/>
      <c r="J3" s="28"/>
    </row>
    <row r="4" spans="1:12" ht="18.95" customHeight="1" x14ac:dyDescent="0.3">
      <c r="A4" s="329"/>
      <c r="B4" s="330"/>
      <c r="C4" s="330"/>
      <c r="D4" s="330"/>
      <c r="E4" s="330"/>
      <c r="F4" s="330"/>
      <c r="G4" s="330"/>
      <c r="H4" s="330"/>
      <c r="I4" s="331"/>
    </row>
    <row r="5" spans="1:12" ht="18.95" customHeight="1" x14ac:dyDescent="0.3">
      <c r="A5" s="332"/>
      <c r="B5" s="542"/>
      <c r="C5" s="542"/>
      <c r="D5" s="542"/>
      <c r="E5" s="542"/>
      <c r="F5" s="542"/>
      <c r="G5" s="542"/>
      <c r="H5" s="542"/>
      <c r="I5" s="333"/>
    </row>
    <row r="6" spans="1:12" ht="18.95" customHeight="1" x14ac:dyDescent="0.3">
      <c r="A6" s="332"/>
      <c r="B6" s="542"/>
      <c r="C6" s="542"/>
      <c r="D6" s="542"/>
      <c r="E6" s="542"/>
      <c r="F6" s="542"/>
      <c r="G6" s="542"/>
      <c r="H6" s="542"/>
      <c r="I6" s="333"/>
    </row>
    <row r="7" spans="1:12" ht="18.95" customHeight="1" x14ac:dyDescent="0.3">
      <c r="A7" s="332"/>
      <c r="B7" s="542"/>
      <c r="C7" s="542"/>
      <c r="D7" s="542"/>
      <c r="E7" s="542"/>
      <c r="F7" s="542"/>
      <c r="G7" s="542"/>
      <c r="H7" s="542"/>
      <c r="I7" s="333"/>
    </row>
    <row r="8" spans="1:12" ht="18.95" customHeight="1" x14ac:dyDescent="0.3">
      <c r="A8" s="332"/>
      <c r="B8" s="542"/>
      <c r="C8" s="542"/>
      <c r="D8" s="542"/>
      <c r="E8" s="542"/>
      <c r="F8" s="542"/>
      <c r="G8" s="542"/>
      <c r="H8" s="542"/>
      <c r="I8" s="333"/>
      <c r="J8" s="29"/>
      <c r="K8" s="29"/>
      <c r="L8" s="29"/>
    </row>
    <row r="9" spans="1:12" ht="18.95" customHeight="1" x14ac:dyDescent="0.3">
      <c r="A9" s="332"/>
      <c r="B9" s="542"/>
      <c r="C9" s="542"/>
      <c r="D9" s="542"/>
      <c r="E9" s="542"/>
      <c r="F9" s="542"/>
      <c r="G9" s="542"/>
      <c r="H9" s="542"/>
      <c r="I9" s="333"/>
    </row>
    <row r="10" spans="1:12" ht="18.95" customHeight="1" x14ac:dyDescent="0.3">
      <c r="A10" s="332"/>
      <c r="B10" s="542"/>
      <c r="C10" s="542"/>
      <c r="D10" s="542"/>
      <c r="E10" s="542"/>
      <c r="F10" s="542"/>
      <c r="G10" s="542"/>
      <c r="H10" s="542"/>
      <c r="I10" s="333"/>
    </row>
    <row r="11" spans="1:12" ht="18.95" customHeight="1" x14ac:dyDescent="0.3">
      <c r="A11" s="332"/>
      <c r="B11" s="542"/>
      <c r="C11" s="542"/>
      <c r="D11" s="542"/>
      <c r="E11" s="542"/>
      <c r="F11" s="542"/>
      <c r="G11" s="542"/>
      <c r="H11" s="542"/>
      <c r="I11" s="333"/>
    </row>
    <row r="12" spans="1:12" ht="18.95" customHeight="1" x14ac:dyDescent="0.3">
      <c r="A12" s="332"/>
      <c r="B12" s="542"/>
      <c r="C12" s="542"/>
      <c r="D12" s="542"/>
      <c r="E12" s="542"/>
      <c r="F12" s="542"/>
      <c r="G12" s="542"/>
      <c r="H12" s="542"/>
      <c r="I12" s="333"/>
    </row>
    <row r="13" spans="1:12" ht="18.95" customHeight="1" x14ac:dyDescent="0.3">
      <c r="A13" s="332"/>
      <c r="B13" s="542"/>
      <c r="C13" s="542"/>
      <c r="D13" s="542"/>
      <c r="E13" s="542"/>
      <c r="F13" s="542"/>
      <c r="G13" s="542"/>
      <c r="H13" s="542"/>
      <c r="I13" s="333"/>
    </row>
    <row r="14" spans="1:12" ht="18.95" customHeight="1" x14ac:dyDescent="0.3">
      <c r="A14" s="332"/>
      <c r="B14" s="542"/>
      <c r="C14" s="542"/>
      <c r="D14" s="542"/>
      <c r="E14" s="542"/>
      <c r="F14" s="542"/>
      <c r="G14" s="542"/>
      <c r="H14" s="542"/>
      <c r="I14" s="333"/>
    </row>
    <row r="15" spans="1:12" ht="18.95" customHeight="1" x14ac:dyDescent="0.3">
      <c r="A15" s="332"/>
      <c r="B15" s="542"/>
      <c r="C15" s="542"/>
      <c r="D15" s="542"/>
      <c r="E15" s="542"/>
      <c r="F15" s="542"/>
      <c r="G15" s="542"/>
      <c r="H15" s="542"/>
      <c r="I15" s="333"/>
    </row>
    <row r="16" spans="1:12" ht="18.95" customHeight="1" x14ac:dyDescent="0.3">
      <c r="A16" s="332"/>
      <c r="B16" s="542"/>
      <c r="C16" s="542"/>
      <c r="D16" s="542"/>
      <c r="E16" s="542"/>
      <c r="F16" s="542"/>
      <c r="G16" s="542"/>
      <c r="H16" s="542"/>
      <c r="I16" s="333"/>
    </row>
    <row r="17" spans="1:9" ht="18.95" customHeight="1" x14ac:dyDescent="0.3">
      <c r="A17" s="332"/>
      <c r="B17" s="542"/>
      <c r="C17" s="542"/>
      <c r="D17" s="542"/>
      <c r="E17" s="542"/>
      <c r="F17" s="542"/>
      <c r="G17" s="542"/>
      <c r="H17" s="542"/>
      <c r="I17" s="333"/>
    </row>
    <row r="18" spans="1:9" ht="18.95" customHeight="1" x14ac:dyDescent="0.3">
      <c r="A18" s="332"/>
      <c r="B18" s="542"/>
      <c r="C18" s="542"/>
      <c r="D18" s="542"/>
      <c r="E18" s="542"/>
      <c r="F18" s="542"/>
      <c r="G18" s="542"/>
      <c r="H18" s="542"/>
      <c r="I18" s="333"/>
    </row>
    <row r="19" spans="1:9" ht="18.95" customHeight="1" x14ac:dyDescent="0.3">
      <c r="A19" s="332"/>
      <c r="B19" s="542"/>
      <c r="C19" s="542"/>
      <c r="D19" s="542"/>
      <c r="E19" s="542"/>
      <c r="F19" s="542"/>
      <c r="G19" s="542"/>
      <c r="H19" s="542"/>
      <c r="I19" s="333"/>
    </row>
    <row r="20" spans="1:9" ht="18.95" customHeight="1" x14ac:dyDescent="0.3">
      <c r="A20" s="332"/>
      <c r="B20" s="542"/>
      <c r="C20" s="542"/>
      <c r="D20" s="542"/>
      <c r="E20" s="542"/>
      <c r="F20" s="542"/>
      <c r="G20" s="542"/>
      <c r="H20" s="542"/>
      <c r="I20" s="333"/>
    </row>
    <row r="21" spans="1:9" ht="18.95" customHeight="1" x14ac:dyDescent="0.3">
      <c r="A21" s="332"/>
      <c r="B21" s="542"/>
      <c r="C21" s="542"/>
      <c r="D21" s="542"/>
      <c r="E21" s="542"/>
      <c r="F21" s="542"/>
      <c r="G21" s="542"/>
      <c r="H21" s="542"/>
      <c r="I21" s="333"/>
    </row>
    <row r="22" spans="1:9" ht="18.95" customHeight="1" x14ac:dyDescent="0.3">
      <c r="A22" s="332"/>
      <c r="B22" s="542"/>
      <c r="C22" s="542"/>
      <c r="D22" s="542"/>
      <c r="E22" s="542"/>
      <c r="F22" s="542"/>
      <c r="G22" s="542"/>
      <c r="H22" s="542"/>
      <c r="I22" s="333"/>
    </row>
    <row r="23" spans="1:9" ht="18.95" customHeight="1" x14ac:dyDescent="0.3">
      <c r="A23" s="332"/>
      <c r="B23" s="542"/>
      <c r="C23" s="542"/>
      <c r="D23" s="542"/>
      <c r="E23" s="542"/>
      <c r="F23" s="542"/>
      <c r="G23" s="542"/>
      <c r="H23" s="542"/>
      <c r="I23" s="333"/>
    </row>
    <row r="24" spans="1:9" ht="18.95" customHeight="1" x14ac:dyDescent="0.3">
      <c r="A24" s="332"/>
      <c r="B24" s="542"/>
      <c r="C24" s="542"/>
      <c r="D24" s="542"/>
      <c r="E24" s="542"/>
      <c r="F24" s="542"/>
      <c r="G24" s="542"/>
      <c r="H24" s="542"/>
      <c r="I24" s="333"/>
    </row>
    <row r="25" spans="1:9" ht="18.95" customHeight="1" x14ac:dyDescent="0.3">
      <c r="A25" s="332"/>
      <c r="B25" s="542"/>
      <c r="C25" s="542"/>
      <c r="D25" s="542"/>
      <c r="E25" s="542"/>
      <c r="F25" s="542"/>
      <c r="G25" s="542"/>
      <c r="H25" s="542"/>
      <c r="I25" s="333"/>
    </row>
    <row r="26" spans="1:9" ht="18.95" customHeight="1" x14ac:dyDescent="0.3">
      <c r="A26" s="332"/>
      <c r="B26" s="542"/>
      <c r="C26" s="542"/>
      <c r="D26" s="542"/>
      <c r="E26" s="542"/>
      <c r="F26" s="542"/>
      <c r="G26" s="542"/>
      <c r="H26" s="542"/>
      <c r="I26" s="333"/>
    </row>
    <row r="27" spans="1:9" ht="18.95" customHeight="1" x14ac:dyDescent="0.3">
      <c r="A27" s="332"/>
      <c r="B27" s="542"/>
      <c r="C27" s="542"/>
      <c r="D27" s="542"/>
      <c r="E27" s="542"/>
      <c r="F27" s="542"/>
      <c r="G27" s="542"/>
      <c r="H27" s="542"/>
      <c r="I27" s="333"/>
    </row>
    <row r="28" spans="1:9" ht="18.95" customHeight="1" x14ac:dyDescent="0.3">
      <c r="A28" s="334"/>
      <c r="B28" s="335"/>
      <c r="C28" s="335"/>
      <c r="D28" s="335"/>
      <c r="E28" s="335"/>
      <c r="F28" s="335"/>
      <c r="G28" s="335"/>
      <c r="H28" s="335"/>
      <c r="I28" s="336"/>
    </row>
    <row r="29" spans="1:9" ht="18.95" customHeight="1" x14ac:dyDescent="0.3">
      <c r="A29" s="334"/>
      <c r="B29" s="335"/>
      <c r="C29" s="335"/>
      <c r="D29" s="335"/>
      <c r="E29" s="335"/>
      <c r="F29" s="335"/>
      <c r="G29" s="335"/>
      <c r="H29" s="335"/>
      <c r="I29" s="336"/>
    </row>
    <row r="30" spans="1:9" ht="18.95" customHeight="1" x14ac:dyDescent="0.3">
      <c r="A30" s="334"/>
      <c r="B30" s="335"/>
      <c r="C30" s="335"/>
      <c r="D30" s="335"/>
      <c r="E30" s="335"/>
      <c r="F30" s="335"/>
      <c r="G30" s="335"/>
      <c r="H30" s="335"/>
      <c r="I30" s="336"/>
    </row>
    <row r="31" spans="1:9" ht="18.95" customHeight="1" x14ac:dyDescent="0.3">
      <c r="A31" s="334"/>
      <c r="B31" s="335"/>
      <c r="C31" s="335"/>
      <c r="D31" s="335"/>
      <c r="E31" s="335"/>
      <c r="F31" s="335"/>
      <c r="G31" s="335"/>
      <c r="H31" s="335"/>
      <c r="I31" s="336"/>
    </row>
    <row r="32" spans="1:9" ht="21" customHeight="1" x14ac:dyDescent="0.3">
      <c r="A32" s="334"/>
      <c r="B32" s="335"/>
      <c r="C32" s="335"/>
      <c r="D32" s="335"/>
      <c r="E32" s="335"/>
      <c r="F32" s="335"/>
      <c r="G32" s="335"/>
      <c r="H32" s="335"/>
      <c r="I32" s="336"/>
    </row>
    <row r="33" spans="1:9" ht="21" customHeight="1" x14ac:dyDescent="0.3">
      <c r="A33" s="334"/>
      <c r="B33" s="335"/>
      <c r="C33" s="335"/>
      <c r="D33" s="335"/>
      <c r="E33" s="335"/>
      <c r="F33" s="335"/>
      <c r="G33" s="335"/>
      <c r="H33" s="335"/>
      <c r="I33" s="336"/>
    </row>
    <row r="34" spans="1:9" ht="21" customHeight="1" x14ac:dyDescent="0.3">
      <c r="A34" s="334"/>
      <c r="B34" s="335"/>
      <c r="C34" s="335"/>
      <c r="D34" s="335"/>
      <c r="E34" s="335"/>
      <c r="F34" s="335"/>
      <c r="G34" s="335"/>
      <c r="H34" s="335"/>
      <c r="I34" s="336"/>
    </row>
    <row r="35" spans="1:9" ht="21" customHeight="1" x14ac:dyDescent="0.3">
      <c r="A35" s="334"/>
      <c r="B35" s="335"/>
      <c r="C35" s="335"/>
      <c r="D35" s="335"/>
      <c r="E35" s="335"/>
      <c r="F35" s="335"/>
      <c r="G35" s="335"/>
      <c r="H35" s="335"/>
      <c r="I35" s="336"/>
    </row>
    <row r="36" spans="1:9" ht="21" customHeight="1" x14ac:dyDescent="0.3">
      <c r="A36" s="334"/>
      <c r="B36" s="335"/>
      <c r="C36" s="335"/>
      <c r="D36" s="335"/>
      <c r="E36" s="335"/>
      <c r="F36" s="335"/>
      <c r="G36" s="335"/>
      <c r="H36" s="335"/>
      <c r="I36" s="336"/>
    </row>
    <row r="37" spans="1:9" ht="21" customHeight="1" thickBot="1" x14ac:dyDescent="0.35">
      <c r="A37" s="533"/>
      <c r="B37" s="534"/>
      <c r="C37" s="534"/>
      <c r="D37" s="534"/>
      <c r="E37" s="534"/>
      <c r="F37" s="534"/>
      <c r="G37" s="534"/>
      <c r="H37" s="534"/>
      <c r="I37" s="535"/>
    </row>
    <row r="38" spans="1:9" ht="21" customHeight="1" x14ac:dyDescent="0.3">
      <c r="A38" s="38"/>
      <c r="B38" s="39"/>
      <c r="C38" s="39"/>
      <c r="D38" s="39"/>
      <c r="E38" s="39"/>
      <c r="F38" s="39"/>
      <c r="G38" s="39"/>
      <c r="H38" s="39"/>
      <c r="I38" s="39"/>
    </row>
    <row r="39" spans="1:9" ht="21" customHeight="1" x14ac:dyDescent="0.3">
      <c r="A39" s="38"/>
      <c r="B39" s="39"/>
      <c r="C39" s="39"/>
      <c r="D39" s="39"/>
      <c r="E39" s="39"/>
      <c r="F39" s="39"/>
      <c r="G39" s="39"/>
      <c r="H39" s="39"/>
      <c r="I39" s="39"/>
    </row>
    <row r="40" spans="1:9" ht="21" customHeight="1" x14ac:dyDescent="0.3">
      <c r="A40" s="38"/>
      <c r="B40" s="39"/>
      <c r="C40" s="39"/>
      <c r="D40" s="39"/>
      <c r="E40" s="39"/>
      <c r="F40" s="39"/>
      <c r="G40" s="39"/>
      <c r="H40" s="39"/>
      <c r="I40" s="39"/>
    </row>
    <row r="41" spans="1:9" ht="21" customHeight="1" thickBot="1" x14ac:dyDescent="0.35">
      <c r="A41" s="73"/>
      <c r="B41" s="74"/>
      <c r="C41" s="74"/>
      <c r="D41" s="74"/>
      <c r="E41" s="74"/>
      <c r="F41" s="74"/>
      <c r="G41" s="74"/>
      <c r="H41" s="74"/>
      <c r="I41" s="74"/>
    </row>
    <row r="43" spans="1:9" ht="18" customHeight="1" x14ac:dyDescent="0.3">
      <c r="A43" s="7"/>
      <c r="B43" s="7"/>
      <c r="C43" s="7"/>
      <c r="D43" s="7"/>
      <c r="E43" s="7"/>
      <c r="F43" s="7"/>
      <c r="G43" s="7"/>
      <c r="H43" s="7"/>
      <c r="I43" s="7"/>
    </row>
    <row r="44" spans="1:9" ht="18" customHeight="1" x14ac:dyDescent="0.3">
      <c r="A44" s="8"/>
      <c r="B44" s="8"/>
      <c r="C44" s="8"/>
      <c r="D44" s="8"/>
      <c r="E44" s="8"/>
      <c r="F44" s="8"/>
    </row>
    <row r="45" spans="1:9" ht="18" customHeight="1" x14ac:dyDescent="0.3">
      <c r="A45" s="8"/>
      <c r="B45" s="8"/>
      <c r="C45" s="8"/>
      <c r="D45" s="8"/>
      <c r="E45" s="8"/>
      <c r="F45" s="8"/>
    </row>
    <row r="46" spans="1:9" ht="18" customHeight="1" x14ac:dyDescent="0.3">
      <c r="A46" s="8"/>
      <c r="B46" s="8"/>
      <c r="C46" s="8"/>
      <c r="D46" s="8"/>
      <c r="E46" s="8"/>
      <c r="F46" s="8"/>
    </row>
    <row r="47" spans="1:9" ht="18" customHeight="1" x14ac:dyDescent="0.3">
      <c r="A47" s="8"/>
      <c r="B47" s="8"/>
      <c r="C47" s="8"/>
      <c r="D47" s="8"/>
      <c r="E47" s="8"/>
      <c r="F47" s="8"/>
    </row>
    <row r="48" spans="1:9" ht="18" customHeight="1" x14ac:dyDescent="0.3">
      <c r="A48" s="8"/>
      <c r="B48" s="8"/>
      <c r="C48" s="8"/>
      <c r="D48" s="8"/>
      <c r="E48" s="8"/>
      <c r="F48" s="8"/>
    </row>
    <row r="49" spans="1:6" ht="18" customHeight="1" x14ac:dyDescent="0.3">
      <c r="A49" s="8"/>
      <c r="B49" s="8"/>
      <c r="C49" s="8"/>
      <c r="D49" s="8"/>
      <c r="E49" s="8"/>
      <c r="F49" s="8"/>
    </row>
    <row r="50" spans="1:6" ht="18" customHeight="1" x14ac:dyDescent="0.3">
      <c r="A50" s="8"/>
      <c r="B50" s="8"/>
      <c r="C50" s="8"/>
      <c r="D50" s="8"/>
      <c r="E50" s="8"/>
      <c r="F50" s="8"/>
    </row>
    <row r="51" spans="1:6" ht="18" customHeight="1" x14ac:dyDescent="0.3">
      <c r="A51" s="8"/>
      <c r="B51" s="8"/>
      <c r="C51" s="8"/>
      <c r="D51" s="8"/>
      <c r="E51" s="8"/>
      <c r="F51" s="8"/>
    </row>
    <row r="52" spans="1:6" ht="18" customHeight="1" x14ac:dyDescent="0.3">
      <c r="A52" s="8"/>
      <c r="B52" s="8"/>
      <c r="C52" s="8"/>
      <c r="D52" s="8"/>
      <c r="E52" s="8"/>
      <c r="F52" s="8"/>
    </row>
    <row r="53" spans="1:6" ht="18" customHeight="1" x14ac:dyDescent="0.3">
      <c r="A53" s="8"/>
      <c r="B53" s="8"/>
      <c r="C53" s="8"/>
      <c r="D53" s="8"/>
      <c r="E53" s="8"/>
      <c r="F53" s="8"/>
    </row>
    <row r="54" spans="1:6" ht="18" customHeight="1" x14ac:dyDescent="0.3">
      <c r="A54" s="8"/>
      <c r="B54" s="8"/>
      <c r="C54" s="8"/>
      <c r="D54" s="8"/>
      <c r="E54" s="8"/>
      <c r="F54" s="8"/>
    </row>
    <row r="55" spans="1:6" ht="18" customHeight="1" x14ac:dyDescent="0.3">
      <c r="A55" s="8"/>
      <c r="B55" s="8"/>
      <c r="C55" s="8"/>
      <c r="D55" s="8"/>
      <c r="E55" s="8"/>
      <c r="F55" s="8"/>
    </row>
    <row r="56" spans="1:6" ht="18" customHeight="1" x14ac:dyDescent="0.3">
      <c r="A56" s="8"/>
      <c r="B56" s="8"/>
      <c r="C56" s="8"/>
      <c r="D56" s="8"/>
      <c r="E56" s="8"/>
      <c r="F56" s="8"/>
    </row>
    <row r="57" spans="1:6" ht="18" customHeight="1" x14ac:dyDescent="0.3">
      <c r="A57" s="8"/>
      <c r="B57" s="8"/>
      <c r="C57" s="8"/>
      <c r="D57" s="8"/>
      <c r="E57" s="8"/>
      <c r="F57" s="8"/>
    </row>
    <row r="58" spans="1:6" ht="18" customHeight="1" x14ac:dyDescent="0.3">
      <c r="A58" s="8"/>
      <c r="B58" s="8"/>
      <c r="C58" s="8"/>
      <c r="D58" s="8"/>
      <c r="E58" s="8"/>
      <c r="F58" s="8"/>
    </row>
    <row r="59" spans="1:6" ht="18" customHeight="1" x14ac:dyDescent="0.3">
      <c r="A59" s="8"/>
      <c r="B59" s="8"/>
      <c r="C59" s="8"/>
      <c r="D59" s="8"/>
      <c r="E59" s="8"/>
      <c r="F59" s="8"/>
    </row>
    <row r="60" spans="1:6" ht="18" customHeight="1" x14ac:dyDescent="0.3">
      <c r="A60" s="8"/>
      <c r="B60" s="8"/>
      <c r="C60" s="8"/>
      <c r="D60" s="8"/>
      <c r="E60" s="8"/>
      <c r="F60" s="8"/>
    </row>
  </sheetData>
  <mergeCells count="26">
    <mergeCell ref="B7:H7"/>
    <mergeCell ref="B8:H8"/>
    <mergeCell ref="B16:H16"/>
    <mergeCell ref="B17:H17"/>
    <mergeCell ref="B18:H18"/>
    <mergeCell ref="B9:H9"/>
    <mergeCell ref="B10:H10"/>
    <mergeCell ref="B11:H11"/>
    <mergeCell ref="B12:H12"/>
    <mergeCell ref="B13:H13"/>
    <mergeCell ref="A37:I37"/>
    <mergeCell ref="A2:I2"/>
    <mergeCell ref="A3:I3"/>
    <mergeCell ref="B5:H5"/>
    <mergeCell ref="B6:H6"/>
    <mergeCell ref="B24:H24"/>
    <mergeCell ref="B25:H25"/>
    <mergeCell ref="B26:H26"/>
    <mergeCell ref="B27:H27"/>
    <mergeCell ref="B19:H19"/>
    <mergeCell ref="B20:H20"/>
    <mergeCell ref="B21:H21"/>
    <mergeCell ref="B22:H22"/>
    <mergeCell ref="B23:H23"/>
    <mergeCell ref="B14:H14"/>
    <mergeCell ref="B15:H15"/>
  </mergeCells>
  <pageMargins left="0.66666666666666663" right="0.51181102362204722" top="0.15748031496062992" bottom="0.15748031496062992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K85"/>
  <sheetViews>
    <sheetView view="pageBreakPreview" zoomScale="120" zoomScaleNormal="130" zoomScaleSheetLayoutView="120" workbookViewId="0">
      <selection activeCell="K2" sqref="K2"/>
    </sheetView>
  </sheetViews>
  <sheetFormatPr defaultColWidth="9.125" defaultRowHeight="18.95" customHeight="1" x14ac:dyDescent="0.3"/>
  <cols>
    <col min="1" max="1" width="3.75" style="1" customWidth="1"/>
    <col min="2" max="3" width="9.125" style="1"/>
    <col min="4" max="4" width="12.25" style="1" customWidth="1"/>
    <col min="5" max="5" width="10.75" style="1" customWidth="1"/>
    <col min="6" max="6" width="9.125" style="1"/>
    <col min="7" max="7" width="12.875" style="1" customWidth="1"/>
    <col min="8" max="9" width="9.125" style="1"/>
    <col min="10" max="10" width="5.125" style="1" customWidth="1"/>
    <col min="11" max="11" width="3.5" style="1" customWidth="1"/>
    <col min="12" max="16384" width="9.125" style="1"/>
  </cols>
  <sheetData>
    <row r="1" spans="1:11" ht="18.95" customHeight="1" x14ac:dyDescent="0.35">
      <c r="A1" s="52"/>
      <c r="B1" s="546" t="s">
        <v>167</v>
      </c>
      <c r="C1" s="546"/>
      <c r="D1" s="546"/>
      <c r="E1" s="546"/>
      <c r="F1" s="546"/>
      <c r="G1" s="546"/>
      <c r="H1" s="546"/>
      <c r="I1" s="546"/>
      <c r="J1" s="546"/>
      <c r="K1" s="179">
        <v>13</v>
      </c>
    </row>
    <row r="2" spans="1:11" s="2" customFormat="1" ht="17.100000000000001" customHeight="1" x14ac:dyDescent="0.25">
      <c r="A2" s="548" t="s">
        <v>61</v>
      </c>
      <c r="B2" s="548"/>
      <c r="C2" s="548"/>
      <c r="D2" s="548"/>
    </row>
    <row r="3" spans="1:11" s="2" customFormat="1" ht="17.100000000000001" customHeight="1" x14ac:dyDescent="0.25">
      <c r="A3" s="42">
        <v>1</v>
      </c>
      <c r="B3" s="4" t="s">
        <v>62</v>
      </c>
      <c r="C3" s="4"/>
      <c r="D3" s="4"/>
      <c r="E3" s="4"/>
      <c r="F3" s="4"/>
      <c r="G3" s="4"/>
      <c r="H3" s="4"/>
      <c r="I3" s="4"/>
      <c r="J3" s="4"/>
    </row>
    <row r="4" spans="1:11" s="2" customFormat="1" ht="17.100000000000001" customHeight="1" x14ac:dyDescent="0.25">
      <c r="A4" s="42">
        <v>2</v>
      </c>
      <c r="B4" s="4" t="s">
        <v>63</v>
      </c>
      <c r="C4" s="4"/>
      <c r="D4" s="4"/>
      <c r="E4" s="4"/>
      <c r="F4" s="4"/>
      <c r="G4" s="4"/>
      <c r="H4" s="4"/>
      <c r="I4" s="4"/>
      <c r="J4" s="4"/>
    </row>
    <row r="5" spans="1:11" s="2" customFormat="1" ht="17.100000000000001" customHeight="1" x14ac:dyDescent="0.25">
      <c r="A5" s="42"/>
      <c r="B5" s="4" t="s">
        <v>139</v>
      </c>
      <c r="C5" s="4"/>
      <c r="D5" s="4"/>
      <c r="E5" s="4"/>
      <c r="F5" s="4"/>
      <c r="G5" s="4"/>
      <c r="H5" s="4"/>
      <c r="I5" s="4"/>
      <c r="J5" s="4"/>
    </row>
    <row r="6" spans="1:11" s="2" customFormat="1" ht="17.100000000000001" customHeight="1" x14ac:dyDescent="0.25">
      <c r="A6" s="4"/>
      <c r="B6" s="4" t="s">
        <v>140</v>
      </c>
      <c r="C6" s="4"/>
      <c r="D6" s="4"/>
      <c r="E6" s="4"/>
      <c r="F6" s="4"/>
      <c r="G6" s="4"/>
      <c r="H6" s="4"/>
      <c r="I6" s="4"/>
      <c r="J6" s="4"/>
    </row>
    <row r="7" spans="1:11" s="2" customFormat="1" ht="17.100000000000001" customHeight="1" x14ac:dyDescent="0.25">
      <c r="A7" s="42"/>
      <c r="B7" s="4" t="s">
        <v>141</v>
      </c>
      <c r="C7" s="4"/>
      <c r="D7" s="4"/>
      <c r="E7" s="4"/>
      <c r="F7" s="4"/>
      <c r="G7" s="4"/>
      <c r="H7" s="4"/>
      <c r="I7" s="4"/>
      <c r="J7" s="4"/>
    </row>
    <row r="8" spans="1:11" s="2" customFormat="1" ht="17.100000000000001" customHeight="1" x14ac:dyDescent="0.25">
      <c r="A8" s="42"/>
      <c r="B8" s="4" t="s">
        <v>142</v>
      </c>
      <c r="C8" s="4"/>
      <c r="D8" s="4"/>
      <c r="E8" s="4"/>
      <c r="F8" s="4"/>
      <c r="G8" s="4"/>
      <c r="H8" s="4"/>
      <c r="I8" s="4"/>
      <c r="J8" s="4"/>
    </row>
    <row r="9" spans="1:11" s="2" customFormat="1" ht="17.100000000000001" customHeight="1" x14ac:dyDescent="0.25">
      <c r="A9" s="42"/>
      <c r="B9" s="4" t="s">
        <v>161</v>
      </c>
      <c r="C9" s="4"/>
      <c r="D9" s="4"/>
      <c r="E9" s="4"/>
      <c r="F9" s="4"/>
      <c r="G9" s="4"/>
      <c r="H9" s="4"/>
      <c r="I9" s="4"/>
      <c r="J9" s="4"/>
    </row>
    <row r="10" spans="1:11" s="2" customFormat="1" ht="17.100000000000001" customHeight="1" x14ac:dyDescent="0.25">
      <c r="A10" s="42"/>
      <c r="B10" s="4" t="s">
        <v>162</v>
      </c>
      <c r="C10" s="4"/>
      <c r="D10" s="4"/>
      <c r="E10" s="4"/>
      <c r="F10" s="4"/>
      <c r="G10" s="4"/>
      <c r="H10" s="4"/>
      <c r="I10" s="4"/>
      <c r="J10" s="4"/>
    </row>
    <row r="11" spans="1:11" s="2" customFormat="1" ht="17.100000000000001" customHeight="1" x14ac:dyDescent="0.25">
      <c r="A11" s="548" t="s">
        <v>64</v>
      </c>
      <c r="B11" s="548"/>
      <c r="C11" s="548"/>
      <c r="D11" s="548"/>
      <c r="E11" s="548"/>
      <c r="F11" s="4"/>
      <c r="G11" s="4"/>
      <c r="H11" s="4"/>
      <c r="I11" s="4"/>
      <c r="J11" s="4"/>
    </row>
    <row r="12" spans="1:11" s="2" customFormat="1" ht="17.100000000000001" customHeight="1" x14ac:dyDescent="0.25">
      <c r="A12" s="42">
        <v>1</v>
      </c>
      <c r="B12" s="43" t="s">
        <v>179</v>
      </c>
      <c r="C12" s="51"/>
      <c r="D12" s="51"/>
      <c r="E12" s="51"/>
      <c r="F12" s="4"/>
      <c r="G12" s="4"/>
      <c r="H12" s="4"/>
      <c r="I12" s="4"/>
      <c r="J12" s="4"/>
    </row>
    <row r="13" spans="1:11" s="2" customFormat="1" ht="17.100000000000001" customHeight="1" x14ac:dyDescent="0.25">
      <c r="A13" s="42">
        <v>2</v>
      </c>
      <c r="B13" s="4" t="s">
        <v>180</v>
      </c>
      <c r="C13" s="4"/>
      <c r="D13" s="4"/>
      <c r="E13" s="4"/>
      <c r="F13" s="4"/>
      <c r="G13" s="4"/>
      <c r="H13" s="4"/>
      <c r="I13" s="4"/>
      <c r="J13" s="4"/>
    </row>
    <row r="14" spans="1:11" s="2" customFormat="1" ht="17.100000000000001" customHeight="1" x14ac:dyDescent="0.25">
      <c r="A14" s="42"/>
      <c r="B14" s="4" t="s">
        <v>143</v>
      </c>
      <c r="C14" s="4"/>
      <c r="D14" s="4"/>
      <c r="E14" s="4"/>
      <c r="F14" s="4"/>
      <c r="G14" s="4"/>
      <c r="H14" s="4"/>
      <c r="I14" s="4"/>
      <c r="J14" s="4"/>
    </row>
    <row r="15" spans="1:11" s="2" customFormat="1" ht="17.100000000000001" customHeight="1" x14ac:dyDescent="0.25">
      <c r="A15" s="42">
        <v>3</v>
      </c>
      <c r="B15" s="4" t="s">
        <v>65</v>
      </c>
      <c r="C15" s="4"/>
      <c r="D15" s="4"/>
      <c r="E15" s="4"/>
      <c r="F15" s="4"/>
      <c r="G15" s="4"/>
      <c r="H15" s="4"/>
      <c r="I15" s="4"/>
      <c r="J15" s="4"/>
    </row>
    <row r="16" spans="1:11" s="2" customFormat="1" ht="17.100000000000001" customHeight="1" x14ac:dyDescent="0.25">
      <c r="A16" s="42"/>
      <c r="B16" s="4" t="s">
        <v>181</v>
      </c>
      <c r="C16" s="4"/>
      <c r="D16" s="4"/>
      <c r="E16" s="4"/>
      <c r="F16" s="4"/>
      <c r="G16" s="4"/>
      <c r="H16" s="4"/>
      <c r="I16" s="4"/>
      <c r="J16" s="4"/>
    </row>
    <row r="17" spans="1:10" s="2" customFormat="1" ht="17.100000000000001" customHeight="1" x14ac:dyDescent="0.25">
      <c r="A17" s="42"/>
      <c r="B17" s="4" t="s">
        <v>144</v>
      </c>
      <c r="C17" s="4"/>
      <c r="D17" s="4"/>
      <c r="E17" s="4"/>
      <c r="F17" s="4"/>
      <c r="G17" s="4"/>
      <c r="H17" s="4"/>
      <c r="I17" s="4"/>
      <c r="J17" s="4"/>
    </row>
    <row r="18" spans="1:10" s="2" customFormat="1" ht="17.100000000000001" customHeight="1" x14ac:dyDescent="0.25">
      <c r="A18" s="42"/>
      <c r="B18" s="4" t="s">
        <v>145</v>
      </c>
      <c r="C18" s="4"/>
      <c r="D18" s="4"/>
      <c r="E18" s="4"/>
      <c r="F18" s="4"/>
      <c r="G18" s="4"/>
      <c r="H18" s="4"/>
      <c r="I18" s="4"/>
      <c r="J18" s="4"/>
    </row>
    <row r="19" spans="1:10" s="2" customFormat="1" ht="17.100000000000001" customHeight="1" x14ac:dyDescent="0.25">
      <c r="A19" s="42"/>
      <c r="B19" s="4" t="s">
        <v>182</v>
      </c>
      <c r="C19" s="4"/>
      <c r="D19" s="4"/>
      <c r="E19" s="4"/>
      <c r="F19" s="4"/>
      <c r="G19" s="4"/>
      <c r="H19" s="4"/>
      <c r="I19" s="4"/>
      <c r="J19" s="4"/>
    </row>
    <row r="20" spans="1:10" s="2" customFormat="1" ht="17.100000000000001" customHeight="1" x14ac:dyDescent="0.25">
      <c r="A20" s="42"/>
      <c r="B20" s="4" t="s">
        <v>146</v>
      </c>
      <c r="C20" s="4"/>
      <c r="D20" s="4"/>
      <c r="E20" s="4"/>
      <c r="F20" s="4"/>
      <c r="G20" s="4"/>
      <c r="H20" s="4"/>
      <c r="I20" s="4"/>
      <c r="J20" s="4"/>
    </row>
    <row r="21" spans="1:10" s="2" customFormat="1" ht="17.100000000000001" customHeight="1" x14ac:dyDescent="0.25">
      <c r="A21" s="42">
        <v>4</v>
      </c>
      <c r="B21" s="4" t="s">
        <v>183</v>
      </c>
      <c r="C21" s="4"/>
      <c r="D21" s="4"/>
      <c r="E21" s="4"/>
      <c r="F21" s="4"/>
      <c r="G21" s="4"/>
      <c r="H21" s="4"/>
      <c r="I21" s="4"/>
      <c r="J21" s="4"/>
    </row>
    <row r="22" spans="1:10" s="2" customFormat="1" ht="17.100000000000001" customHeight="1" x14ac:dyDescent="0.25">
      <c r="A22" s="42">
        <v>5</v>
      </c>
      <c r="B22" s="4" t="s">
        <v>66</v>
      </c>
      <c r="C22" s="4"/>
      <c r="D22" s="4"/>
      <c r="E22" s="4"/>
      <c r="F22" s="4"/>
      <c r="G22" s="4"/>
      <c r="H22" s="4"/>
      <c r="I22" s="4"/>
      <c r="J22" s="4"/>
    </row>
    <row r="23" spans="1:10" s="2" customFormat="1" ht="17.100000000000001" customHeight="1" x14ac:dyDescent="0.25">
      <c r="A23" s="42"/>
      <c r="B23" s="4"/>
      <c r="C23" s="4"/>
      <c r="D23" s="544" t="s">
        <v>67</v>
      </c>
      <c r="E23" s="545"/>
      <c r="F23" s="544" t="s">
        <v>68</v>
      </c>
      <c r="G23" s="545"/>
      <c r="H23" s="4"/>
      <c r="I23" s="4"/>
      <c r="J23" s="4"/>
    </row>
    <row r="24" spans="1:10" s="2" customFormat="1" ht="17.100000000000001" customHeight="1" x14ac:dyDescent="0.25">
      <c r="A24" s="42"/>
      <c r="B24" s="4"/>
      <c r="C24" s="4"/>
      <c r="D24" s="544" t="s">
        <v>69</v>
      </c>
      <c r="E24" s="545"/>
      <c r="F24" s="544">
        <v>4</v>
      </c>
      <c r="G24" s="545"/>
      <c r="H24" s="4"/>
      <c r="I24" s="4"/>
      <c r="J24" s="4"/>
    </row>
    <row r="25" spans="1:10" s="2" customFormat="1" ht="17.100000000000001" customHeight="1" x14ac:dyDescent="0.25">
      <c r="A25" s="42"/>
      <c r="B25" s="4"/>
      <c r="C25" s="4"/>
      <c r="D25" s="544" t="s">
        <v>70</v>
      </c>
      <c r="E25" s="545"/>
      <c r="F25" s="544">
        <v>3.5</v>
      </c>
      <c r="G25" s="545"/>
      <c r="H25" s="4"/>
      <c r="I25" s="4"/>
      <c r="J25" s="4"/>
    </row>
    <row r="26" spans="1:10" s="2" customFormat="1" ht="17.100000000000001" customHeight="1" x14ac:dyDescent="0.25">
      <c r="A26" s="42"/>
      <c r="B26" s="4"/>
      <c r="C26" s="4"/>
      <c r="D26" s="544" t="s">
        <v>71</v>
      </c>
      <c r="E26" s="545"/>
      <c r="F26" s="544">
        <v>3</v>
      </c>
      <c r="G26" s="545"/>
      <c r="H26" s="4"/>
      <c r="I26" s="4"/>
      <c r="J26" s="4"/>
    </row>
    <row r="27" spans="1:10" s="2" customFormat="1" ht="17.100000000000001" customHeight="1" x14ac:dyDescent="0.25">
      <c r="A27" s="42"/>
      <c r="B27" s="4"/>
      <c r="C27" s="4"/>
      <c r="D27" s="544" t="s">
        <v>72</v>
      </c>
      <c r="E27" s="545"/>
      <c r="F27" s="544">
        <v>2.5</v>
      </c>
      <c r="G27" s="545"/>
      <c r="H27" s="4"/>
      <c r="I27" s="4"/>
      <c r="J27" s="4"/>
    </row>
    <row r="28" spans="1:10" s="2" customFormat="1" ht="17.100000000000001" customHeight="1" x14ac:dyDescent="0.25">
      <c r="A28" s="42"/>
      <c r="B28" s="4"/>
      <c r="C28" s="4"/>
      <c r="D28" s="544" t="s">
        <v>73</v>
      </c>
      <c r="E28" s="545"/>
      <c r="F28" s="544">
        <v>2</v>
      </c>
      <c r="G28" s="545"/>
      <c r="H28" s="4"/>
      <c r="I28" s="4"/>
      <c r="J28" s="4"/>
    </row>
    <row r="29" spans="1:10" s="2" customFormat="1" ht="17.100000000000001" customHeight="1" x14ac:dyDescent="0.25">
      <c r="A29" s="42"/>
      <c r="B29" s="4"/>
      <c r="C29" s="4"/>
      <c r="D29" s="544" t="s">
        <v>74</v>
      </c>
      <c r="E29" s="545"/>
      <c r="F29" s="544">
        <v>1.5</v>
      </c>
      <c r="G29" s="545"/>
      <c r="H29" s="4"/>
      <c r="I29" s="4"/>
      <c r="J29" s="4"/>
    </row>
    <row r="30" spans="1:10" s="2" customFormat="1" ht="17.100000000000001" customHeight="1" x14ac:dyDescent="0.25">
      <c r="A30" s="42"/>
      <c r="B30" s="4"/>
      <c r="C30" s="4"/>
      <c r="D30" s="543" t="s">
        <v>75</v>
      </c>
      <c r="E30" s="543"/>
      <c r="F30" s="543">
        <v>1</v>
      </c>
      <c r="G30" s="543"/>
      <c r="H30" s="4"/>
      <c r="I30" s="4"/>
      <c r="J30" s="4"/>
    </row>
    <row r="31" spans="1:10" s="2" customFormat="1" ht="17.100000000000001" customHeight="1" x14ac:dyDescent="0.25">
      <c r="A31" s="42"/>
      <c r="B31" s="4"/>
      <c r="C31" s="4"/>
      <c r="D31" s="543" t="s">
        <v>76</v>
      </c>
      <c r="E31" s="543"/>
      <c r="F31" s="543">
        <v>0</v>
      </c>
      <c r="G31" s="543"/>
      <c r="H31" s="4"/>
      <c r="I31" s="4"/>
      <c r="J31" s="4"/>
    </row>
    <row r="32" spans="1:10" s="2" customFormat="1" ht="17.100000000000001" customHeight="1" x14ac:dyDescent="0.25">
      <c r="A32" s="44">
        <v>6</v>
      </c>
      <c r="B32" s="45" t="s">
        <v>138</v>
      </c>
      <c r="C32" s="45"/>
      <c r="D32" s="45"/>
      <c r="E32" s="45"/>
      <c r="F32" s="45"/>
      <c r="G32" s="45"/>
      <c r="H32" s="45"/>
      <c r="I32" s="45"/>
      <c r="J32" s="4"/>
    </row>
    <row r="33" spans="1:10" s="4" customFormat="1" ht="17.100000000000001" customHeight="1" x14ac:dyDescent="0.25">
      <c r="A33" s="548" t="s">
        <v>77</v>
      </c>
      <c r="B33" s="548"/>
      <c r="C33" s="548"/>
      <c r="D33" s="548"/>
      <c r="E33" s="548"/>
    </row>
    <row r="34" spans="1:10" s="4" customFormat="1" ht="17.100000000000001" customHeight="1" x14ac:dyDescent="0.25">
      <c r="A34" s="42">
        <v>1</v>
      </c>
      <c r="B34" s="4" t="s">
        <v>150</v>
      </c>
    </row>
    <row r="35" spans="1:10" s="4" customFormat="1" ht="17.100000000000001" customHeight="1" x14ac:dyDescent="0.25">
      <c r="A35" s="42"/>
      <c r="B35" s="4" t="s">
        <v>184</v>
      </c>
    </row>
    <row r="36" spans="1:10" s="4" customFormat="1" ht="17.100000000000001" customHeight="1" x14ac:dyDescent="0.25">
      <c r="A36" s="42">
        <v>2</v>
      </c>
      <c r="B36" s="4" t="s">
        <v>185</v>
      </c>
    </row>
    <row r="37" spans="1:10" s="4" customFormat="1" ht="17.100000000000001" customHeight="1" x14ac:dyDescent="0.25">
      <c r="A37" s="42">
        <v>3</v>
      </c>
      <c r="B37" s="49" t="s">
        <v>151</v>
      </c>
    </row>
    <row r="38" spans="1:10" s="4" customFormat="1" ht="17.100000000000001" customHeight="1" x14ac:dyDescent="0.25">
      <c r="A38" s="42">
        <v>4</v>
      </c>
      <c r="B38" s="4" t="s">
        <v>78</v>
      </c>
    </row>
    <row r="39" spans="1:10" s="4" customFormat="1" ht="17.100000000000001" customHeight="1" x14ac:dyDescent="0.25">
      <c r="A39" s="42"/>
      <c r="B39" s="47"/>
      <c r="C39" s="48" t="s">
        <v>44</v>
      </c>
      <c r="D39" s="544" t="s">
        <v>79</v>
      </c>
      <c r="E39" s="549"/>
      <c r="F39" s="549"/>
      <c r="G39" s="549"/>
      <c r="H39" s="549"/>
      <c r="I39" s="545"/>
    </row>
    <row r="40" spans="1:10" s="4" customFormat="1" ht="17.100000000000001" customHeight="1" x14ac:dyDescent="0.25">
      <c r="A40" s="42"/>
      <c r="B40" s="47"/>
      <c r="C40" s="48">
        <v>3</v>
      </c>
      <c r="D40" s="547" t="s">
        <v>80</v>
      </c>
      <c r="E40" s="547"/>
      <c r="F40" s="547" t="s">
        <v>81</v>
      </c>
      <c r="G40" s="547"/>
      <c r="H40" s="547"/>
      <c r="I40" s="547"/>
    </row>
    <row r="41" spans="1:10" s="4" customFormat="1" ht="17.100000000000001" customHeight="1" x14ac:dyDescent="0.25">
      <c r="A41" s="42"/>
      <c r="B41" s="47"/>
      <c r="C41" s="48">
        <v>2</v>
      </c>
      <c r="D41" s="547" t="s">
        <v>82</v>
      </c>
      <c r="E41" s="547"/>
      <c r="F41" s="547" t="s">
        <v>83</v>
      </c>
      <c r="G41" s="547"/>
      <c r="H41" s="547"/>
      <c r="I41" s="547"/>
    </row>
    <row r="42" spans="1:10" s="4" customFormat="1" ht="17.100000000000001" customHeight="1" x14ac:dyDescent="0.25">
      <c r="A42" s="42"/>
      <c r="B42" s="47"/>
      <c r="C42" s="48">
        <v>1</v>
      </c>
      <c r="D42" s="4" t="s">
        <v>84</v>
      </c>
      <c r="F42" s="547" t="s">
        <v>85</v>
      </c>
      <c r="G42" s="547"/>
      <c r="H42" s="547"/>
      <c r="I42" s="547"/>
    </row>
    <row r="43" spans="1:10" s="4" customFormat="1" ht="16.5" customHeight="1" x14ac:dyDescent="0.25">
      <c r="A43" s="42"/>
      <c r="B43" s="47"/>
      <c r="C43" s="48">
        <v>0</v>
      </c>
      <c r="D43" s="547" t="s">
        <v>86</v>
      </c>
      <c r="E43" s="547"/>
      <c r="F43" s="547" t="s">
        <v>87</v>
      </c>
      <c r="G43" s="547"/>
      <c r="H43" s="547"/>
      <c r="I43" s="547"/>
    </row>
    <row r="44" spans="1:10" ht="21" customHeight="1" x14ac:dyDescent="0.3">
      <c r="A44" s="42">
        <v>5</v>
      </c>
      <c r="B44" s="4" t="s">
        <v>148</v>
      </c>
      <c r="C44" s="4"/>
      <c r="D44" s="4"/>
      <c r="E44" s="4"/>
      <c r="F44" s="4"/>
      <c r="G44" s="4"/>
      <c r="H44" s="4"/>
      <c r="I44" s="4"/>
      <c r="J44" s="4"/>
    </row>
    <row r="45" spans="1:10" ht="17.100000000000001" customHeight="1" x14ac:dyDescent="0.3">
      <c r="A45" s="42">
        <v>6</v>
      </c>
      <c r="B45" s="4" t="s">
        <v>88</v>
      </c>
      <c r="C45" s="4"/>
      <c r="D45" s="4"/>
      <c r="E45" s="4"/>
      <c r="F45" s="4"/>
      <c r="G45" s="4"/>
      <c r="H45" s="4"/>
      <c r="I45" s="4"/>
      <c r="J45" s="4"/>
    </row>
    <row r="46" spans="1:10" ht="17.100000000000001" customHeight="1" x14ac:dyDescent="0.3">
      <c r="A46" s="42">
        <v>7</v>
      </c>
      <c r="B46" s="4" t="s">
        <v>149</v>
      </c>
      <c r="C46" s="4"/>
      <c r="D46" s="4"/>
      <c r="E46" s="4"/>
      <c r="F46" s="4"/>
      <c r="G46" s="4"/>
      <c r="H46" s="4"/>
      <c r="I46" s="4"/>
      <c r="J46" s="4"/>
    </row>
    <row r="47" spans="1:10" ht="17.100000000000001" customHeight="1" x14ac:dyDescent="0.3"/>
    <row r="48" spans="1:10" ht="17.100000000000001" customHeight="1" x14ac:dyDescent="0.3"/>
    <row r="49" ht="17.100000000000001" customHeight="1" x14ac:dyDescent="0.3"/>
    <row r="50" ht="17.100000000000001" customHeight="1" x14ac:dyDescent="0.3"/>
    <row r="51" ht="17.100000000000001" customHeight="1" x14ac:dyDescent="0.3"/>
    <row r="52" ht="17.100000000000001" customHeight="1" x14ac:dyDescent="0.3"/>
    <row r="53" ht="17.100000000000001" customHeight="1" x14ac:dyDescent="0.3"/>
    <row r="54" ht="17.100000000000001" customHeight="1" x14ac:dyDescent="0.3"/>
    <row r="55" ht="17.100000000000001" customHeight="1" x14ac:dyDescent="0.3"/>
    <row r="56" ht="17.100000000000001" customHeight="1" x14ac:dyDescent="0.3"/>
    <row r="57" ht="17.100000000000001" customHeight="1" x14ac:dyDescent="0.3"/>
    <row r="58" ht="17.100000000000001" customHeight="1" x14ac:dyDescent="0.3"/>
    <row r="59" ht="17.100000000000001" customHeight="1" x14ac:dyDescent="0.3"/>
    <row r="60" ht="17.100000000000001" customHeight="1" x14ac:dyDescent="0.3"/>
    <row r="61" ht="17.100000000000001" customHeight="1" x14ac:dyDescent="0.3"/>
    <row r="62" ht="17.100000000000001" customHeight="1" x14ac:dyDescent="0.3"/>
    <row r="63" ht="17.100000000000001" customHeight="1" x14ac:dyDescent="0.3"/>
    <row r="64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8" ht="17.100000000000001" customHeight="1" x14ac:dyDescent="0.3"/>
    <row r="69" ht="17.100000000000001" customHeight="1" x14ac:dyDescent="0.3"/>
    <row r="70" ht="17.100000000000001" customHeight="1" x14ac:dyDescent="0.3"/>
    <row r="71" ht="17.100000000000001" customHeight="1" x14ac:dyDescent="0.3"/>
    <row r="72" ht="17.100000000000001" customHeight="1" x14ac:dyDescent="0.3"/>
    <row r="73" ht="17.100000000000001" customHeight="1" x14ac:dyDescent="0.3"/>
    <row r="74" ht="17.100000000000001" customHeight="1" x14ac:dyDescent="0.3"/>
    <row r="75" ht="17.100000000000001" customHeight="1" x14ac:dyDescent="0.3"/>
    <row r="76" ht="17.100000000000001" customHeight="1" x14ac:dyDescent="0.3"/>
    <row r="77" ht="17.100000000000001" customHeight="1" x14ac:dyDescent="0.3"/>
    <row r="78" ht="17.100000000000001" customHeight="1" x14ac:dyDescent="0.3"/>
    <row r="79" ht="17.100000000000001" customHeight="1" x14ac:dyDescent="0.3"/>
    <row r="80" ht="17.100000000000001" customHeight="1" x14ac:dyDescent="0.3"/>
    <row r="81" ht="17.100000000000001" customHeight="1" x14ac:dyDescent="0.3"/>
    <row r="82" ht="17.100000000000001" customHeight="1" x14ac:dyDescent="0.3"/>
    <row r="83" ht="17.100000000000001" customHeight="1" x14ac:dyDescent="0.3"/>
    <row r="84" ht="17.100000000000001" customHeight="1" x14ac:dyDescent="0.3"/>
    <row r="85" ht="17.100000000000001" customHeight="1" x14ac:dyDescent="0.3"/>
  </sheetData>
  <mergeCells count="30">
    <mergeCell ref="B1:J1"/>
    <mergeCell ref="F42:I42"/>
    <mergeCell ref="D43:E43"/>
    <mergeCell ref="F43:I43"/>
    <mergeCell ref="A33:E33"/>
    <mergeCell ref="D39:I39"/>
    <mergeCell ref="D40:E40"/>
    <mergeCell ref="F40:I40"/>
    <mergeCell ref="D41:E41"/>
    <mergeCell ref="F41:I41"/>
    <mergeCell ref="D24:E24"/>
    <mergeCell ref="F24:G24"/>
    <mergeCell ref="A2:D2"/>
    <mergeCell ref="A11:E11"/>
    <mergeCell ref="D23:E23"/>
    <mergeCell ref="F23:G23"/>
    <mergeCell ref="D25:E25"/>
    <mergeCell ref="F25:G25"/>
    <mergeCell ref="D26:E26"/>
    <mergeCell ref="F26:G26"/>
    <mergeCell ref="D27:E27"/>
    <mergeCell ref="F27:G27"/>
    <mergeCell ref="D31:E31"/>
    <mergeCell ref="F31:G31"/>
    <mergeCell ref="D28:E28"/>
    <mergeCell ref="F28:G28"/>
    <mergeCell ref="D29:E29"/>
    <mergeCell ref="F29:G29"/>
    <mergeCell ref="D30:E30"/>
    <mergeCell ref="F30:G30"/>
  </mergeCells>
  <pageMargins left="0.26041666666666669" right="0" top="0.35433070866141736" bottom="0.3543307086614173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L44"/>
  <sheetViews>
    <sheetView view="pageBreakPreview" zoomScale="130" zoomScaleNormal="100" zoomScaleSheetLayoutView="130" workbookViewId="0">
      <selection activeCell="J2" sqref="J2"/>
    </sheetView>
  </sheetViews>
  <sheetFormatPr defaultColWidth="9.125" defaultRowHeight="17.100000000000001" customHeight="1" x14ac:dyDescent="0.25"/>
  <cols>
    <col min="1" max="1" width="3.75" style="4" customWidth="1"/>
    <col min="2" max="2" width="10.375" style="4" customWidth="1"/>
    <col min="3" max="3" width="9.125" style="4"/>
    <col min="4" max="4" width="12.25" style="4" customWidth="1"/>
    <col min="5" max="6" width="9.125" style="4"/>
    <col min="7" max="7" width="12.875" style="4" customWidth="1"/>
    <col min="8" max="9" width="9.125" style="4"/>
    <col min="10" max="10" width="3.75" style="4" customWidth="1"/>
    <col min="11" max="11" width="3.625" style="4" customWidth="1"/>
    <col min="12" max="16384" width="9.125" style="4"/>
  </cols>
  <sheetData>
    <row r="1" spans="1:12" ht="17.100000000000001" customHeight="1" x14ac:dyDescent="0.3">
      <c r="A1" s="1"/>
      <c r="J1" s="1">
        <v>14</v>
      </c>
      <c r="L1" s="47"/>
    </row>
    <row r="2" spans="1:12" ht="17.100000000000001" customHeight="1" x14ac:dyDescent="0.25">
      <c r="A2" s="548" t="s">
        <v>89</v>
      </c>
      <c r="B2" s="548"/>
      <c r="C2" s="548"/>
      <c r="D2" s="548"/>
      <c r="E2" s="548"/>
      <c r="F2" s="548"/>
      <c r="G2" s="548"/>
    </row>
    <row r="3" spans="1:12" ht="17.100000000000001" customHeight="1" x14ac:dyDescent="0.25">
      <c r="A3" s="42">
        <v>1</v>
      </c>
      <c r="B3" s="4" t="s">
        <v>177</v>
      </c>
    </row>
    <row r="4" spans="1:12" ht="17.100000000000001" customHeight="1" x14ac:dyDescent="0.25">
      <c r="A4" s="42">
        <v>2</v>
      </c>
      <c r="B4" s="4" t="s">
        <v>152</v>
      </c>
    </row>
    <row r="5" spans="1:12" ht="17.100000000000001" customHeight="1" x14ac:dyDescent="0.25">
      <c r="A5" s="42"/>
      <c r="B5" s="4" t="s">
        <v>153</v>
      </c>
    </row>
    <row r="6" spans="1:12" ht="17.100000000000001" customHeight="1" x14ac:dyDescent="0.25">
      <c r="A6" s="42">
        <v>3</v>
      </c>
      <c r="B6" s="4" t="s">
        <v>178</v>
      </c>
    </row>
    <row r="7" spans="1:12" ht="17.100000000000001" customHeight="1" x14ac:dyDescent="0.25">
      <c r="A7" s="42">
        <v>4</v>
      </c>
      <c r="B7" s="4" t="s">
        <v>147</v>
      </c>
    </row>
    <row r="8" spans="1:12" ht="17.100000000000001" customHeight="1" x14ac:dyDescent="0.25">
      <c r="A8" s="42">
        <v>5</v>
      </c>
      <c r="B8" s="4" t="s">
        <v>78</v>
      </c>
    </row>
    <row r="9" spans="1:12" ht="17.100000000000001" customHeight="1" x14ac:dyDescent="0.25">
      <c r="A9" s="42"/>
      <c r="B9" s="47"/>
      <c r="C9" s="48" t="s">
        <v>44</v>
      </c>
      <c r="D9" s="544" t="s">
        <v>79</v>
      </c>
      <c r="E9" s="549"/>
      <c r="F9" s="549"/>
      <c r="G9" s="549"/>
      <c r="H9" s="549"/>
      <c r="I9" s="545"/>
    </row>
    <row r="10" spans="1:12" ht="17.100000000000001" customHeight="1" x14ac:dyDescent="0.25">
      <c r="A10" s="42"/>
      <c r="B10" s="47"/>
      <c r="C10" s="48">
        <v>3</v>
      </c>
      <c r="D10" s="547" t="s">
        <v>80</v>
      </c>
      <c r="E10" s="547"/>
      <c r="F10" s="547" t="s">
        <v>90</v>
      </c>
      <c r="G10" s="547"/>
      <c r="H10" s="547"/>
      <c r="I10" s="547"/>
    </row>
    <row r="11" spans="1:12" ht="17.100000000000001" customHeight="1" x14ac:dyDescent="0.25">
      <c r="A11" s="42"/>
      <c r="B11" s="47"/>
      <c r="C11" s="48">
        <v>2</v>
      </c>
      <c r="D11" s="547" t="s">
        <v>82</v>
      </c>
      <c r="E11" s="547"/>
      <c r="F11" s="547" t="s">
        <v>91</v>
      </c>
      <c r="G11" s="547"/>
      <c r="H11" s="547"/>
      <c r="I11" s="547"/>
    </row>
    <row r="12" spans="1:12" ht="17.100000000000001" customHeight="1" x14ac:dyDescent="0.25">
      <c r="A12" s="42"/>
      <c r="B12" s="47"/>
      <c r="C12" s="48">
        <v>1</v>
      </c>
      <c r="D12" s="4" t="s">
        <v>84</v>
      </c>
      <c r="F12" s="547" t="s">
        <v>92</v>
      </c>
      <c r="G12" s="547"/>
      <c r="H12" s="547"/>
      <c r="I12" s="547"/>
    </row>
    <row r="13" spans="1:12" ht="17.100000000000001" customHeight="1" x14ac:dyDescent="0.25">
      <c r="A13" s="42"/>
      <c r="B13" s="47"/>
      <c r="C13" s="48">
        <v>0</v>
      </c>
      <c r="D13" s="547" t="s">
        <v>86</v>
      </c>
      <c r="E13" s="547"/>
      <c r="F13" s="547" t="s">
        <v>93</v>
      </c>
      <c r="G13" s="547"/>
      <c r="H13" s="547"/>
      <c r="I13" s="547"/>
    </row>
    <row r="14" spans="1:12" ht="17.100000000000001" customHeight="1" x14ac:dyDescent="0.25">
      <c r="A14" s="42">
        <v>6</v>
      </c>
      <c r="B14" s="4" t="s">
        <v>154</v>
      </c>
    </row>
    <row r="15" spans="1:12" ht="17.100000000000001" customHeight="1" x14ac:dyDescent="0.25">
      <c r="A15" s="42">
        <v>7</v>
      </c>
      <c r="B15" s="4" t="s">
        <v>94</v>
      </c>
    </row>
    <row r="16" spans="1:12" ht="17.100000000000001" customHeight="1" x14ac:dyDescent="0.25">
      <c r="A16" s="42">
        <v>8</v>
      </c>
      <c r="B16" s="4" t="s">
        <v>155</v>
      </c>
    </row>
    <row r="17" spans="1:10" ht="26.25" customHeight="1" x14ac:dyDescent="0.25">
      <c r="A17" s="553" t="s">
        <v>95</v>
      </c>
      <c r="B17" s="553"/>
      <c r="C17" s="553"/>
      <c r="D17" s="553"/>
      <c r="E17" s="553"/>
      <c r="F17" s="553"/>
      <c r="G17" s="553"/>
      <c r="H17" s="553"/>
      <c r="I17" s="553"/>
      <c r="J17" s="553"/>
    </row>
    <row r="18" spans="1:10" ht="17.100000000000001" customHeight="1" x14ac:dyDescent="0.25">
      <c r="A18" s="42"/>
      <c r="B18" s="543" t="s">
        <v>96</v>
      </c>
      <c r="C18" s="543"/>
      <c r="D18" s="543" t="s">
        <v>97</v>
      </c>
      <c r="E18" s="543"/>
      <c r="F18" s="543"/>
      <c r="G18" s="543"/>
      <c r="H18" s="543"/>
      <c r="I18" s="543"/>
    </row>
    <row r="19" spans="1:10" ht="17.100000000000001" customHeight="1" x14ac:dyDescent="0.25">
      <c r="A19" s="42"/>
      <c r="B19" s="547" t="s">
        <v>98</v>
      </c>
      <c r="C19" s="547"/>
      <c r="D19" s="554" t="s">
        <v>99</v>
      </c>
      <c r="E19" s="554"/>
      <c r="F19" s="554"/>
      <c r="G19" s="554"/>
      <c r="H19" s="554"/>
      <c r="I19" s="554"/>
    </row>
    <row r="20" spans="1:10" ht="17.100000000000001" customHeight="1" x14ac:dyDescent="0.25">
      <c r="A20" s="42"/>
      <c r="B20" s="547"/>
      <c r="C20" s="547"/>
      <c r="D20" s="554" t="s">
        <v>100</v>
      </c>
      <c r="E20" s="554"/>
      <c r="F20" s="554"/>
      <c r="G20" s="554"/>
      <c r="H20" s="554"/>
      <c r="I20" s="554"/>
    </row>
    <row r="21" spans="1:10" ht="17.100000000000001" customHeight="1" x14ac:dyDescent="0.25">
      <c r="A21" s="42"/>
      <c r="B21" s="547"/>
      <c r="C21" s="547"/>
      <c r="D21" s="550" t="s">
        <v>101</v>
      </c>
      <c r="E21" s="551"/>
      <c r="F21" s="551"/>
      <c r="G21" s="551"/>
      <c r="H21" s="551"/>
      <c r="I21" s="552"/>
    </row>
    <row r="22" spans="1:10" ht="17.100000000000001" customHeight="1" x14ac:dyDescent="0.25">
      <c r="B22" s="547"/>
      <c r="C22" s="547"/>
      <c r="D22" s="550" t="s">
        <v>102</v>
      </c>
      <c r="E22" s="551"/>
      <c r="F22" s="551"/>
      <c r="G22" s="551"/>
      <c r="H22" s="551"/>
      <c r="I22" s="552"/>
    </row>
    <row r="23" spans="1:10" ht="17.100000000000001" customHeight="1" x14ac:dyDescent="0.25">
      <c r="B23" s="547" t="s">
        <v>103</v>
      </c>
      <c r="C23" s="547"/>
      <c r="D23" s="550" t="s">
        <v>104</v>
      </c>
      <c r="E23" s="551"/>
      <c r="F23" s="551"/>
      <c r="G23" s="551"/>
      <c r="H23" s="551"/>
      <c r="I23" s="552"/>
    </row>
    <row r="24" spans="1:10" ht="17.100000000000001" customHeight="1" x14ac:dyDescent="0.25">
      <c r="B24" s="547"/>
      <c r="C24" s="547"/>
      <c r="D24" s="550" t="s">
        <v>105</v>
      </c>
      <c r="E24" s="551"/>
      <c r="F24" s="551"/>
      <c r="G24" s="551"/>
      <c r="H24" s="551"/>
      <c r="I24" s="552"/>
    </row>
    <row r="25" spans="1:10" ht="17.100000000000001" customHeight="1" x14ac:dyDescent="0.25">
      <c r="B25" s="547" t="s">
        <v>106</v>
      </c>
      <c r="C25" s="547"/>
      <c r="D25" s="550" t="s">
        <v>107</v>
      </c>
      <c r="E25" s="551"/>
      <c r="F25" s="551"/>
      <c r="G25" s="551"/>
      <c r="H25" s="551"/>
      <c r="I25" s="552"/>
    </row>
    <row r="26" spans="1:10" ht="17.100000000000001" customHeight="1" x14ac:dyDescent="0.25">
      <c r="B26" s="547" t="s">
        <v>108</v>
      </c>
      <c r="C26" s="547"/>
      <c r="D26" s="550" t="s">
        <v>109</v>
      </c>
      <c r="E26" s="551"/>
      <c r="F26" s="551"/>
      <c r="G26" s="551"/>
      <c r="H26" s="551"/>
      <c r="I26" s="552"/>
    </row>
    <row r="27" spans="1:10" ht="17.100000000000001" customHeight="1" x14ac:dyDescent="0.25">
      <c r="B27" s="547"/>
      <c r="C27" s="547"/>
      <c r="D27" s="550" t="s">
        <v>156</v>
      </c>
      <c r="E27" s="551"/>
      <c r="F27" s="551"/>
      <c r="G27" s="551"/>
      <c r="H27" s="551"/>
      <c r="I27" s="552"/>
    </row>
    <row r="28" spans="1:10" ht="17.100000000000001" customHeight="1" x14ac:dyDescent="0.25">
      <c r="B28" s="547"/>
      <c r="C28" s="547"/>
      <c r="D28" s="550" t="s">
        <v>157</v>
      </c>
      <c r="E28" s="551"/>
      <c r="F28" s="551"/>
      <c r="G28" s="551"/>
      <c r="H28" s="551"/>
      <c r="I28" s="552"/>
    </row>
    <row r="29" spans="1:10" ht="17.100000000000001" customHeight="1" x14ac:dyDescent="0.25">
      <c r="B29" s="547" t="s">
        <v>110</v>
      </c>
      <c r="C29" s="547"/>
      <c r="D29" s="550" t="s">
        <v>111</v>
      </c>
      <c r="E29" s="551"/>
      <c r="F29" s="551"/>
      <c r="G29" s="551"/>
      <c r="H29" s="551"/>
      <c r="I29" s="552"/>
    </row>
    <row r="30" spans="1:10" ht="17.100000000000001" customHeight="1" x14ac:dyDescent="0.25">
      <c r="B30" s="547"/>
      <c r="C30" s="547"/>
      <c r="D30" s="550" t="s">
        <v>112</v>
      </c>
      <c r="E30" s="551"/>
      <c r="F30" s="551"/>
      <c r="G30" s="551"/>
      <c r="H30" s="551"/>
      <c r="I30" s="552"/>
    </row>
    <row r="31" spans="1:10" ht="17.100000000000001" customHeight="1" x14ac:dyDescent="0.25">
      <c r="B31" s="547" t="s">
        <v>113</v>
      </c>
      <c r="C31" s="547"/>
      <c r="D31" s="550" t="s">
        <v>114</v>
      </c>
      <c r="E31" s="551"/>
      <c r="F31" s="551"/>
      <c r="G31" s="551"/>
      <c r="H31" s="551"/>
      <c r="I31" s="552"/>
    </row>
    <row r="32" spans="1:10" ht="17.100000000000001" customHeight="1" x14ac:dyDescent="0.25">
      <c r="B32" s="547"/>
      <c r="C32" s="547"/>
      <c r="D32" s="550" t="s">
        <v>115</v>
      </c>
      <c r="E32" s="551"/>
      <c r="F32" s="551"/>
      <c r="G32" s="551"/>
      <c r="H32" s="551"/>
      <c r="I32" s="552"/>
    </row>
    <row r="33" spans="2:9" ht="17.100000000000001" customHeight="1" x14ac:dyDescent="0.25">
      <c r="B33" s="547" t="s">
        <v>116</v>
      </c>
      <c r="C33" s="547"/>
      <c r="D33" s="550" t="s">
        <v>117</v>
      </c>
      <c r="E33" s="551"/>
      <c r="F33" s="551"/>
      <c r="G33" s="551"/>
      <c r="H33" s="551"/>
      <c r="I33" s="552"/>
    </row>
    <row r="34" spans="2:9" ht="17.100000000000001" customHeight="1" x14ac:dyDescent="0.25">
      <c r="B34" s="547"/>
      <c r="C34" s="547"/>
      <c r="D34" s="550" t="s">
        <v>118</v>
      </c>
      <c r="E34" s="551"/>
      <c r="F34" s="551"/>
      <c r="G34" s="551"/>
      <c r="H34" s="551"/>
      <c r="I34" s="552"/>
    </row>
    <row r="35" spans="2:9" ht="17.100000000000001" customHeight="1" x14ac:dyDescent="0.25">
      <c r="B35" s="547"/>
      <c r="C35" s="547"/>
      <c r="D35" s="550" t="s">
        <v>119</v>
      </c>
      <c r="E35" s="551"/>
      <c r="F35" s="551"/>
      <c r="G35" s="551"/>
      <c r="H35" s="551"/>
      <c r="I35" s="552"/>
    </row>
    <row r="36" spans="2:9" ht="17.100000000000001" customHeight="1" x14ac:dyDescent="0.25">
      <c r="B36" s="547" t="s">
        <v>120</v>
      </c>
      <c r="C36" s="547"/>
      <c r="D36" s="550" t="s">
        <v>121</v>
      </c>
      <c r="E36" s="551"/>
      <c r="F36" s="551"/>
      <c r="G36" s="551"/>
      <c r="H36" s="551"/>
      <c r="I36" s="552"/>
    </row>
    <row r="37" spans="2:9" ht="17.100000000000001" customHeight="1" x14ac:dyDescent="0.25">
      <c r="B37" s="547"/>
      <c r="C37" s="547"/>
      <c r="D37" s="550" t="s">
        <v>122</v>
      </c>
      <c r="E37" s="551"/>
      <c r="F37" s="551"/>
      <c r="G37" s="551"/>
      <c r="H37" s="551"/>
      <c r="I37" s="552"/>
    </row>
    <row r="39" spans="2:9" ht="22.5" customHeight="1" x14ac:dyDescent="0.25">
      <c r="B39" s="50" t="s">
        <v>168</v>
      </c>
      <c r="C39" s="46"/>
    </row>
    <row r="40" spans="2:9" ht="17.100000000000001" customHeight="1" x14ac:dyDescent="0.25">
      <c r="B40" s="555" t="s">
        <v>56</v>
      </c>
      <c r="C40" s="555"/>
      <c r="D40" s="555"/>
      <c r="E40" s="555"/>
      <c r="F40" s="555"/>
      <c r="G40" s="555"/>
      <c r="H40" s="555"/>
      <c r="I40" s="555"/>
    </row>
    <row r="41" spans="2:9" ht="17.100000000000001" customHeight="1" x14ac:dyDescent="0.25">
      <c r="B41" s="555" t="s">
        <v>57</v>
      </c>
      <c r="C41" s="555"/>
      <c r="D41" s="555"/>
      <c r="E41" s="555"/>
      <c r="F41" s="555"/>
      <c r="G41" s="555"/>
      <c r="H41" s="555"/>
      <c r="I41" s="555"/>
    </row>
    <row r="42" spans="2:9" ht="17.100000000000001" customHeight="1" x14ac:dyDescent="0.25">
      <c r="B42" s="555" t="s">
        <v>58</v>
      </c>
      <c r="C42" s="555"/>
      <c r="D42" s="555"/>
      <c r="E42" s="555"/>
      <c r="F42" s="555"/>
      <c r="G42" s="555"/>
      <c r="H42" s="555"/>
      <c r="I42" s="555"/>
    </row>
    <row r="43" spans="2:9" ht="17.100000000000001" customHeight="1" x14ac:dyDescent="0.25">
      <c r="B43" s="555" t="s">
        <v>59</v>
      </c>
      <c r="C43" s="555"/>
      <c r="D43" s="555"/>
      <c r="E43" s="555"/>
      <c r="F43" s="555"/>
      <c r="G43" s="555"/>
      <c r="H43" s="555"/>
      <c r="I43" s="555"/>
    </row>
    <row r="44" spans="2:9" ht="17.100000000000001" customHeight="1" x14ac:dyDescent="0.25">
      <c r="B44" s="555" t="s">
        <v>60</v>
      </c>
      <c r="C44" s="555"/>
      <c r="D44" s="555"/>
      <c r="E44" s="555"/>
      <c r="F44" s="555"/>
      <c r="G44" s="555"/>
      <c r="H44" s="555"/>
      <c r="I44" s="555"/>
    </row>
  </sheetData>
  <mergeCells count="55">
    <mergeCell ref="B44:I44"/>
    <mergeCell ref="D34:I34"/>
    <mergeCell ref="D35:I35"/>
    <mergeCell ref="D36:I36"/>
    <mergeCell ref="D37:I37"/>
    <mergeCell ref="B40:I40"/>
    <mergeCell ref="B35:C35"/>
    <mergeCell ref="B37:C37"/>
    <mergeCell ref="B36:C36"/>
    <mergeCell ref="B34:C34"/>
    <mergeCell ref="D33:I33"/>
    <mergeCell ref="B41:I41"/>
    <mergeCell ref="B42:I42"/>
    <mergeCell ref="B43:I43"/>
    <mergeCell ref="B33:C33"/>
    <mergeCell ref="B25:C25"/>
    <mergeCell ref="B28:C28"/>
    <mergeCell ref="B29:C29"/>
    <mergeCell ref="D23:I23"/>
    <mergeCell ref="D24:I24"/>
    <mergeCell ref="D25:I25"/>
    <mergeCell ref="D26:I26"/>
    <mergeCell ref="D27:I27"/>
    <mergeCell ref="D28:I28"/>
    <mergeCell ref="B27:C27"/>
    <mergeCell ref="B26:C26"/>
    <mergeCell ref="B23:C23"/>
    <mergeCell ref="B24:C24"/>
    <mergeCell ref="B30:C30"/>
    <mergeCell ref="B31:C31"/>
    <mergeCell ref="B32:C32"/>
    <mergeCell ref="D29:I29"/>
    <mergeCell ref="D30:I30"/>
    <mergeCell ref="D31:I31"/>
    <mergeCell ref="D32:I32"/>
    <mergeCell ref="A2:G2"/>
    <mergeCell ref="D9:I9"/>
    <mergeCell ref="D11:E11"/>
    <mergeCell ref="F11:I11"/>
    <mergeCell ref="D10:E10"/>
    <mergeCell ref="F10:I10"/>
    <mergeCell ref="B22:C22"/>
    <mergeCell ref="D22:I22"/>
    <mergeCell ref="F12:I12"/>
    <mergeCell ref="D13:E13"/>
    <mergeCell ref="F13:I13"/>
    <mergeCell ref="B20:C20"/>
    <mergeCell ref="A17:J17"/>
    <mergeCell ref="D18:I18"/>
    <mergeCell ref="D19:I19"/>
    <mergeCell ref="D20:I20"/>
    <mergeCell ref="B18:C18"/>
    <mergeCell ref="B19:C19"/>
    <mergeCell ref="D21:I21"/>
    <mergeCell ref="B21:C21"/>
  </mergeCells>
  <pageMargins left="0.58333333333333337" right="0.11811023622047245" top="0.35433070866141736" bottom="0.35433070866141736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4"/>
  <sheetViews>
    <sheetView view="pageLayout" topLeftCell="A4" zoomScaleNormal="100" workbookViewId="0">
      <selection activeCell="D18" sqref="D18"/>
    </sheetView>
  </sheetViews>
  <sheetFormatPr defaultRowHeight="17.25" customHeight="1" x14ac:dyDescent="0.35"/>
  <cols>
    <col min="1" max="1" width="2.125" style="261" customWidth="1"/>
    <col min="2" max="2" width="4.75" style="261" customWidth="1"/>
    <col min="3" max="3" width="7.625" style="261" customWidth="1"/>
    <col min="4" max="4" width="22.25" style="261" customWidth="1"/>
    <col min="5" max="5" width="7" style="261" customWidth="1"/>
    <col min="6" max="6" width="6.75" style="261" customWidth="1"/>
    <col min="7" max="7" width="8.625" style="261" customWidth="1"/>
    <col min="8" max="8" width="8.25" style="261" customWidth="1"/>
    <col min="9" max="9" width="7.875" style="261" customWidth="1"/>
    <col min="10" max="10" width="1.5" style="261" customWidth="1"/>
    <col min="11" max="11" width="5.25" style="261" customWidth="1"/>
    <col min="12" max="12" width="4.75" style="261" customWidth="1"/>
    <col min="13" max="13" width="6" style="261" customWidth="1"/>
    <col min="14" max="14" width="6.875" style="261" customWidth="1"/>
    <col min="15" max="16384" width="9" style="261"/>
  </cols>
  <sheetData>
    <row r="1" spans="1:13" ht="17.25" customHeight="1" x14ac:dyDescent="0.35">
      <c r="A1" s="556" t="str">
        <f>"ผลการเรียนนักเรียน"&amp;"  "&amp;'ปก (1)'!C9&amp;"  "&amp;'ปก (1)'!G9</f>
        <v>ผลการเรียนนักเรียน  ระดับชั้นประถมศึกษาปีที่  1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</row>
    <row r="2" spans="1:13" ht="17.25" customHeight="1" x14ac:dyDescent="0.35">
      <c r="A2" s="559" t="str">
        <f>'ปก (1)'!M9&amp;"  "&amp;'ปก (1)'!O9</f>
        <v>ปีการศึกษา   2569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</row>
    <row r="3" spans="1:13" ht="17.25" customHeight="1" x14ac:dyDescent="0.35">
      <c r="A3" s="562" t="s">
        <v>189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4"/>
    </row>
    <row r="4" spans="1:13" ht="8.25" customHeight="1" x14ac:dyDescent="0.35">
      <c r="A4" s="262"/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</row>
    <row r="5" spans="1:13" ht="17.25" customHeight="1" x14ac:dyDescent="0.35">
      <c r="B5" s="261" t="s">
        <v>20</v>
      </c>
      <c r="C5" s="563" t="str">
        <f>'ปก (1)'!E10</f>
        <v>ภาษาไทย</v>
      </c>
      <c r="D5" s="563"/>
      <c r="E5" s="263" t="s">
        <v>123</v>
      </c>
      <c r="F5" s="264" t="str">
        <f>'ปก (1)'!L10</f>
        <v>ท11101</v>
      </c>
      <c r="G5" s="263" t="s">
        <v>21</v>
      </c>
      <c r="H5" s="263"/>
      <c r="I5" s="563" t="str">
        <f>'ปก (1)'!E12</f>
        <v>นางสุพรรณี  สุวะศรี</v>
      </c>
      <c r="J5" s="563"/>
      <c r="K5" s="563"/>
      <c r="L5" s="563"/>
      <c r="M5" s="563"/>
    </row>
    <row r="6" spans="1:13" ht="17.25" customHeight="1" thickBot="1" x14ac:dyDescent="0.4">
      <c r="C6" s="262"/>
      <c r="D6" s="262"/>
      <c r="F6" s="265"/>
      <c r="I6" s="265"/>
      <c r="J6" s="265"/>
    </row>
    <row r="7" spans="1:13" ht="17.25" customHeight="1" x14ac:dyDescent="0.35">
      <c r="B7" s="579" t="s">
        <v>27</v>
      </c>
      <c r="C7" s="581" t="s">
        <v>28</v>
      </c>
      <c r="D7" s="583" t="s">
        <v>190</v>
      </c>
      <c r="E7" s="266" t="s">
        <v>191</v>
      </c>
      <c r="F7" s="581" t="s">
        <v>192</v>
      </c>
      <c r="G7" s="583" t="s">
        <v>41</v>
      </c>
      <c r="H7" s="585"/>
      <c r="I7" s="586"/>
      <c r="J7" s="267"/>
      <c r="K7" s="568" t="s">
        <v>193</v>
      </c>
      <c r="L7" s="569"/>
      <c r="M7" s="570"/>
    </row>
    <row r="8" spans="1:13" ht="25.5" customHeight="1" thickBot="1" x14ac:dyDescent="0.4">
      <c r="B8" s="580"/>
      <c r="C8" s="582"/>
      <c r="D8" s="584"/>
      <c r="E8" s="268">
        <v>100</v>
      </c>
      <c r="F8" s="582"/>
      <c r="G8" s="269" t="s">
        <v>194</v>
      </c>
      <c r="H8" s="270" t="s">
        <v>195</v>
      </c>
      <c r="I8" s="270" t="s">
        <v>230</v>
      </c>
      <c r="J8" s="271"/>
      <c r="K8" s="272" t="s">
        <v>196</v>
      </c>
      <c r="L8" s="273" t="s">
        <v>197</v>
      </c>
      <c r="M8" s="274" t="s">
        <v>34</v>
      </c>
    </row>
    <row r="9" spans="1:13" ht="17.25" customHeight="1" thickBot="1" x14ac:dyDescent="0.4">
      <c r="B9" s="275">
        <v>1</v>
      </c>
      <c r="C9" s="276">
        <f>'เวลาเรียน (2)'!B6</f>
        <v>4997</v>
      </c>
      <c r="D9" s="298" t="str">
        <f>'เวลาเรียน (2)'!C6</f>
        <v>เด็กชายธนาธร    กิติกาแดง</v>
      </c>
      <c r="E9" s="278">
        <f>'สรุปผลรวม (10)'!Q8</f>
        <v>0</v>
      </c>
      <c r="F9" s="318">
        <f>'สรุปผลรวม (10)'!R8</f>
        <v>0</v>
      </c>
      <c r="G9" s="279">
        <f>'คุณลักษณะ -อ่าน -สมรรถนะ(11)'!K5</f>
        <v>0</v>
      </c>
      <c r="H9" s="342">
        <f>'คุณลักษณะ -อ่าน -สมรรถนะ(11)'!R5</f>
        <v>0</v>
      </c>
      <c r="I9" s="280">
        <f>'คุณลักษณะ -อ่าน -สมรรถนะ(11)'!Y5</f>
        <v>0</v>
      </c>
      <c r="J9" s="281"/>
      <c r="K9" s="282">
        <f>COUNTIF(D9:D33, "เด็กชาย*")</f>
        <v>4</v>
      </c>
      <c r="L9" s="282">
        <f>COUNTIF(D9:D33, "เด็กหญิง*")</f>
        <v>5</v>
      </c>
      <c r="M9" s="284">
        <f>SUM(K9:L9)</f>
        <v>9</v>
      </c>
    </row>
    <row r="10" spans="1:13" ht="17.25" customHeight="1" thickBot="1" x14ac:dyDescent="0.4">
      <c r="B10" s="285">
        <v>2</v>
      </c>
      <c r="C10" s="286">
        <f>'เวลาเรียน (2)'!B7</f>
        <v>4998</v>
      </c>
      <c r="D10" s="277" t="str">
        <f>'เวลาเรียน (2)'!C7</f>
        <v>เด็กชายนิรวุฒิ  วันทอง</v>
      </c>
      <c r="E10" s="273">
        <f>'สรุปผลรวม (10)'!Q9</f>
        <v>0</v>
      </c>
      <c r="F10" s="318">
        <f>'สรุปผลรวม (10)'!R9</f>
        <v>0</v>
      </c>
      <c r="G10" s="273">
        <f>'คุณลักษณะ -อ่าน -สมรรถนะ(11)'!K6</f>
        <v>0</v>
      </c>
      <c r="H10" s="343">
        <f>'คุณลักษณะ -อ่าน -สมรรถนะ(11)'!R6</f>
        <v>0</v>
      </c>
      <c r="I10" s="274">
        <f>'คุณลักษณะ -อ่าน -สมรรถนะ(11)'!Y6</f>
        <v>0</v>
      </c>
      <c r="J10" s="281"/>
    </row>
    <row r="11" spans="1:13" ht="17.25" customHeight="1" x14ac:dyDescent="0.35">
      <c r="B11" s="285">
        <v>3</v>
      </c>
      <c r="C11" s="286">
        <f>'เวลาเรียน (2)'!B8</f>
        <v>4999</v>
      </c>
      <c r="D11" s="277" t="str">
        <f>'เวลาเรียน (2)'!C8</f>
        <v>เด็กชายศรันยู  รัตนมงคล</v>
      </c>
      <c r="E11" s="273">
        <f>'สรุปผลรวม (10)'!Q10</f>
        <v>0</v>
      </c>
      <c r="F11" s="318">
        <f>'สรุปผลรวม (10)'!R10</f>
        <v>0</v>
      </c>
      <c r="G11" s="273">
        <f>'คุณลักษณะ -อ่าน -สมรรถนะ(11)'!K7</f>
        <v>0</v>
      </c>
      <c r="H11" s="343">
        <f>'คุณลักษณะ -อ่าน -สมรรถนะ(11)'!R7</f>
        <v>0</v>
      </c>
      <c r="I11" s="274">
        <f>'คุณลักษณะ -อ่าน -สมรรถนะ(11)'!Y7</f>
        <v>0</v>
      </c>
      <c r="J11" s="281"/>
      <c r="K11" s="571" t="s">
        <v>192</v>
      </c>
      <c r="L11" s="572"/>
      <c r="M11" s="573"/>
    </row>
    <row r="12" spans="1:13" ht="17.25" customHeight="1" x14ac:dyDescent="0.35">
      <c r="B12" s="285">
        <v>4</v>
      </c>
      <c r="C12" s="286">
        <f>'เวลาเรียน (2)'!B9</f>
        <v>5000</v>
      </c>
      <c r="D12" s="277" t="str">
        <f>'เวลาเรียน (2)'!C9</f>
        <v>เด็กชายสิรธีร์  เวียงอินทร์</v>
      </c>
      <c r="E12" s="273">
        <f>'สรุปผลรวม (10)'!Q11</f>
        <v>0</v>
      </c>
      <c r="F12" s="318">
        <f>'สรุปผลรวม (10)'!R11</f>
        <v>0</v>
      </c>
      <c r="G12" s="273">
        <f>'คุณลักษณะ -อ่าน -สมรรถนะ(11)'!K8</f>
        <v>0</v>
      </c>
      <c r="H12" s="343">
        <f>'คุณลักษณะ -อ่าน -สมรรถนะ(11)'!R8</f>
        <v>0</v>
      </c>
      <c r="I12" s="274">
        <f>'คุณลักษณะ -อ่าน -สมรรถนะ(11)'!Y8</f>
        <v>0</v>
      </c>
      <c r="J12" s="281"/>
      <c r="K12" s="345" t="s">
        <v>198</v>
      </c>
      <c r="L12" s="346" t="s">
        <v>199</v>
      </c>
      <c r="M12" s="347" t="s">
        <v>200</v>
      </c>
    </row>
    <row r="13" spans="1:13" ht="17.25" customHeight="1" x14ac:dyDescent="0.35">
      <c r="B13" s="285">
        <v>5</v>
      </c>
      <c r="C13" s="286">
        <f>'เวลาเรียน (2)'!B10</f>
        <v>5001</v>
      </c>
      <c r="D13" s="277" t="str">
        <f>'เวลาเรียน (2)'!C10</f>
        <v>เด็กหญิงจิรภิญญา  เขื่อนพงษ์</v>
      </c>
      <c r="E13" s="273">
        <f>'สรุปผลรวม (10)'!Q12</f>
        <v>0</v>
      </c>
      <c r="F13" s="318">
        <f>'สรุปผลรวม (10)'!R12</f>
        <v>0</v>
      </c>
      <c r="G13" s="273">
        <f>'คุณลักษณะ -อ่าน -สมรรถนะ(11)'!K9</f>
        <v>0</v>
      </c>
      <c r="H13" s="343">
        <f>'คุณลักษณะ -อ่าน -สมรรถนะ(11)'!R9</f>
        <v>0</v>
      </c>
      <c r="I13" s="274">
        <f>'คุณลักษณะ -อ่าน -สมรรถนะ(11)'!Y9</f>
        <v>0</v>
      </c>
      <c r="J13" s="281"/>
      <c r="K13" s="285">
        <v>4</v>
      </c>
      <c r="L13" s="273">
        <f t="shared" ref="L13:L22" si="0">COUNTIF($F$9:$F$33,K13)</f>
        <v>0</v>
      </c>
      <c r="M13" s="287">
        <f>L13*100/$M$9</f>
        <v>0</v>
      </c>
    </row>
    <row r="14" spans="1:13" ht="17.25" customHeight="1" x14ac:dyDescent="0.35">
      <c r="B14" s="285">
        <v>6</v>
      </c>
      <c r="C14" s="286">
        <f>'เวลาเรียน (2)'!B11</f>
        <v>5002</v>
      </c>
      <c r="D14" s="277" t="str">
        <f>'เวลาเรียน (2)'!C11</f>
        <v>เด็กหญิงภคพร  วงค์สา</v>
      </c>
      <c r="E14" s="273">
        <f>'สรุปผลรวม (10)'!Q13</f>
        <v>0</v>
      </c>
      <c r="F14" s="318">
        <f>'สรุปผลรวม (10)'!R13</f>
        <v>0</v>
      </c>
      <c r="G14" s="273">
        <f>'คุณลักษณะ -อ่าน -สมรรถนะ(11)'!K10</f>
        <v>0</v>
      </c>
      <c r="H14" s="343">
        <f>'คุณลักษณะ -อ่าน -สมรรถนะ(11)'!R10</f>
        <v>0</v>
      </c>
      <c r="I14" s="274">
        <f>'คุณลักษณะ -อ่าน -สมรรถนะ(11)'!Y10</f>
        <v>0</v>
      </c>
      <c r="J14" s="281"/>
      <c r="K14" s="285">
        <v>3.5</v>
      </c>
      <c r="L14" s="273">
        <f t="shared" si="0"/>
        <v>0</v>
      </c>
      <c r="M14" s="287">
        <f t="shared" ref="M14:M23" si="1">L14*100/$M$9</f>
        <v>0</v>
      </c>
    </row>
    <row r="15" spans="1:13" ht="17.25" customHeight="1" x14ac:dyDescent="0.35">
      <c r="B15" s="285">
        <v>7</v>
      </c>
      <c r="C15" s="286">
        <f>'เวลาเรียน (2)'!B12</f>
        <v>5003</v>
      </c>
      <c r="D15" s="277" t="str">
        <f>'เวลาเรียน (2)'!C12</f>
        <v>เด็กหญิงศิริณภา  สุวรรณจันทร์</v>
      </c>
      <c r="E15" s="273">
        <f>'สรุปผลรวม (10)'!Q14</f>
        <v>0</v>
      </c>
      <c r="F15" s="318">
        <f>'สรุปผลรวม (10)'!R14</f>
        <v>0</v>
      </c>
      <c r="G15" s="273">
        <f>'คุณลักษณะ -อ่าน -สมรรถนะ(11)'!K11</f>
        <v>0</v>
      </c>
      <c r="H15" s="343">
        <f>'คุณลักษณะ -อ่าน -สมรรถนะ(11)'!R11</f>
        <v>0</v>
      </c>
      <c r="I15" s="274">
        <f>'คุณลักษณะ -อ่าน -สมรรถนะ(11)'!Y11</f>
        <v>0</v>
      </c>
      <c r="J15" s="281"/>
      <c r="K15" s="285">
        <v>3</v>
      </c>
      <c r="L15" s="273">
        <f t="shared" si="0"/>
        <v>0</v>
      </c>
      <c r="M15" s="287">
        <f t="shared" si="1"/>
        <v>0</v>
      </c>
    </row>
    <row r="16" spans="1:13" ht="17.25" customHeight="1" x14ac:dyDescent="0.35">
      <c r="B16" s="285">
        <v>8</v>
      </c>
      <c r="C16" s="286">
        <f>'เวลาเรียน (2)'!B13</f>
        <v>5004</v>
      </c>
      <c r="D16" s="277" t="str">
        <f>'เวลาเรียน (2)'!C13</f>
        <v>เด็กหญิงศุภิสรา  โม้แซง</v>
      </c>
      <c r="E16" s="273">
        <f>'สรุปผลรวม (10)'!Q15</f>
        <v>0</v>
      </c>
      <c r="F16" s="318">
        <f>'สรุปผลรวม (10)'!R15</f>
        <v>0</v>
      </c>
      <c r="G16" s="273">
        <f>'คุณลักษณะ -อ่าน -สมรรถนะ(11)'!K12</f>
        <v>0</v>
      </c>
      <c r="H16" s="343">
        <f>'คุณลักษณะ -อ่าน -สมรรถนะ(11)'!R12</f>
        <v>0</v>
      </c>
      <c r="I16" s="274">
        <f>'คุณลักษณะ -อ่าน -สมรรถนะ(11)'!Y12</f>
        <v>0</v>
      </c>
      <c r="J16" s="281"/>
      <c r="K16" s="285">
        <v>2.5</v>
      </c>
      <c r="L16" s="273">
        <f t="shared" si="0"/>
        <v>0</v>
      </c>
      <c r="M16" s="287">
        <f t="shared" si="1"/>
        <v>0</v>
      </c>
    </row>
    <row r="17" spans="2:13" ht="17.25" customHeight="1" x14ac:dyDescent="0.35">
      <c r="B17" s="285">
        <v>9</v>
      </c>
      <c r="C17" s="286">
        <f>'เวลาเรียน (2)'!B14</f>
        <v>5005</v>
      </c>
      <c r="D17" s="277" t="str">
        <f>'เวลาเรียน (2)'!C14</f>
        <v>เด็กหญิงสุพิชชา  ชาวนาฮี</v>
      </c>
      <c r="E17" s="273">
        <f>'สรุปผลรวม (10)'!Q16</f>
        <v>0</v>
      </c>
      <c r="F17" s="318">
        <f>'สรุปผลรวม (10)'!R16</f>
        <v>0</v>
      </c>
      <c r="G17" s="273">
        <f>'คุณลักษณะ -อ่าน -สมรรถนะ(11)'!K13</f>
        <v>0</v>
      </c>
      <c r="H17" s="343">
        <f>'คุณลักษณะ -อ่าน -สมรรถนะ(11)'!R13</f>
        <v>0</v>
      </c>
      <c r="I17" s="274">
        <f>'คุณลักษณะ -อ่าน -สมรรถนะ(11)'!Y13</f>
        <v>0</v>
      </c>
      <c r="J17" s="281"/>
      <c r="K17" s="285">
        <v>2</v>
      </c>
      <c r="L17" s="273">
        <f t="shared" si="0"/>
        <v>0</v>
      </c>
      <c r="M17" s="287">
        <f t="shared" si="1"/>
        <v>0</v>
      </c>
    </row>
    <row r="18" spans="2:13" ht="17.25" customHeight="1" x14ac:dyDescent="0.35">
      <c r="B18" s="285"/>
      <c r="C18" s="286"/>
      <c r="D18" s="277"/>
      <c r="E18" s="273"/>
      <c r="F18" s="318"/>
      <c r="G18" s="273"/>
      <c r="H18" s="343"/>
      <c r="I18" s="274"/>
      <c r="J18" s="281"/>
      <c r="K18" s="285">
        <v>1.5</v>
      </c>
      <c r="L18" s="273">
        <f t="shared" si="0"/>
        <v>0</v>
      </c>
      <c r="M18" s="287">
        <f t="shared" si="1"/>
        <v>0</v>
      </c>
    </row>
    <row r="19" spans="2:13" ht="17.25" customHeight="1" x14ac:dyDescent="0.35">
      <c r="B19" s="285"/>
      <c r="C19" s="288"/>
      <c r="D19" s="277"/>
      <c r="E19" s="273"/>
      <c r="F19" s="273"/>
      <c r="G19" s="273"/>
      <c r="H19" s="343"/>
      <c r="I19" s="274"/>
      <c r="J19" s="281"/>
      <c r="K19" s="285">
        <v>1</v>
      </c>
      <c r="L19" s="273">
        <f t="shared" si="0"/>
        <v>0</v>
      </c>
      <c r="M19" s="287">
        <f t="shared" si="1"/>
        <v>0</v>
      </c>
    </row>
    <row r="20" spans="2:13" ht="17.25" customHeight="1" x14ac:dyDescent="0.35">
      <c r="B20" s="285"/>
      <c r="C20" s="288"/>
      <c r="D20" s="277"/>
      <c r="E20" s="273"/>
      <c r="F20" s="273"/>
      <c r="G20" s="273"/>
      <c r="H20" s="343"/>
      <c r="I20" s="274"/>
      <c r="J20" s="281"/>
      <c r="K20" s="285">
        <v>0</v>
      </c>
      <c r="L20" s="273">
        <f t="shared" si="0"/>
        <v>9</v>
      </c>
      <c r="M20" s="287">
        <f t="shared" si="1"/>
        <v>100</v>
      </c>
    </row>
    <row r="21" spans="2:13" ht="17.25" customHeight="1" x14ac:dyDescent="0.35">
      <c r="B21" s="285"/>
      <c r="C21" s="288"/>
      <c r="D21" s="277"/>
      <c r="E21" s="273"/>
      <c r="F21" s="273"/>
      <c r="G21" s="273"/>
      <c r="H21" s="343"/>
      <c r="I21" s="274"/>
      <c r="J21" s="281"/>
      <c r="K21" s="285" t="s">
        <v>5</v>
      </c>
      <c r="L21" s="273">
        <f t="shared" si="0"/>
        <v>0</v>
      </c>
      <c r="M21" s="287">
        <f t="shared" si="1"/>
        <v>0</v>
      </c>
    </row>
    <row r="22" spans="2:13" ht="17.25" customHeight="1" x14ac:dyDescent="0.35">
      <c r="B22" s="285"/>
      <c r="C22" s="288"/>
      <c r="D22" s="277"/>
      <c r="E22" s="273"/>
      <c r="F22" s="273"/>
      <c r="G22" s="273"/>
      <c r="H22" s="343"/>
      <c r="I22" s="274"/>
      <c r="J22" s="281"/>
      <c r="K22" s="289" t="s">
        <v>175</v>
      </c>
      <c r="L22" s="273">
        <f t="shared" si="0"/>
        <v>0</v>
      </c>
      <c r="M22" s="287">
        <f t="shared" si="1"/>
        <v>0</v>
      </c>
    </row>
    <row r="23" spans="2:13" ht="17.25" customHeight="1" thickBot="1" x14ac:dyDescent="0.4">
      <c r="B23" s="285"/>
      <c r="C23" s="288"/>
      <c r="D23" s="277"/>
      <c r="E23" s="273"/>
      <c r="F23" s="273"/>
      <c r="G23" s="273"/>
      <c r="H23" s="343"/>
      <c r="I23" s="274"/>
      <c r="J23" s="281"/>
      <c r="K23" s="282" t="s">
        <v>34</v>
      </c>
      <c r="L23" s="283">
        <f>SUM(L13:L22)</f>
        <v>9</v>
      </c>
      <c r="M23" s="287">
        <f t="shared" si="1"/>
        <v>100</v>
      </c>
    </row>
    <row r="24" spans="2:13" ht="17.25" customHeight="1" thickBot="1" x14ac:dyDescent="0.4">
      <c r="B24" s="285"/>
      <c r="C24" s="288"/>
      <c r="D24" s="277"/>
      <c r="E24" s="273"/>
      <c r="F24" s="273"/>
      <c r="G24" s="273"/>
      <c r="H24" s="343"/>
      <c r="I24" s="274"/>
      <c r="J24" s="281"/>
    </row>
    <row r="25" spans="2:13" ht="17.25" customHeight="1" x14ac:dyDescent="0.35">
      <c r="B25" s="285"/>
      <c r="C25" s="288"/>
      <c r="D25" s="277"/>
      <c r="E25" s="273"/>
      <c r="F25" s="273"/>
      <c r="G25" s="273"/>
      <c r="H25" s="343"/>
      <c r="I25" s="274"/>
      <c r="J25" s="281"/>
      <c r="K25" s="574" t="s">
        <v>129</v>
      </c>
      <c r="L25" s="575"/>
      <c r="M25" s="576"/>
    </row>
    <row r="26" spans="2:13" ht="17.25" customHeight="1" x14ac:dyDescent="0.35">
      <c r="B26" s="285"/>
      <c r="C26" s="288"/>
      <c r="D26" s="277"/>
      <c r="E26" s="273"/>
      <c r="F26" s="273"/>
      <c r="G26" s="273"/>
      <c r="H26" s="343"/>
      <c r="I26" s="274"/>
      <c r="K26" s="285">
        <v>3</v>
      </c>
      <c r="L26" s="273">
        <f>COUNTIF($G$9:$G$33,K26)</f>
        <v>0</v>
      </c>
      <c r="M26" s="287">
        <f>L26*100/$M$9</f>
        <v>0</v>
      </c>
    </row>
    <row r="27" spans="2:13" ht="17.25" customHeight="1" x14ac:dyDescent="0.35">
      <c r="B27" s="285"/>
      <c r="C27" s="288"/>
      <c r="D27" s="277"/>
      <c r="E27" s="273"/>
      <c r="F27" s="273"/>
      <c r="G27" s="273"/>
      <c r="H27" s="343"/>
      <c r="I27" s="274"/>
      <c r="K27" s="285">
        <v>2</v>
      </c>
      <c r="L27" s="273">
        <f>COUNTIF($G$9:$G$33,K27)</f>
        <v>0</v>
      </c>
      <c r="M27" s="287">
        <f t="shared" ref="M27:M30" si="2">L27*100/$M$9</f>
        <v>0</v>
      </c>
    </row>
    <row r="28" spans="2:13" ht="17.25" customHeight="1" x14ac:dyDescent="0.35">
      <c r="B28" s="285"/>
      <c r="C28" s="288"/>
      <c r="D28" s="277"/>
      <c r="E28" s="273"/>
      <c r="F28" s="273"/>
      <c r="G28" s="273"/>
      <c r="H28" s="343"/>
      <c r="I28" s="274"/>
      <c r="J28" s="297"/>
      <c r="K28" s="285">
        <v>1</v>
      </c>
      <c r="L28" s="273">
        <f>COUNTIF($G$9:$G$33,K28)</f>
        <v>0</v>
      </c>
      <c r="M28" s="287">
        <f t="shared" si="2"/>
        <v>0</v>
      </c>
    </row>
    <row r="29" spans="2:13" ht="17.25" customHeight="1" x14ac:dyDescent="0.35">
      <c r="B29" s="285"/>
      <c r="C29" s="288"/>
      <c r="D29" s="277"/>
      <c r="E29" s="273"/>
      <c r="F29" s="273"/>
      <c r="G29" s="273"/>
      <c r="H29" s="343"/>
      <c r="I29" s="274"/>
      <c r="J29" s="297"/>
      <c r="K29" s="285">
        <v>0</v>
      </c>
      <c r="L29" s="273">
        <f>COUNTIF($G$9:$G$33,K29)</f>
        <v>9</v>
      </c>
      <c r="M29" s="287">
        <f t="shared" si="2"/>
        <v>100</v>
      </c>
    </row>
    <row r="30" spans="2:13" ht="17.25" customHeight="1" thickBot="1" x14ac:dyDescent="0.4">
      <c r="B30" s="285"/>
      <c r="C30" s="288"/>
      <c r="D30" s="277"/>
      <c r="E30" s="273"/>
      <c r="F30" s="273"/>
      <c r="G30" s="273"/>
      <c r="H30" s="343"/>
      <c r="I30" s="274"/>
      <c r="J30" s="297"/>
      <c r="K30" s="282" t="s">
        <v>34</v>
      </c>
      <c r="L30" s="283">
        <f>SUM(L26:L29)</f>
        <v>9</v>
      </c>
      <c r="M30" s="287">
        <f t="shared" si="2"/>
        <v>100</v>
      </c>
    </row>
    <row r="31" spans="2:13" ht="17.25" customHeight="1" thickBot="1" x14ac:dyDescent="0.4">
      <c r="B31" s="285"/>
      <c r="C31" s="288"/>
      <c r="D31" s="277"/>
      <c r="E31" s="273"/>
      <c r="F31" s="273"/>
      <c r="G31" s="273"/>
      <c r="H31" s="343"/>
      <c r="I31" s="274"/>
      <c r="J31" s="297"/>
      <c r="K31" s="281"/>
      <c r="L31" s="281"/>
      <c r="M31" s="281"/>
    </row>
    <row r="32" spans="2:13" ht="17.25" customHeight="1" x14ac:dyDescent="0.35">
      <c r="B32" s="285"/>
      <c r="C32" s="288"/>
      <c r="D32" s="277"/>
      <c r="E32" s="273"/>
      <c r="F32" s="273"/>
      <c r="G32" s="273"/>
      <c r="H32" s="343"/>
      <c r="I32" s="274"/>
      <c r="J32" s="297"/>
      <c r="K32" s="574" t="s">
        <v>202</v>
      </c>
      <c r="L32" s="575"/>
      <c r="M32" s="576"/>
    </row>
    <row r="33" spans="2:13" ht="17.25" customHeight="1" thickBot="1" x14ac:dyDescent="0.4">
      <c r="B33" s="282"/>
      <c r="C33" s="291"/>
      <c r="D33" s="292"/>
      <c r="E33" s="283"/>
      <c r="F33" s="290"/>
      <c r="G33" s="293"/>
      <c r="H33" s="344"/>
      <c r="I33" s="294"/>
      <c r="J33" s="297"/>
      <c r="K33" s="285">
        <v>3</v>
      </c>
      <c r="L33" s="273">
        <f>COUNTIF($H$9:$H$33,K33)</f>
        <v>0</v>
      </c>
      <c r="M33" s="287">
        <f>L33*100/$M$9</f>
        <v>0</v>
      </c>
    </row>
    <row r="34" spans="2:13" ht="17.25" customHeight="1" thickBot="1" x14ac:dyDescent="0.4">
      <c r="B34" s="577" t="s">
        <v>127</v>
      </c>
      <c r="C34" s="578"/>
      <c r="D34" s="578"/>
      <c r="E34" s="295">
        <f>SUM(E9:E33)</f>
        <v>0</v>
      </c>
      <c r="F34" s="296">
        <f>AVERAGE(F9:F33)</f>
        <v>0</v>
      </c>
      <c r="J34" s="297"/>
      <c r="K34" s="285">
        <v>2</v>
      </c>
      <c r="L34" s="273">
        <f>COUNTIF($H$9:$H$33,K34)</f>
        <v>0</v>
      </c>
      <c r="M34" s="287">
        <f t="shared" ref="M34:M37" si="3">L34*100/$M$9</f>
        <v>0</v>
      </c>
    </row>
    <row r="35" spans="2:13" ht="17.25" customHeight="1" x14ac:dyDescent="0.35">
      <c r="B35" s="281"/>
      <c r="C35" s="281"/>
      <c r="D35" s="281"/>
      <c r="E35" s="281"/>
      <c r="F35" s="297"/>
      <c r="J35" s="297"/>
      <c r="K35" s="285">
        <v>1</v>
      </c>
      <c r="L35" s="273">
        <f>COUNTIF($H$9:$H$33,K35)</f>
        <v>0</v>
      </c>
      <c r="M35" s="287">
        <f t="shared" si="3"/>
        <v>0</v>
      </c>
    </row>
    <row r="36" spans="2:13" ht="17.25" customHeight="1" x14ac:dyDescent="0.35">
      <c r="B36" s="263"/>
      <c r="D36" s="261" t="s">
        <v>201</v>
      </c>
      <c r="E36" s="263"/>
      <c r="F36" s="263"/>
      <c r="G36" s="263"/>
      <c r="H36" s="263"/>
      <c r="I36" s="297"/>
      <c r="J36" s="297"/>
      <c r="K36" s="285">
        <v>0</v>
      </c>
      <c r="L36" s="273">
        <f>COUNTIF($H$9:$H$33,K36)</f>
        <v>9</v>
      </c>
      <c r="M36" s="287">
        <f t="shared" si="3"/>
        <v>100</v>
      </c>
    </row>
    <row r="37" spans="2:13" ht="17.25" customHeight="1" thickBot="1" x14ac:dyDescent="0.4">
      <c r="B37" s="263"/>
      <c r="D37" s="281" t="str">
        <f>"("&amp;I5&amp;")"</f>
        <v>(นางสุพรรณี  สุวะศรี)</v>
      </c>
      <c r="E37" s="263"/>
      <c r="F37" s="263"/>
      <c r="G37" s="263"/>
      <c r="H37" s="263"/>
      <c r="I37" s="297"/>
      <c r="K37" s="282" t="s">
        <v>34</v>
      </c>
      <c r="L37" s="273">
        <f>SUM(L33:L36)</f>
        <v>9</v>
      </c>
      <c r="M37" s="287">
        <f t="shared" si="3"/>
        <v>100</v>
      </c>
    </row>
    <row r="38" spans="2:13" ht="17.25" customHeight="1" thickBot="1" x14ac:dyDescent="0.4">
      <c r="B38" s="263"/>
      <c r="C38" s="263"/>
      <c r="D38" s="281" t="s">
        <v>203</v>
      </c>
      <c r="E38" s="263"/>
      <c r="F38" s="263"/>
      <c r="G38" s="263"/>
      <c r="H38" s="263"/>
      <c r="I38" s="297"/>
    </row>
    <row r="39" spans="2:13" ht="24" customHeight="1" x14ac:dyDescent="0.35">
      <c r="B39" s="263"/>
      <c r="D39" s="261" t="s">
        <v>204</v>
      </c>
      <c r="E39" s="263"/>
      <c r="F39" s="263"/>
      <c r="G39" s="263"/>
      <c r="H39" s="263"/>
      <c r="I39" s="297"/>
      <c r="K39" s="565" t="s">
        <v>207</v>
      </c>
      <c r="L39" s="566"/>
      <c r="M39" s="567"/>
    </row>
    <row r="40" spans="2:13" ht="17.25" customHeight="1" x14ac:dyDescent="0.35">
      <c r="B40" s="263"/>
      <c r="D40" s="261" t="s">
        <v>231</v>
      </c>
      <c r="E40" s="263"/>
      <c r="F40" s="263"/>
      <c r="G40" s="263"/>
      <c r="H40" s="263"/>
      <c r="I40" s="297"/>
      <c r="K40" s="285">
        <v>3</v>
      </c>
      <c r="L40" s="273">
        <f>COUNTIF($I$9:$I$33,K40)</f>
        <v>0</v>
      </c>
      <c r="M40" s="287">
        <f>L40*100/$M$9</f>
        <v>0</v>
      </c>
    </row>
    <row r="41" spans="2:13" ht="17.25" customHeight="1" x14ac:dyDescent="0.35">
      <c r="B41" s="263"/>
      <c r="C41" s="263"/>
      <c r="D41" s="281" t="s">
        <v>203</v>
      </c>
      <c r="E41" s="263"/>
      <c r="F41" s="263"/>
      <c r="G41" s="263"/>
      <c r="H41" s="263"/>
      <c r="I41" s="297"/>
      <c r="K41" s="285">
        <v>2</v>
      </c>
      <c r="L41" s="273">
        <f>COUNTIF($I$9:$I$33,K41)</f>
        <v>0</v>
      </c>
      <c r="M41" s="287">
        <f t="shared" ref="M41:M44" si="4">L41*100/$M$9</f>
        <v>0</v>
      </c>
    </row>
    <row r="42" spans="2:13" ht="17.25" customHeight="1" x14ac:dyDescent="0.35">
      <c r="B42" s="263"/>
      <c r="D42" s="261" t="s">
        <v>205</v>
      </c>
      <c r="E42" s="263"/>
      <c r="F42" s="263"/>
      <c r="G42" s="263"/>
      <c r="H42" s="263"/>
      <c r="I42" s="297"/>
      <c r="K42" s="285">
        <v>1</v>
      </c>
      <c r="L42" s="273">
        <f>COUNTIF($I$9:$I$33,K42)</f>
        <v>0</v>
      </c>
      <c r="M42" s="287">
        <f t="shared" si="4"/>
        <v>0</v>
      </c>
    </row>
    <row r="43" spans="2:13" ht="17.25" customHeight="1" x14ac:dyDescent="0.35">
      <c r="B43" s="263"/>
      <c r="D43" s="261" t="s">
        <v>206</v>
      </c>
      <c r="E43" s="263"/>
      <c r="F43" s="263"/>
      <c r="G43" s="263"/>
      <c r="H43" s="263"/>
      <c r="I43" s="297"/>
      <c r="K43" s="285">
        <v>0</v>
      </c>
      <c r="L43" s="273">
        <f>COUNTIF($I$9:$I$33,K43)</f>
        <v>9</v>
      </c>
      <c r="M43" s="287">
        <f t="shared" si="4"/>
        <v>100</v>
      </c>
    </row>
    <row r="44" spans="2:13" ht="17.25" customHeight="1" thickBot="1" x14ac:dyDescent="0.4">
      <c r="D44" s="281" t="s">
        <v>203</v>
      </c>
      <c r="G44" s="263"/>
      <c r="H44" s="263"/>
      <c r="I44" s="297"/>
      <c r="K44" s="282" t="s">
        <v>34</v>
      </c>
      <c r="L44" s="283">
        <f>SUM(L40:L43)</f>
        <v>9</v>
      </c>
      <c r="M44" s="287">
        <f t="shared" si="4"/>
        <v>100</v>
      </c>
    </row>
  </sheetData>
  <mergeCells count="16">
    <mergeCell ref="K39:M39"/>
    <mergeCell ref="K7:M7"/>
    <mergeCell ref="K11:M11"/>
    <mergeCell ref="K25:M25"/>
    <mergeCell ref="B34:D34"/>
    <mergeCell ref="K32:M32"/>
    <mergeCell ref="B7:B8"/>
    <mergeCell ref="C7:C8"/>
    <mergeCell ref="D7:D8"/>
    <mergeCell ref="F7:F8"/>
    <mergeCell ref="G7:I7"/>
    <mergeCell ref="A1:M1"/>
    <mergeCell ref="A2:M2"/>
    <mergeCell ref="A3:M3"/>
    <mergeCell ref="C5:D5"/>
    <mergeCell ref="I5:M5"/>
  </mergeCells>
  <pageMargins left="0.32291666666666669" right="1.0416666666666666E-2" top="0.42708333333333331" bottom="0.32291666666666669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ปก (1)</vt:lpstr>
      <vt:lpstr>เวลาเรียน (2)</vt:lpstr>
      <vt:lpstr>เวลาเรียน (3)</vt:lpstr>
      <vt:lpstr>เวลาเรียน (4)</vt:lpstr>
      <vt:lpstr>เวลาเรียน (5)</vt:lpstr>
      <vt:lpstr>เวลาเรียน (6)</vt:lpstr>
      <vt:lpstr>เวลาเรียน (7)</vt:lpstr>
      <vt:lpstr>ภาค1(8)</vt:lpstr>
      <vt:lpstr>ภาค2 (9)</vt:lpstr>
      <vt:lpstr>สรุปผลรวม (10)</vt:lpstr>
      <vt:lpstr>คุณลักษณะ -อ่าน -สมรรถนะ(11)</vt:lpstr>
      <vt:lpstr>ผลการเรียนรู้ (12)</vt:lpstr>
      <vt:lpstr>คำอธิบายการใช้ (13)</vt:lpstr>
      <vt:lpstr>คำอธิบายการใช้ (14)</vt:lpstr>
      <vt:lpstr>ผลการเรียน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PDK</dc:creator>
  <cp:lastModifiedBy>Acer</cp:lastModifiedBy>
  <cp:lastPrinted>2026-03-11T07:41:36Z</cp:lastPrinted>
  <dcterms:created xsi:type="dcterms:W3CDTF">2017-05-11T21:16:50Z</dcterms:created>
  <dcterms:modified xsi:type="dcterms:W3CDTF">2026-05-12T13:24:17Z</dcterms:modified>
</cp:coreProperties>
</file>