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A3F98C72-0CD6-47E2-8EE4-11CC9BE1BA2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ปก (1)" sheetId="1" r:id="rId1"/>
    <sheet name="เวลาเรียน (2)" sheetId="2" r:id="rId2"/>
    <sheet name="เวลาเรียน (3)" sheetId="16" r:id="rId3"/>
    <sheet name="เวลาเรียน (4)" sheetId="3" r:id="rId4"/>
    <sheet name="หน่วย 1,4 (5)" sheetId="4" r:id="rId5"/>
    <sheet name="หน่วย 5,8 (6)" sheetId="5" r:id="rId6"/>
    <sheet name="หน่วย 9,12 (7)" sheetId="15" r:id="rId7"/>
    <sheet name="สรุปผลรวม (8)" sheetId="8" r:id="rId8"/>
    <sheet name="คุณลักษณะ อ่าน สมรรถนะ (9)" sheetId="9" r:id="rId9"/>
    <sheet name="ผลการเรียนรู้ (10)" sheetId="11" r:id="rId10"/>
    <sheet name="คำอธิบายการใช้ (11)" sheetId="13" r:id="rId11"/>
    <sheet name="คำอธิบายการใช้ (12)" sheetId="14" r:id="rId12"/>
    <sheet name="ผลการเรียน" sheetId="17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7" l="1"/>
  <c r="H24" i="17"/>
  <c r="G24" i="17"/>
  <c r="F24" i="17"/>
  <c r="E24" i="17"/>
  <c r="D24" i="17"/>
  <c r="C24" i="17"/>
  <c r="I23" i="17"/>
  <c r="H23" i="17"/>
  <c r="G23" i="17"/>
  <c r="E23" i="17"/>
  <c r="F23" i="17" s="1"/>
  <c r="D23" i="17"/>
  <c r="C23" i="17"/>
  <c r="I22" i="17"/>
  <c r="H22" i="17"/>
  <c r="G22" i="17"/>
  <c r="F22" i="17"/>
  <c r="E22" i="17"/>
  <c r="D22" i="17"/>
  <c r="C22" i="17"/>
  <c r="I21" i="17"/>
  <c r="H21" i="17"/>
  <c r="G21" i="17"/>
  <c r="F21" i="17"/>
  <c r="E21" i="17"/>
  <c r="D21" i="17"/>
  <c r="C21" i="17"/>
  <c r="I20" i="17"/>
  <c r="H20" i="17"/>
  <c r="G20" i="17"/>
  <c r="F20" i="17"/>
  <c r="E20" i="17"/>
  <c r="D20" i="17"/>
  <c r="C20" i="17"/>
  <c r="I19" i="17"/>
  <c r="H19" i="17"/>
  <c r="G19" i="17"/>
  <c r="E19" i="17"/>
  <c r="F19" i="17" s="1"/>
  <c r="D19" i="17"/>
  <c r="C19" i="17"/>
  <c r="I18" i="17"/>
  <c r="H18" i="17"/>
  <c r="G18" i="17"/>
  <c r="F18" i="17"/>
  <c r="E18" i="17"/>
  <c r="D18" i="17"/>
  <c r="C18" i="17"/>
  <c r="I17" i="17"/>
  <c r="H17" i="17"/>
  <c r="G17" i="17"/>
  <c r="F17" i="17"/>
  <c r="E17" i="17"/>
  <c r="D17" i="17"/>
  <c r="C17" i="17"/>
  <c r="I16" i="17"/>
  <c r="H16" i="17"/>
  <c r="G16" i="17"/>
  <c r="F16" i="17"/>
  <c r="E16" i="17"/>
  <c r="D16" i="17"/>
  <c r="C16" i="17"/>
  <c r="I15" i="17"/>
  <c r="H15" i="17"/>
  <c r="G15" i="17"/>
  <c r="E15" i="17"/>
  <c r="F15" i="17" s="1"/>
  <c r="D15" i="17"/>
  <c r="C15" i="17"/>
  <c r="I14" i="17"/>
  <c r="H14" i="17"/>
  <c r="G14" i="17"/>
  <c r="F14" i="17"/>
  <c r="E14" i="17"/>
  <c r="D14" i="17"/>
  <c r="C14" i="17"/>
  <c r="I13" i="17"/>
  <c r="H13" i="17"/>
  <c r="G13" i="17"/>
  <c r="F13" i="17"/>
  <c r="E13" i="17"/>
  <c r="D13" i="17"/>
  <c r="C13" i="17"/>
  <c r="I12" i="17"/>
  <c r="H12" i="17"/>
  <c r="G12" i="17"/>
  <c r="F12" i="17"/>
  <c r="E12" i="17"/>
  <c r="D12" i="17"/>
  <c r="C12" i="17"/>
  <c r="I11" i="17"/>
  <c r="L43" i="17" s="1"/>
  <c r="M43" i="17" s="1"/>
  <c r="H11" i="17"/>
  <c r="G11" i="17"/>
  <c r="E11" i="17"/>
  <c r="F11" i="17" s="1"/>
  <c r="D11" i="17"/>
  <c r="C11" i="17"/>
  <c r="I10" i="17"/>
  <c r="H10" i="17"/>
  <c r="L35" i="17" s="1"/>
  <c r="M35" i="17" s="1"/>
  <c r="G10" i="17"/>
  <c r="F10" i="17"/>
  <c r="E10" i="17"/>
  <c r="D10" i="17"/>
  <c r="C10" i="17"/>
  <c r="I9" i="17"/>
  <c r="L42" i="17" s="1"/>
  <c r="M42" i="17" s="1"/>
  <c r="H9" i="17"/>
  <c r="L36" i="17" s="1"/>
  <c r="M36" i="17" s="1"/>
  <c r="G9" i="17"/>
  <c r="L29" i="17" s="1"/>
  <c r="M29" i="17" s="1"/>
  <c r="F9" i="17"/>
  <c r="E9" i="17"/>
  <c r="E26" i="17" s="1"/>
  <c r="D9" i="17"/>
  <c r="C9" i="17"/>
  <c r="I5" i="17"/>
  <c r="D32" i="17" s="1"/>
  <c r="F5" i="17"/>
  <c r="C5" i="17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AX4" i="3"/>
  <c r="AX5" i="3" s="1"/>
  <c r="O22" i="1"/>
  <c r="N22" i="1"/>
  <c r="M22" i="1"/>
  <c r="L22" i="1"/>
  <c r="K22" i="1"/>
  <c r="J22" i="1"/>
  <c r="I22" i="1"/>
  <c r="H22" i="1"/>
  <c r="G22" i="1"/>
  <c r="F22" i="1"/>
  <c r="E22" i="1"/>
  <c r="D22" i="1"/>
  <c r="P18" i="1"/>
  <c r="N18" i="1"/>
  <c r="M18" i="1"/>
  <c r="L18" i="1"/>
  <c r="K18" i="1"/>
  <c r="J18" i="1"/>
  <c r="I18" i="1"/>
  <c r="H18" i="1"/>
  <c r="G18" i="1"/>
  <c r="F18" i="1"/>
  <c r="E18" i="1"/>
  <c r="D18" i="1"/>
  <c r="C18" i="1"/>
  <c r="A18" i="1"/>
  <c r="A22" i="1" s="1"/>
  <c r="L18" i="17" l="1"/>
  <c r="M18" i="17" s="1"/>
  <c r="L14" i="17"/>
  <c r="M14" i="17" s="1"/>
  <c r="L22" i="17"/>
  <c r="M22" i="17" s="1"/>
  <c r="L20" i="17"/>
  <c r="M20" i="17" s="1"/>
  <c r="L13" i="17"/>
  <c r="L17" i="17"/>
  <c r="M17" i="17" s="1"/>
  <c r="L21" i="17"/>
  <c r="M21" i="17" s="1"/>
  <c r="F26" i="17"/>
  <c r="L33" i="17"/>
  <c r="L41" i="17"/>
  <c r="M41" i="17" s="1"/>
  <c r="L26" i="17"/>
  <c r="L28" i="17"/>
  <c r="M28" i="17" s="1"/>
  <c r="L15" i="17"/>
  <c r="M15" i="17" s="1"/>
  <c r="L19" i="17"/>
  <c r="M19" i="17" s="1"/>
  <c r="L34" i="17"/>
  <c r="M34" i="17" s="1"/>
  <c r="L40" i="17"/>
  <c r="L16" i="17"/>
  <c r="M16" i="17" s="1"/>
  <c r="L27" i="17"/>
  <c r="M27" i="17" s="1"/>
  <c r="M40" i="17" l="1"/>
  <c r="L44" i="17"/>
  <c r="M44" i="17" s="1"/>
  <c r="M26" i="17"/>
  <c r="L30" i="17"/>
  <c r="M30" i="17" s="1"/>
  <c r="M33" i="17"/>
  <c r="L37" i="17"/>
  <c r="M37" i="17" s="1"/>
  <c r="L23" i="17"/>
  <c r="M23" i="17" s="1"/>
  <c r="M13" i="17"/>
</calcChain>
</file>

<file path=xl/sharedStrings.xml><?xml version="1.0" encoding="utf-8"?>
<sst xmlns="http://schemas.openxmlformats.org/spreadsheetml/2006/main" count="3607" uniqueCount="269">
  <si>
    <t>สมุดบันทึกผลการพัฒนาคุณภาพผู้เรียนรายวิชา (ปพ.5)</t>
  </si>
  <si>
    <t>โรงเรียนบ้านขัวก่าย  อำเภอวานรนิวาส  จังหวัดสกลนคร</t>
  </si>
  <si>
    <t>สังกัด  สำนักงานเขตพื้นที่การศึกษาประถมศึกษาสกลนคร  เขต  3</t>
  </si>
  <si>
    <t>สำนักงานคณะกรรมการการศึกษาขั้นพื้นฐาน     กระทรวงศึกษาธิการ</t>
  </si>
  <si>
    <t>ภาคเรียนที่  2</t>
  </si>
  <si>
    <t xml:space="preserve">ปีการศึกษา </t>
  </si>
  <si>
    <t>รายวิชา</t>
  </si>
  <si>
    <t>คอมพิวเตอร์</t>
  </si>
  <si>
    <t>รหัสวิชา</t>
  </si>
  <si>
    <t>ว23201</t>
  </si>
  <si>
    <t>เวลาเรียน</t>
  </si>
  <si>
    <t>ชั่วโมง / สัปดาห์</t>
  </si>
  <si>
    <t>จำนวนหน่วยการเรียน</t>
  </si>
  <si>
    <t>หน่วยกิต</t>
  </si>
  <si>
    <t>ครูผู้สอน</t>
  </si>
  <si>
    <t>นายวรวุฒิ มุงธิสาร</t>
  </si>
  <si>
    <t xml:space="preserve">ครูที่ปรึกษา </t>
  </si>
  <si>
    <t>นางสุดาพร คำเกาะ</t>
  </si>
  <si>
    <t>นายกัลป์วรรษ ดกเอียร์</t>
  </si>
  <si>
    <t>จำนวนนักเรียนทั้งหมด</t>
  </si>
  <si>
    <t>สรุปผลการเรียน</t>
  </si>
  <si>
    <t>จำนวนนักเรียนที่ได้ระดับผลการเรียน</t>
  </si>
  <si>
    <t>นักเรียนที่มีผลการเรียน</t>
  </si>
  <si>
    <t>ผลการเรียนเฉลี่ย</t>
  </si>
  <si>
    <t xml:space="preserve">ค่าเบี่ยงเบนมาตรฐาน </t>
  </si>
  <si>
    <t>ร</t>
  </si>
  <si>
    <t>มส</t>
  </si>
  <si>
    <t>มก</t>
  </si>
  <si>
    <t>(X-bar)</t>
  </si>
  <si>
    <t>(SD)</t>
  </si>
  <si>
    <t>ผลการประเมินคุณลักษณะอันพึงประสงค์</t>
  </si>
  <si>
    <t>ผลการประเมินการอ่านคิดวิเคราะห์และเขียนสื่อความ</t>
  </si>
  <si>
    <t>ผลการประเมินสมรรถนะสำคัญของผู้เรียน</t>
  </si>
  <si>
    <t>อนุมัติผลการเรียน</t>
  </si>
  <si>
    <t>ลงชื่อ……………………………………..ครูผู้สอน</t>
  </si>
  <si>
    <t>ลงชื่อ……………………………………หัวหน้ากลุ่มสาระการเรียนรู้</t>
  </si>
  <si>
    <t>ลงชื่อ…………………………………...………เจ้าหน้าที่วัดผลและประเมินผล</t>
  </si>
  <si>
    <t>ลงชื่อ………………………..…………...….…หัวหน้างานวัดผลและประเมินผล</t>
  </si>
  <si>
    <t>เรียนเสนอเพื่อพิจารณา</t>
  </si>
  <si>
    <t>ลงชื่อ……………………………………………..</t>
  </si>
  <si>
    <t>หัวหน้ากลุ่มงานวิชาการ</t>
  </si>
  <si>
    <t>☐</t>
  </si>
  <si>
    <t>อนุมัติ</t>
  </si>
  <si>
    <t>ไม่อนุมัติ</t>
  </si>
  <si>
    <t>ผู้อำนวยการโรงเรียนบ้านขัวก่าย</t>
  </si>
  <si>
    <t>………/…………/……….</t>
  </si>
  <si>
    <t>เลขที่</t>
  </si>
  <si>
    <t>เลขประจำตัว</t>
  </si>
  <si>
    <t>ชื่อ  - สกุล</t>
  </si>
  <si>
    <t>เดือน</t>
  </si>
  <si>
    <t>พ.ย.</t>
  </si>
  <si>
    <t>ธ.ค.</t>
  </si>
  <si>
    <t>สัปดาห์ที่</t>
  </si>
  <si>
    <t>วันที่</t>
  </si>
  <si>
    <t>ชั่วโมงที่</t>
  </si>
  <si>
    <t>4833</t>
  </si>
  <si>
    <t>เด็กชายพงษ์ศิริ พิมโยธา</t>
  </si>
  <si>
    <t/>
  </si>
  <si>
    <t>4832</t>
  </si>
  <si>
    <t>เด็กชายพงศ์พิเชษฐ์ มาสีปา</t>
  </si>
  <si>
    <t>4836</t>
  </si>
  <si>
    <t>เด็กชายรพีภัทร แสดคง</t>
  </si>
  <si>
    <t>4837</t>
  </si>
  <si>
    <t>เด็กชายวัชรากร โพธิ์ศรี</t>
  </si>
  <si>
    <t>4897</t>
  </si>
  <si>
    <t>เด็กชายธนกฤต ดกเอียร์</t>
  </si>
  <si>
    <t>4927</t>
  </si>
  <si>
    <t>เด็กชายขัตติยะ ไตรวงค์ย้อย</t>
  </si>
  <si>
    <t>4835</t>
  </si>
  <si>
    <t>เด็กชายภูวนัตถ์ บุญมาก</t>
  </si>
  <si>
    <t>4842</t>
  </si>
  <si>
    <t>เด็กหญิงบงกช แสงนนท์</t>
  </si>
  <si>
    <t>4838</t>
  </si>
  <si>
    <t>เด็กหญิงกุลฑีรา มังฉกรรจ์</t>
  </si>
  <si>
    <t>4845</t>
  </si>
  <si>
    <t>เด็กหญิงสุชาวดี ไฮวัง</t>
  </si>
  <si>
    <t>4846</t>
  </si>
  <si>
    <t>เด็กหญิงธนิดา แก้วมุงคุณ</t>
  </si>
  <si>
    <t>4840</t>
  </si>
  <si>
    <t>เด็กหญิงธัญญารัตน์ ไชยเทพ</t>
  </si>
  <si>
    <t>4841</t>
  </si>
  <si>
    <t>เด็กหญิงนภัสสร ประฮาดไชย</t>
  </si>
  <si>
    <t>4843</t>
  </si>
  <si>
    <t>เด็กหญิงมณีญานันท์ คำปัญโญ</t>
  </si>
  <si>
    <t>5012</t>
  </si>
  <si>
    <t>เด็กหญิงธัญชนก อินทรภูมิ</t>
  </si>
  <si>
    <t>5013</t>
  </si>
  <si>
    <t>เด็กชายนันทกร ปรางค์ทอง</t>
  </si>
  <si>
    <t>ม.ค.</t>
  </si>
  <si>
    <t>ก.พ.</t>
  </si>
  <si>
    <t>ข</t>
  </si>
  <si>
    <t>มี.ค.</t>
  </si>
  <si>
    <t>รวม</t>
  </si>
  <si>
    <t>ปลาย</t>
  </si>
  <si>
    <t>ล</t>
  </si>
  <si>
    <t>หน่วยการเรียนรู้ที่</t>
  </si>
  <si>
    <t>ตัวชี้วัด/ผลการเรียนรู้</t>
  </si>
  <si>
    <t>ซ่อมเสริม</t>
  </si>
  <si>
    <t xml:space="preserve">แผน / ข้อที่ </t>
  </si>
  <si>
    <t>สรุปผลการประเมินคุณภาพผู้เรียน</t>
  </si>
  <si>
    <t>คะแนนรวม</t>
  </si>
  <si>
    <t>คะแนนหน่วยที่</t>
  </si>
  <si>
    <t>สอบ</t>
  </si>
  <si>
    <t>ผลการประเมิน</t>
  </si>
  <si>
    <t>กลาง</t>
  </si>
  <si>
    <t>ระดับ</t>
  </si>
  <si>
    <t>หน่วยการเรียนรู้</t>
  </si>
  <si>
    <t>ภาค</t>
  </si>
  <si>
    <t>ผล</t>
  </si>
  <si>
    <t>ผลการประเมินคุณภาพผู้เรียน</t>
  </si>
  <si>
    <t>คุณลักษณะอันพึงประสงค์</t>
  </si>
  <si>
    <t xml:space="preserve">การอ่าน การคิดวิเคราะห์ และเขียนสื่อความ </t>
  </si>
  <si>
    <t>สมรรถนะสำคัญของผู้เรียน</t>
  </si>
  <si>
    <t>หน่วย</t>
  </si>
  <si>
    <t>1. รักชาติศาสน์กษัตริย์</t>
  </si>
  <si>
    <t>2.ซื่อสัตย์สุจริต</t>
  </si>
  <si>
    <t>3. วินัย</t>
  </si>
  <si>
    <t>4.ใฝ่เรียนรู้</t>
  </si>
  <si>
    <t>5.อยู่อย่างพอเพียง</t>
  </si>
  <si>
    <t>6.มุ่งมั่นทำงาน</t>
  </si>
  <si>
    <t>7. รักความเป็นไทย</t>
  </si>
  <si>
    <t>8.มีจิตสาธารณะ</t>
  </si>
  <si>
    <t>สรุปผลรวม</t>
  </si>
  <si>
    <t>หมายเหตุ</t>
  </si>
  <si>
    <t>1. การคัดสรรสื่อ</t>
  </si>
  <si>
    <t>2. จับประเด็นสำคัญ</t>
  </si>
  <si>
    <t>3. วิเคราะห์ วิจารณ์</t>
  </si>
  <si>
    <t>4. สรุปคุณค่า แง่คิดที่ดี</t>
  </si>
  <si>
    <t>5. สรุปอภิปรายขยายความ</t>
  </si>
  <si>
    <t>1. การสื่อสาร</t>
  </si>
  <si>
    <t>2. การคิด</t>
  </si>
  <si>
    <t>3. การแก้ปัญหา</t>
  </si>
  <si>
    <t>4. การใช้ทักษะชีวิต</t>
  </si>
  <si>
    <t>5. การใช้เทคโนโลยี</t>
  </si>
  <si>
    <t>ชื่อ-สกุล</t>
  </si>
  <si>
    <t>ผลการเรียนรู้/ตัวชี้วัด (แยกหน่วย พร้อมระบุมาตรฐานการเรียนรู้)</t>
  </si>
  <si>
    <t xml:space="preserve">รายวิชา </t>
  </si>
  <si>
    <t>คำอธิบายการใช้   ปพ.5    โรงเรียนบ้านขัวก่าย</t>
  </si>
  <si>
    <t>การบันทึกข้อมูลนักเรียน-เวลาเรียน</t>
  </si>
  <si>
    <t>ชั่วโมงที่  ให้เขียนชั่วโมงที่สอนโดยนับต่อเนื่องกันไป จนสิ้นภาคเรียน เช่น  1,2,3,...,40 หรือ  1-2,3,4-5,6,...,60</t>
  </si>
  <si>
    <t>การบันทึกเวลาเรียน  ให้บันทึกรายละเอียดดังนี้</t>
  </si>
  <si>
    <r>
      <t xml:space="preserve">2.1  ผู้มาเรียน  ให้เขียนเครื่องหมาย  </t>
    </r>
    <r>
      <rPr>
        <b/>
        <sz val="11"/>
        <rFont val="TH SarabunPSK"/>
        <family val="2"/>
      </rPr>
      <t>/</t>
    </r>
    <r>
      <rPr>
        <sz val="11"/>
        <rFont val="TH SarabunPSK"/>
        <family val="2"/>
      </rPr>
      <t xml:space="preserve">   ส่วนผู้ไม่มาเรียนให้ทำเครื่องหมาย 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ด้วยหมึกสีแดง  และระบุสาเหตุที่ไม่เข้า เช่น  ลาป่วย "ป" ลากิจ "ล"  ด้วยหมึกสีน้ำเงินหรือสีดำ </t>
    </r>
  </si>
  <si>
    <r>
      <t xml:space="preserve">ลงใน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แล้วแต่กรณี  ถ้าขาดหรือไม่ทราบสาเหตุให้ทำเครื่องหมาย  </t>
    </r>
    <r>
      <rPr>
        <b/>
        <sz val="11"/>
        <rFont val="TH SarabunPSK"/>
        <family val="2"/>
      </rPr>
      <t>O</t>
    </r>
    <r>
      <rPr>
        <sz val="11"/>
        <rFont val="TH SarabunPSK"/>
        <family val="2"/>
      </rPr>
      <t xml:space="preserve">  </t>
    </r>
  </si>
  <si>
    <t xml:space="preserve">2.2  ถ้านักเรียนถูกพักการเรียนหรือย้ายหรือออกกลางคัน  ให้ขีดเส้นแดงทับช่องตรงรายชื่อแล้วระบุสาเหตุไว้ที่ช่องหมายเหตุ ยกเว้นถูกสั่งพักการเรียนชั่วคราว </t>
  </si>
  <si>
    <t>(3,5,7 วัน โดยยังไม่ลาออก)  ให้ปฏิบัติเหมือนกับการขาดเรียน</t>
  </si>
  <si>
    <t xml:space="preserve">2.3  เมื่อสิ้นสุดสัปดาห์ที่ 5,10,15,18 และสิ้นสุดภาคเรียน  ให้สรุปเวลามาเรียนไว้ในช่องรวมเวลารายภาค  ถ้านักเรียนคนใดมีเวลาเรียนน้อยกว่าร้อยละ  80  ของรายวิชานั้นๆ </t>
  </si>
  <si>
    <t>ให้เขียนเวลาเรียนรวมด้วยหมึกสีแดง</t>
  </si>
  <si>
    <t>การบันทึกการพัฒนาคุณภาพผู้เรียน</t>
  </si>
  <si>
    <t>ให้เขียนผลการเรียนรู้ไว้ในหน้าที่  10  โดยแยกเป็นหน่วยและระบุมาตรฐานการเรียนรู้กลุ่มสาระหรือตัวชี้วัดให้ชัดเจน</t>
  </si>
  <si>
    <t>ให้เขียนมาตรฐานการเรียนรู้กลุ่มสาระ ตัวชี้วัดหรือผลการเรียนรู้โดยแยกเป็นหน่วยให้ชัดเจน  ไว้ในหน้า  10  และกำหนดรายละเอียดการประเมินผล เป็นคะแนนในช่องวิธีการวัดผล</t>
  </si>
  <si>
    <t>ในแต่ละข้อ ตามแผนการจัดการเรียนรู้</t>
  </si>
  <si>
    <t>การบันทึกผลการประเมินคุณภาพผู้เรียนรายภาค    มีรายละเอียดดังนี้</t>
  </si>
  <si>
    <t>3.1  เขียนหมายเลขข้อผลการเรียนรู้หรือตัวชี้วัดและน้ำหนักคะแนนรวมในแต่ละข้อ (หน้า 5-7) และในช่องรวมให้เขียนคะแนนเต็ม สำหรับช่องซ่อมเสริมให้เขียนคะแนนตามเกณฑ์ผ่าน</t>
  </si>
  <si>
    <t>คือ  ร้อยละ  60  ของคะแนนเต็ม</t>
  </si>
  <si>
    <t>3.2  ให้กรอกคะแนนตามที่นักเรียนได้จริง  ถ้าคะแนนไม่ผ่านเกณฑ์ (ต่ำกว่าร้อยละ 60) ให้ลงด้วยดินสอไว้ก่อนเมื่อซ่อมเสริมเสร็จ และผ่านเกณฑ์การประเมินจึงลงคะแนนด้วยปากกา</t>
  </si>
  <si>
    <t>3.3 ถ้าผลการประเมินไม่ผ่านให้สอนซ่อมเสริม เพื่อให้นักเรียนมีความรู้ความสามารถตามเกณฑ์ของแต่ละผลการเรียนรู้ เมื่อสอบแก้ตัวเสร็จแล้วให้กรอกคะแนนตามเกณฑ์ที่สถานศึกษา</t>
  </si>
  <si>
    <t>กำหนด (ไม่น้อยกว่าร้อยละ 60)</t>
  </si>
  <si>
    <t xml:space="preserve">การสรุปผลการประเมินคุณภาพผู้เรียนในหน้า  8  ให้นำคะแนนแต่ละหน่วยจากหน้า 5-7  บันทึกลงในช่องรายหน่วย แล้วรวมกับคะแนนสอบกลางภาคและคะแนนสอบปลายภาค  </t>
  </si>
  <si>
    <t>เปลี่ยนระดับคะแนนที่ได้เป็นผลการเรียน  โดยใช้ช่วงระดับคะแนนดังนี้</t>
  </si>
  <si>
    <t>ช่วงคะแนนเป็นร้อยละ</t>
  </si>
  <si>
    <t>ระดับผลการเรียน</t>
  </si>
  <si>
    <t>80 - 100</t>
  </si>
  <si>
    <t>75 - 79</t>
  </si>
  <si>
    <t>70 - 74</t>
  </si>
  <si>
    <t>65 - 69</t>
  </si>
  <si>
    <t>60 - 64</t>
  </si>
  <si>
    <t>55 - 59</t>
  </si>
  <si>
    <t>50 - 54</t>
  </si>
  <si>
    <t>0  -  49</t>
  </si>
  <si>
    <r>
      <t xml:space="preserve">สรุปจำนวนนักเรียนที่ได้ผลการเรียน  </t>
    </r>
    <r>
      <rPr>
        <b/>
        <sz val="11"/>
        <rFont val="TH SarabunPSK"/>
        <family val="2"/>
      </rPr>
      <t xml:space="preserve">4, 3.5, 3, 2.5, 2, 1.5, 1, 0 </t>
    </r>
    <r>
      <rPr>
        <sz val="11"/>
        <rFont val="TH SarabunPSK"/>
        <family val="2"/>
      </rPr>
      <t xml:space="preserve"> หรือ "</t>
    </r>
    <r>
      <rPr>
        <b/>
        <sz val="11"/>
        <rFont val="TH SarabunPSK"/>
        <family val="2"/>
      </rPr>
      <t>ร</t>
    </r>
    <r>
      <rPr>
        <sz val="11"/>
        <rFont val="TH SarabunPSK"/>
        <family val="2"/>
      </rPr>
      <t>" , "</t>
    </r>
    <r>
      <rPr>
        <b/>
        <sz val="11"/>
        <rFont val="TH SarabunPSK"/>
        <family val="2"/>
      </rPr>
      <t>มส</t>
    </r>
    <r>
      <rPr>
        <sz val="11"/>
        <rFont val="TH SarabunPSK"/>
        <family val="2"/>
      </rPr>
      <t>" ,"</t>
    </r>
    <r>
      <rPr>
        <b/>
        <sz val="11"/>
        <rFont val="TH SarabunPSK"/>
        <family val="2"/>
      </rPr>
      <t>มก</t>
    </r>
    <r>
      <rPr>
        <sz val="11"/>
        <rFont val="TH SarabunPSK"/>
        <family val="2"/>
      </rPr>
      <t>" ไว้ในช่องสรุปผลการเรียน (หน้าแรก)</t>
    </r>
  </si>
  <si>
    <t>การบันทึกผลการประเมินคุณลักษณะอันพึงประสงค์</t>
  </si>
  <si>
    <t>การประเมินคุณลักษณะอันพึงประสงค์ให้ประเมินควบคู่ไปกับการประเมินผลการเรียนในแต่ละกิจกรรมในหน่วยการเรียนรู้ประเมินตามคุณลักษณะอันพึงประสงค์ตามที่</t>
  </si>
  <si>
    <t>สำนักงานคณะกรรมการการศึกษาขั้นพื้นฐานกำหนดไว้ จำนวน  8  ข้อ (อยู่ในหน้า 9)</t>
  </si>
  <si>
    <t>ให้เขียนระดับการประเมินในแต่ละข้อ ลงในหน้า 9   โดยยึดการประเมินตามหลักสูตรแกนกลางการศึกษาขั้นพื้นฐาน พุทธศักราช 2551 (หน้า12)</t>
  </si>
  <si>
    <t>การสรุปผลการประเมิน ให้นำช่องสรุปของทุกข้อมาหาฐานนิยมและกรอกลงในช่องสรุปผล</t>
  </si>
  <si>
    <t>ระดับของการประเมิน  มีความหมายดังนี้</t>
  </si>
  <si>
    <t>ความหมาย</t>
  </si>
  <si>
    <t xml:space="preserve"> ดีเยี่ยม   </t>
  </si>
  <si>
    <t>มีพฤติกรรมสูงกว่าเกณฑ์ในระดับดีเยี่ยม</t>
  </si>
  <si>
    <t xml:space="preserve"> ดี     </t>
  </si>
  <si>
    <t>มีพฤติกรรมสูงกว่าเกณฑ์ที่สถานศึกษากำหนด</t>
  </si>
  <si>
    <t>ผ่านเกณฑ์</t>
  </si>
  <si>
    <t>มีพฤติกรรมตามเกณฑ์ที่สถานศึกษากำหนด</t>
  </si>
  <si>
    <t xml:space="preserve"> ควรปรับปรุง   </t>
  </si>
  <si>
    <t xml:space="preserve"> มีพฤติกรรมบางประการที่ต้องปรับปรุง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</si>
  <si>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 xml:space="preserve">ให้ดำเนินการปรับปรุงพฤติกรรมของผู้เรียนให้ผ่าน  และแก้ไขให้ได้ระดับไม่เกิน  1 </t>
    </r>
  </si>
  <si>
    <t>สรุปจำนวนนักเรียนที่มีผลการประเมิน  3,2,1,0  ไว้ในช่องผลการประเมินคุณลักษณะอันพึงประสงค์ (หน้าแรก)</t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</si>
  <si>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ให้ดำเนินการปรับปรุงพฤติกรรมของผู้เรียนให้ผ่านในภาคเรียนถัดไป</t>
    </r>
  </si>
  <si>
    <t>การบันทึกผลการประเมินการอ่าน   คิดวิเคราะห์  และเขียนสื่อความ</t>
  </si>
  <si>
    <t>ให้ประเมินทักษะการอ่าน   คิดวิเคราะห์   และเขียนสื่อความ    ตามที่สำนักงานคณะกรรมการการศึกษาขั้นพื้นฐานกำหนดไว้ จำนวน 5  ข้อ (อยู่ในหน้า 9)</t>
  </si>
  <si>
    <t>การประเมินการอ่าน  คิดวิเคราะห์  และเขียนสื่อความ ให้ประเมินด้วยวิธีการที่หลากหลายที่สะท้อนถึงการอ่าน  คิดวิเคราะห์ และเขียนสื่อความ  โดยประเมินควบคู่ไปกับ</t>
  </si>
  <si>
    <t xml:space="preserve">การประเมินผลการเรียนในแต่ละกิจกรรมในหน่วยการเรียนรู้  </t>
  </si>
  <si>
    <t>ให้เขียนระดับการประเมินในแต่ละข้อ ลงในหน้า  9</t>
  </si>
  <si>
    <r>
      <t>การสรุปผลการประเมิน ให้นำช่องสรุปของทุกข้อมาหา</t>
    </r>
    <r>
      <rPr>
        <b/>
        <sz val="11"/>
        <rFont val="TH SarabunPSK"/>
        <family val="2"/>
      </rPr>
      <t>ฐานนิยม</t>
    </r>
    <r>
      <rPr>
        <sz val="11"/>
        <rFont val="TH SarabunPSK"/>
        <family val="2"/>
      </rPr>
      <t>และกรอกลงในช่องสรุปผล</t>
    </r>
  </si>
  <si>
    <t>มีความสามารถในระดับดีเยี่ยม</t>
  </si>
  <si>
    <t>มีความสามารถในระดับดี</t>
  </si>
  <si>
    <t>มีความสามารถตามเกณฑ์ที่สถานศึกษากำหนด</t>
  </si>
  <si>
    <t xml:space="preserve"> ควรปรับปรุง</t>
  </si>
  <si>
    <r>
      <t xml:space="preserve">กรณีที่ผู้เรียนมีผลการประเมินย่อยเป็น  </t>
    </r>
    <r>
      <rPr>
        <b/>
        <sz val="11"/>
        <rFont val="TH SarabunPSK"/>
        <family val="2"/>
      </rPr>
      <t xml:space="preserve">0   </t>
    </r>
    <r>
      <rPr>
        <sz val="11"/>
        <rFont val="TH SarabunPSK"/>
        <family val="2"/>
      </rPr>
      <t xml:space="preserve"> ให้ดำเนินการปรับปรุงพัฒนาทักษะการอ่าน  คิดวิเคราะห์และเขียนสื่อความของผู้เรียนให้ผ่านเกณฑ์และแก้ไขได้ระดับไม่เกิน  1</t>
    </r>
  </si>
  <si>
    <t>สรุปจำนวนนักเรียนที่มีผลการประเมิน 3,2,1,0   ไว้ในช่องผลการประเมินการอ่าน  คิดวิเคราะห์  และเขียนสื่อความ (หน้าแรก)</t>
  </si>
  <si>
    <r>
      <t xml:space="preserve">กรณีที่ผู้เรียนมีผลการประเมินรวมเป็น  </t>
    </r>
    <r>
      <rPr>
        <b/>
        <sz val="11"/>
        <rFont val="TH SarabunPSK"/>
        <family val="2"/>
      </rPr>
      <t xml:space="preserve">0  </t>
    </r>
    <r>
      <rPr>
        <sz val="11"/>
        <rFont val="TH SarabunPSK"/>
        <family val="2"/>
      </rPr>
      <t>ให้ดำเนินการปรับปรุงพัฒนาทักษะการอ่าน  คิดวิเคราะห์และเขียนสื่อความของผู้เรียน ให้ผ่านเกณฑ์ในภาคเรียนถัดไป</t>
    </r>
  </si>
  <si>
    <t>คุณลักษณะอันพึงประสงค์  ตามหลักสูตรแกนกลางการศึกษาขั้นพื้นฐาน  พุทธศักราช  2551</t>
  </si>
  <si>
    <t>คุณลักษณะที่พึงประสงค์</t>
  </si>
  <si>
    <t>ตัวชี้วัด</t>
  </si>
  <si>
    <t>1.  รักชาติ  ศาสน์  กษัตริย์</t>
  </si>
  <si>
    <t>1.1  เป็นพลเมืองดีของชาติ</t>
  </si>
  <si>
    <t>1.2  ธำรงไว้ซึ่งความเป็นชาติไทย</t>
  </si>
  <si>
    <t>1.3  ศรัทธา  ยึดมั่น  และปฏิบัติตนตามหลักของศาสนา</t>
  </si>
  <si>
    <t>1.4  เคารพเทิดทูนพระมหากษัตริย์</t>
  </si>
  <si>
    <t>2.  ซื่อสัตย์สุจริต</t>
  </si>
  <si>
    <t>2.1  ประพฤติตนตามความเป็นจริงต่อตนเอง  ทั้งกาย  วาจา  ใจ</t>
  </si>
  <si>
    <t>2.2  ประพฤติตนตามความเป็นจริงต่อผู้อื่น  ทั้งกาย  วาจา  ใจ</t>
  </si>
  <si>
    <t>3.  มีวินัย</t>
  </si>
  <si>
    <t>3.1  ปฏิบัติตามข้อตกลง  กฎเกณฑ์  ระเบียบ  ข้อบังคับของครอบครัว  โรงเรียนและสังคม</t>
  </si>
  <si>
    <t>4.  ใฝ่เรียนรู้</t>
  </si>
  <si>
    <t>4.1  ตั้งใจ  เพียรพยายามในการเรียนและเข้าร่วมกิจกรรมการเรียนรู้</t>
  </si>
  <si>
    <t xml:space="preserve">4.2  แสวงหาความรู้จากแหล่งเรียนรู้ต่างๆ ทั้งภายในและภายนอกโรงเรียน  ด้วยการเลือกสื่ออย่างเหมาะสม  บันทึกความรู้  </t>
  </si>
  <si>
    <t xml:space="preserve">       วิเคราะห์  สรุปเป็นองค์ความรู้ สามารถนำไปใช้นีวิตประจำวันได้</t>
  </si>
  <si>
    <t>5.  อยู่อย่างพอเพียง</t>
  </si>
  <si>
    <t>5.1  ดำเนินชีวิตอย่างพอประมาณ  มีเหตุผล  รอบคอบ  มีคุณธรรม</t>
  </si>
  <si>
    <t>5.2  มีภูมิคุ้มกันในตัวที่ดี  เพื่อปรับตัวอยู่ในสังคมได้อย่างมีความสุข</t>
  </si>
  <si>
    <t>6.  มุ่งมั่นในการทำงาน</t>
  </si>
  <si>
    <t>6.1  ตั้งใจและรับผิดชอบในการปฏิบัติหน้าที่การงาน</t>
  </si>
  <si>
    <t>6.2  ทำงานด้วยความเพียรพยายามและอดทนเพื่อให้งานสำเร็จตามเป้าหมาย</t>
  </si>
  <si>
    <t>7.  รักความเป็นไทย</t>
  </si>
  <si>
    <t>7.1  ภาคภูมิใจในขนบธรรมเนียมประเพณี  ศิลปะ  วัฒนธรรมไทย  มีความกตัญญูกตเวที</t>
  </si>
  <si>
    <t>7.2  เห็นคุณค่าและใช้ภาษาไทยในการสื่อสารได้อย่างถูกต้อง  เหมาะสม</t>
  </si>
  <si>
    <t>7.3  อนุรักษ์และสืบทอดภูมิปัญญาไทย</t>
  </si>
  <si>
    <t>8.  มีจิตสาธารณะ</t>
  </si>
  <si>
    <t>8.1  ช่วยเหลือผู้อื่นด้วยความเต็มใจและพึงพอใจ  โดยไม่หวังผลตอบแทน</t>
  </si>
  <si>
    <t>8.2  เข้าร่วมกิจกรรมที่เป็นประโยน์ต่อโรงเรียน  ชุมชน  และสังคม</t>
  </si>
  <si>
    <t xml:space="preserve">                      การอ่าน คิดวิเคราะห์และเขียนสื่อความ  โรงเรียนบ้านขัวก่าย</t>
  </si>
  <si>
    <t>1.  สามารถคัดสรรสื่อที่ต้องการอ่านเพื่อหาข้อมูลสารสนเทศได้ตามวัตถุประสงค์</t>
  </si>
  <si>
    <t>2.  สามารถจับประเด็นสำคัญและประเด็นสนับสนุน  โต้แย้ง</t>
  </si>
  <si>
    <t>3.  สามารถวิเคราะห์  วิจารณ์  ความสมเหตุสมผล  ความน่าเชื่อถือ  ลำดับความสำคัญและความเป็นไปได้ของเรื่อง</t>
  </si>
  <si>
    <t>4.  สามารถสรุปคุณค่า  แนวคิด  แง่คิดที่ได้จากการอ่าน</t>
  </si>
  <si>
    <t>5.  สามารถสรุป  อภิปราย  ขยายความ  แสดงความคิดเห็นโต้แย้ง  สนับสนุน  โน้มน้าว  โดยการเขียนสื่อสาร</t>
  </si>
  <si>
    <t>ผลการเรียนนักเรียน ชั้นมัธยมศึกษาปีที่ 3</t>
  </si>
  <si>
    <t>โรงเรียนบ้านขัวก่าย  สำนักงานเขตพื้นที่การศึกษาประถมศึกษาสกลนคร เขต 3</t>
  </si>
  <si>
    <t>ชื่อ-นามสกุล</t>
  </si>
  <si>
    <t>คะแนน</t>
  </si>
  <si>
    <t>ผลการเรียน</t>
  </si>
  <si>
    <t>จำนวนนักเรียน</t>
  </si>
  <si>
    <t>ลักษณะอันพึงประสงค์</t>
  </si>
  <si>
    <t>การอ่าน คิดวิเคราะห์ฯ</t>
  </si>
  <si>
    <t>สมรรถนะสำคัญฯ</t>
  </si>
  <si>
    <t>ชาย</t>
  </si>
  <si>
    <t>หญิง</t>
  </si>
  <si>
    <t>เกรด</t>
  </si>
  <si>
    <t>จำนวน</t>
  </si>
  <si>
    <t>ร้อยละ</t>
  </si>
  <si>
    <t>(ลงชื่อ).....................................................ครูผู้สอน</t>
  </si>
  <si>
    <t>การอ่าน คิดวิเคราห์ฯ</t>
  </si>
  <si>
    <t>...../............../.......</t>
  </si>
  <si>
    <t>(ลงชื่อ).....................................................งานวัดผล</t>
  </si>
  <si>
    <t xml:space="preserve">     (นางขวัญจิต  สุวรรณคุณ)</t>
  </si>
  <si>
    <t>(ลงชื่อ).....................................................ผู้อำนวยการโรงเรียน</t>
  </si>
  <si>
    <t xml:space="preserve">         (นายอภัย  ปังอุทา)</t>
  </si>
  <si>
    <t>วิทยาการคำนวณ</t>
  </si>
  <si>
    <t>มาตรฐานการเรียนรู้ ว 4.2</t>
  </si>
  <si>
    <t xml:space="preserve">คำอธิบายมาตรฐาน: เข้าใจและใช้แนวคิดเชิงคำนวณในการแก้ปัญหาที่พบในชีวิตจริงอย่างเป็นขั้นตอนและเป็นระบบ </t>
  </si>
  <si>
    <t xml:space="preserve">ใช้เทคโนโลยีสารสนเทศและการสื่อสารในการเรียนรู้ การทำงาน และการแก้ปัญหาได้อย่างมีประสิทธิภาพ รู้เท่าทัน และมีจริยธรรม </t>
  </si>
  <si>
    <t>ตัวชี้วัดที่ 1: ออกแบบและพัฒนาแอปพลิเคชันที่มีการบูรณาการกับรายวิชาอื่นหรืองานในชีวิตจริง</t>
  </si>
  <si>
    <t>ตัวชี้วัดที่ 3: ประเมินความน่าเชื่อถือของข้อมูล วิเคราะห์สื่อและผลกระทบจากการให้ข่าวสารที่ผิด เพื่อการใช้งานอย่างรู้เท่าทัน</t>
  </si>
  <si>
    <t>ตัวชี้วัดที่ 4: ใช้เทคโนโลยีสารสนเทศอย่างปลอดภัย และปฏิบัติตามกฎหมายเกี่ยวกับคอมพิวเตอร์ ใช้ลิขสิทธิ์ของผู้อื่นโดยชอบธรรม</t>
  </si>
  <si>
    <t>ตัวชี้วัดที่ 2: รวบรวมข้อมูล ประมวลผล ประเมินผล นำเสนอข้อมูลและสารสนเทศตามวัตถุประสงค์ โดยใช้ซอฟต์แวร์หรือบริการบนอินเทอร์เน็ต</t>
  </si>
  <si>
    <t>ที่หลากหลาย</t>
  </si>
  <si>
    <t>ระดับชั้นมัธยมศึกษาปีที่ 3</t>
  </si>
  <si>
    <t>ภาคเรียนที่ 2 ปีการศึกษา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</si>
</sst>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40" x14ac:knownFonts="1">
    <font>
      <sz val="11"/>
      <color theme="1"/>
      <name val="Tahoma"/>
      <family val="2"/>
      <scheme val="minor"/>
    </font>
    <font>
      <sz val="14"/>
      <name val="TH SarabunPSK"/>
      <family val="2"/>
      <charset val="238"/>
    </font>
    <font>
      <b/>
      <sz val="16"/>
      <name val="TH SarabunPSK"/>
      <family val="2"/>
      <charset val="238"/>
    </font>
    <font>
      <sz val="11"/>
      <color theme="1"/>
      <name val="TH SarabunPSK"/>
      <family val="2"/>
      <charset val="238"/>
    </font>
    <font>
      <b/>
      <sz val="14"/>
      <name val="TH SarabunPSK"/>
      <family val="2"/>
      <charset val="238"/>
    </font>
    <font>
      <sz val="16"/>
      <name val="TH SarabunPSK"/>
      <family val="2"/>
      <charset val="238"/>
    </font>
    <font>
      <sz val="11"/>
      <name val="TH SarabunPSK"/>
      <family val="2"/>
      <charset val="238"/>
    </font>
    <font>
      <sz val="13"/>
      <name val="TH SarabunPSK"/>
      <family val="2"/>
      <charset val="238"/>
    </font>
    <font>
      <sz val="14"/>
      <name val="TH SarabunPSK"/>
      <family val="2"/>
    </font>
    <font>
      <sz val="11"/>
      <name val="TH SarabunPSK"/>
      <family val="2"/>
    </font>
    <font>
      <sz val="12"/>
      <name val="TH SarabunPSK"/>
      <family val="2"/>
    </font>
    <font>
      <b/>
      <sz val="14"/>
      <name val="TH SarabunPSK"/>
      <family val="2"/>
    </font>
    <font>
      <b/>
      <sz val="9"/>
      <name val="TH SarabunPSK"/>
      <family val="2"/>
    </font>
    <font>
      <sz val="8"/>
      <name val="TH SarabunPSK"/>
      <family val="2"/>
    </font>
    <font>
      <b/>
      <sz val="11"/>
      <name val="TH SarabunPSK"/>
      <family val="2"/>
    </font>
    <font>
      <sz val="11"/>
      <color rgb="FF000000"/>
      <name val="TH SarabunPSK"/>
      <family val="2"/>
    </font>
    <font>
      <sz val="11"/>
      <color theme="1"/>
      <name val="TH SarabunPSK"/>
      <family val="2"/>
    </font>
    <font>
      <sz val="12"/>
      <color theme="1"/>
      <name val="TH SarabunPSK"/>
      <family val="2"/>
      <charset val="238"/>
    </font>
    <font>
      <sz val="12"/>
      <color rgb="FF0070C0"/>
      <name val="TH SarabunPSK"/>
      <family val="2"/>
    </font>
    <font>
      <sz val="12"/>
      <color rgb="FF000000"/>
      <name val="TH SarabunPSK"/>
      <family val="2"/>
    </font>
    <font>
      <sz val="14"/>
      <color rgb="FF000000"/>
      <name val="TH SarabunPSK"/>
      <family val="2"/>
    </font>
    <font>
      <b/>
      <sz val="16"/>
      <name val="TH SarabunPSK"/>
      <family val="2"/>
    </font>
    <font>
      <sz val="12"/>
      <color theme="8" tint="-0.249977111117893"/>
      <name val="TH SarabunPSK"/>
      <family val="2"/>
    </font>
    <font>
      <b/>
      <sz val="12"/>
      <name val="TH SarabunPSK"/>
      <family val="2"/>
    </font>
    <font>
      <sz val="12"/>
      <color theme="1"/>
      <name val="TH SarabunPSK"/>
      <family val="2"/>
    </font>
    <font>
      <sz val="16"/>
      <color rgb="FF000000"/>
      <name val="TH SarabunPSK"/>
      <family val="2"/>
    </font>
    <font>
      <sz val="16"/>
      <name val="TH SarabunPSK"/>
      <family val="2"/>
    </font>
    <font>
      <sz val="16"/>
      <color rgb="FF000000"/>
      <name val="TH SarabunPSK"/>
      <family val="2"/>
      <charset val="238"/>
    </font>
    <font>
      <sz val="14"/>
      <color rgb="FFFF0000"/>
      <name val="TH SarabunPSK"/>
      <family val="2"/>
    </font>
    <font>
      <sz val="14"/>
      <color rgb="FF000000"/>
      <name val="TH SarabunPSK"/>
      <family val="2"/>
      <charset val="238"/>
    </font>
    <font>
      <sz val="14"/>
      <color theme="1"/>
      <name val="TH SarabunPSK"/>
      <family val="2"/>
    </font>
    <font>
      <b/>
      <sz val="10"/>
      <name val="TH SarabunPSK"/>
      <family val="2"/>
    </font>
    <font>
      <b/>
      <sz val="11"/>
      <name val="TH SarabunPSK"/>
      <family val="2"/>
      <charset val="238"/>
    </font>
    <font>
      <b/>
      <u/>
      <sz val="14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FF0000"/>
      <name val="TH SarabunPSK"/>
      <family val="2"/>
    </font>
    <font>
      <b/>
      <sz val="20"/>
      <color theme="1"/>
      <name val="TH SarabunPSK"/>
      <family val="2"/>
    </font>
    <font>
      <sz val="10"/>
      <color theme="1"/>
      <name val="TH SarabunPSK"/>
      <family val="2"/>
    </font>
    <font>
      <b/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1" fillId="0" borderId="22" xfId="0" applyFont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0" applyFont="1"/>
    <xf numFmtId="0" fontId="4" fillId="0" borderId="0" xfId="0" applyFont="1" applyAlignment="1">
      <alignment horizontal="left"/>
    </xf>
    <xf numFmtId="0" fontId="12" fillId="2" borderId="26" xfId="0" applyFont="1" applyFill="1" applyBorder="1" applyAlignment="1">
      <alignment horizontal="center" vertical="center" textRotation="90"/>
    </xf>
    <xf numFmtId="0" fontId="12" fillId="0" borderId="27" xfId="0" applyFont="1" applyBorder="1" applyAlignment="1">
      <alignment horizontal="center" vertical="center" textRotation="90"/>
    </xf>
    <xf numFmtId="0" fontId="12" fillId="2" borderId="27" xfId="0" applyFont="1" applyFill="1" applyBorder="1" applyAlignment="1">
      <alignment horizontal="center" vertical="center" textRotation="90"/>
    </xf>
    <xf numFmtId="0" fontId="12" fillId="0" borderId="44" xfId="0" applyFont="1" applyBorder="1" applyAlignment="1">
      <alignment horizontal="center" vertical="center" textRotation="90"/>
    </xf>
    <xf numFmtId="0" fontId="12" fillId="2" borderId="28" xfId="0" applyFont="1" applyFill="1" applyBorder="1" applyAlignment="1">
      <alignment horizontal="center" vertical="center" textRotation="90"/>
    </xf>
    <xf numFmtId="0" fontId="12" fillId="3" borderId="27" xfId="0" applyFont="1" applyFill="1" applyBorder="1" applyAlignment="1">
      <alignment horizontal="center" vertical="center" textRotation="90"/>
    </xf>
    <xf numFmtId="0" fontId="12" fillId="2" borderId="45" xfId="0" applyFont="1" applyFill="1" applyBorder="1" applyAlignment="1">
      <alignment horizontal="center" vertical="center" textRotation="90"/>
    </xf>
    <xf numFmtId="49" fontId="13" fillId="2" borderId="48" xfId="0" applyNumberFormat="1" applyFont="1" applyFill="1" applyBorder="1" applyAlignment="1">
      <alignment horizontal="center" vertical="center" textRotation="90"/>
    </xf>
    <xf numFmtId="49" fontId="13" fillId="0" borderId="49" xfId="0" applyNumberFormat="1" applyFont="1" applyBorder="1" applyAlignment="1">
      <alignment horizontal="center" vertical="center" textRotation="90"/>
    </xf>
    <xf numFmtId="49" fontId="13" fillId="2" borderId="50" xfId="0" applyNumberFormat="1" applyFont="1" applyFill="1" applyBorder="1" applyAlignment="1">
      <alignment horizontal="center" vertical="center" textRotation="90"/>
    </xf>
    <xf numFmtId="49" fontId="13" fillId="2" borderId="34" xfId="0" applyNumberFormat="1" applyFont="1" applyFill="1" applyBorder="1" applyAlignment="1">
      <alignment horizontal="center" vertical="center" textRotation="90"/>
    </xf>
    <xf numFmtId="49" fontId="13" fillId="0" borderId="23" xfId="0" applyNumberFormat="1" applyFont="1" applyBorder="1" applyAlignment="1">
      <alignment horizontal="center" vertical="center" textRotation="90"/>
    </xf>
    <xf numFmtId="49" fontId="13" fillId="0" borderId="22" xfId="0" applyNumberFormat="1" applyFont="1" applyBorder="1" applyAlignment="1">
      <alignment horizontal="center" vertical="center" textRotation="90"/>
    </xf>
    <xf numFmtId="49" fontId="13" fillId="2" borderId="35" xfId="0" applyNumberFormat="1" applyFont="1" applyFill="1" applyBorder="1" applyAlignment="1">
      <alignment horizontal="center" vertical="center" textRotation="90"/>
    </xf>
    <xf numFmtId="49" fontId="13" fillId="2" borderId="23" xfId="0" applyNumberFormat="1" applyFont="1" applyFill="1" applyBorder="1" applyAlignment="1">
      <alignment horizontal="center" vertical="center" textRotation="90"/>
    </xf>
    <xf numFmtId="49" fontId="13" fillId="2" borderId="24" xfId="0" applyNumberFormat="1" applyFont="1" applyFill="1" applyBorder="1" applyAlignment="1">
      <alignment horizontal="center" vertical="center" textRotation="90"/>
    </xf>
    <xf numFmtId="49" fontId="13" fillId="3" borderId="22" xfId="0" applyNumberFormat="1" applyFont="1" applyFill="1" applyBorder="1" applyAlignment="1">
      <alignment horizontal="center" vertical="center" textRotation="90"/>
    </xf>
    <xf numFmtId="0" fontId="14" fillId="0" borderId="51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6" fillId="0" borderId="11" xfId="0" applyFont="1" applyBorder="1" applyProtection="1">
      <protection locked="0"/>
    </xf>
    <xf numFmtId="0" fontId="17" fillId="0" borderId="30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8" fillId="2" borderId="26" xfId="0" applyFont="1" applyFill="1" applyBorder="1"/>
    <xf numFmtId="0" fontId="10" fillId="0" borderId="27" xfId="0" applyFont="1" applyBorder="1"/>
    <xf numFmtId="0" fontId="18" fillId="0" borderId="27" xfId="0" applyFont="1" applyBorder="1"/>
    <xf numFmtId="0" fontId="18" fillId="2" borderId="45" xfId="0" applyFont="1" applyFill="1" applyBorder="1"/>
    <xf numFmtId="0" fontId="18" fillId="2" borderId="44" xfId="0" applyFont="1" applyFill="1" applyBorder="1"/>
    <xf numFmtId="0" fontId="18" fillId="2" borderId="28" xfId="0" applyFont="1" applyFill="1" applyBorder="1"/>
    <xf numFmtId="0" fontId="14" fillId="0" borderId="53" xfId="0" applyFont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8" fillId="2" borderId="32" xfId="0" applyFont="1" applyFill="1" applyBorder="1"/>
    <xf numFmtId="0" fontId="10" fillId="0" borderId="11" xfId="0" applyFont="1" applyBorder="1"/>
    <xf numFmtId="0" fontId="18" fillId="0" borderId="11" xfId="0" applyFont="1" applyBorder="1"/>
    <xf numFmtId="0" fontId="18" fillId="2" borderId="33" xfId="0" applyFont="1" applyFill="1" applyBorder="1"/>
    <xf numFmtId="0" fontId="18" fillId="2" borderId="10" xfId="0" applyFont="1" applyFill="1" applyBorder="1"/>
    <xf numFmtId="0" fontId="18" fillId="2" borderId="8" xfId="0" applyFont="1" applyFill="1" applyBorder="1"/>
    <xf numFmtId="49" fontId="19" fillId="0" borderId="52" xfId="0" applyNumberFormat="1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18" fillId="0" borderId="10" xfId="0" applyFont="1" applyBorder="1"/>
    <xf numFmtId="0" fontId="20" fillId="0" borderId="52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8" fillId="2" borderId="55" xfId="0" applyFont="1" applyFill="1" applyBorder="1"/>
    <xf numFmtId="0" fontId="18" fillId="0" borderId="52" xfId="0" applyFont="1" applyBorder="1"/>
    <xf numFmtId="0" fontId="18" fillId="2" borderId="56" xfId="0" applyFont="1" applyFill="1" applyBorder="1"/>
    <xf numFmtId="0" fontId="18" fillId="2" borderId="16" xfId="0" applyFont="1" applyFill="1" applyBorder="1"/>
    <xf numFmtId="0" fontId="18" fillId="0" borderId="16" xfId="0" applyFont="1" applyBorder="1"/>
    <xf numFmtId="0" fontId="18" fillId="2" borderId="18" xfId="0" applyFont="1" applyFill="1" applyBorder="1"/>
    <xf numFmtId="0" fontId="18" fillId="2" borderId="32" xfId="0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2" borderId="33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34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2" borderId="24" xfId="0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0" fillId="0" borderId="22" xfId="0" applyFont="1" applyBorder="1"/>
    <xf numFmtId="0" fontId="18" fillId="2" borderId="35" xfId="0" applyFont="1" applyFill="1" applyBorder="1" applyAlignment="1">
      <alignment horizontal="center"/>
    </xf>
    <xf numFmtId="0" fontId="18" fillId="2" borderId="23" xfId="0" applyFont="1" applyFill="1" applyBorder="1" applyAlignment="1">
      <alignment horizontal="center"/>
    </xf>
    <xf numFmtId="0" fontId="18" fillId="2" borderId="24" xfId="0" applyFont="1" applyFill="1" applyBorder="1"/>
    <xf numFmtId="0" fontId="18" fillId="2" borderId="34" xfId="0" applyFont="1" applyFill="1" applyBorder="1"/>
    <xf numFmtId="0" fontId="18" fillId="0" borderId="23" xfId="0" applyFont="1" applyBorder="1"/>
    <xf numFmtId="0" fontId="18" fillId="0" borderId="22" xfId="0" applyFont="1" applyBorder="1"/>
    <xf numFmtId="0" fontId="18" fillId="2" borderId="35" xfId="0" applyFont="1" applyFill="1" applyBorder="1"/>
    <xf numFmtId="0" fontId="18" fillId="2" borderId="23" xfId="0" applyFont="1" applyFill="1" applyBorder="1"/>
    <xf numFmtId="0" fontId="11" fillId="0" borderId="0" xfId="0" applyFont="1"/>
    <xf numFmtId="0" fontId="11" fillId="3" borderId="35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 textRotation="90"/>
    </xf>
    <xf numFmtId="49" fontId="13" fillId="3" borderId="57" xfId="0" applyNumberFormat="1" applyFont="1" applyFill="1" applyBorder="1" applyAlignment="1">
      <alignment horizontal="center" vertical="center" textRotation="90"/>
    </xf>
    <xf numFmtId="49" fontId="13" fillId="3" borderId="49" xfId="0" applyNumberFormat="1" applyFont="1" applyFill="1" applyBorder="1" applyAlignment="1">
      <alignment horizontal="center" vertical="center" textRotation="90"/>
    </xf>
    <xf numFmtId="49" fontId="13" fillId="3" borderId="50" xfId="0" applyNumberFormat="1" applyFont="1" applyFill="1" applyBorder="1" applyAlignment="1">
      <alignment horizontal="center" vertical="center" textRotation="90"/>
    </xf>
    <xf numFmtId="49" fontId="13" fillId="2" borderId="58" xfId="0" applyNumberFormat="1" applyFont="1" applyFill="1" applyBorder="1" applyAlignment="1">
      <alignment horizontal="center" vertical="center" textRotation="90"/>
    </xf>
    <xf numFmtId="0" fontId="15" fillId="0" borderId="27" xfId="0" applyFont="1" applyBorder="1" applyAlignment="1">
      <alignment horizontal="center" vertical="center"/>
    </xf>
    <xf numFmtId="0" fontId="18" fillId="2" borderId="44" xfId="0" applyFont="1" applyFill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2" borderId="26" xfId="0" applyFont="1" applyFill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22" fillId="2" borderId="10" xfId="0" applyFont="1" applyFill="1" applyBorder="1" applyAlignment="1">
      <alignment horizontal="center"/>
    </xf>
    <xf numFmtId="0" fontId="22" fillId="2" borderId="32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22" fillId="2" borderId="34" xfId="0" applyFont="1" applyFill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3" borderId="59" xfId="0" applyFont="1" applyFill="1" applyBorder="1" applyAlignment="1">
      <alignment horizontal="center"/>
    </xf>
    <xf numFmtId="0" fontId="12" fillId="3" borderId="46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/>
    </xf>
    <xf numFmtId="0" fontId="23" fillId="3" borderId="62" xfId="0" applyFont="1" applyFill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24" fillId="0" borderId="30" xfId="0" applyFont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10" fillId="2" borderId="27" xfId="0" applyFont="1" applyFill="1" applyBorder="1"/>
    <xf numFmtId="0" fontId="10" fillId="0" borderId="27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24" fillId="0" borderId="9" xfId="0" applyFont="1" applyBorder="1" applyAlignment="1">
      <alignment vertical="center" wrapText="1"/>
    </xf>
    <xf numFmtId="0" fontId="24" fillId="0" borderId="43" xfId="0" applyFont="1" applyBorder="1" applyAlignment="1">
      <alignment vertical="center" wrapText="1"/>
    </xf>
    <xf numFmtId="0" fontId="10" fillId="2" borderId="11" xfId="0" applyFont="1" applyFill="1" applyBorder="1"/>
    <xf numFmtId="0" fontId="10" fillId="0" borderId="11" xfId="0" applyFont="1" applyBorder="1" applyAlignment="1">
      <alignment horizontal="center"/>
    </xf>
    <xf numFmtId="0" fontId="8" fillId="0" borderId="53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16" fillId="0" borderId="43" xfId="0" applyFont="1" applyBorder="1" applyAlignment="1">
      <alignment vertical="center" wrapText="1"/>
    </xf>
    <xf numFmtId="0" fontId="14" fillId="0" borderId="63" xfId="0" applyFont="1" applyBorder="1" applyAlignment="1">
      <alignment horizontal="center" vertical="center"/>
    </xf>
    <xf numFmtId="0" fontId="10" fillId="0" borderId="9" xfId="0" applyFont="1" applyBorder="1"/>
    <xf numFmtId="0" fontId="8" fillId="3" borderId="0" xfId="0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3" fillId="3" borderId="38" xfId="0" applyFont="1" applyFill="1" applyBorder="1" applyAlignment="1">
      <alignment horizontal="center"/>
    </xf>
    <xf numFmtId="0" fontId="11" fillId="3" borderId="65" xfId="0" applyFont="1" applyFill="1" applyBorder="1" applyAlignment="1">
      <alignment horizontal="center" vertical="center"/>
    </xf>
    <xf numFmtId="0" fontId="11" fillId="3" borderId="66" xfId="0" applyFont="1" applyFill="1" applyBorder="1" applyAlignment="1">
      <alignment horizontal="center" vertical="center"/>
    </xf>
    <xf numFmtId="0" fontId="11" fillId="3" borderId="67" xfId="0" applyFont="1" applyFill="1" applyBorder="1" applyAlignment="1">
      <alignment horizontal="center" vertical="center"/>
    </xf>
    <xf numFmtId="0" fontId="23" fillId="3" borderId="59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21" fillId="3" borderId="59" xfId="0" applyFont="1" applyFill="1" applyBorder="1" applyAlignment="1">
      <alignment horizontal="center" vertical="center"/>
    </xf>
    <xf numFmtId="0" fontId="9" fillId="3" borderId="0" xfId="0" applyFont="1" applyFill="1"/>
    <xf numFmtId="0" fontId="14" fillId="3" borderId="51" xfId="0" applyFont="1" applyFill="1" applyBorder="1" applyAlignment="1">
      <alignment horizontal="center" vertical="center"/>
    </xf>
    <xf numFmtId="0" fontId="10" fillId="3" borderId="5" xfId="0" applyFont="1" applyFill="1" applyBorder="1"/>
    <xf numFmtId="0" fontId="25" fillId="3" borderId="26" xfId="0" applyFont="1" applyFill="1" applyBorder="1" applyAlignment="1">
      <alignment horizontal="center" vertical="center"/>
    </xf>
    <xf numFmtId="1" fontId="26" fillId="3" borderId="27" xfId="0" applyNumberFormat="1" applyFont="1" applyFill="1" applyBorder="1" applyAlignment="1">
      <alignment horizontal="center"/>
    </xf>
    <xf numFmtId="0" fontId="26" fillId="3" borderId="27" xfId="0" applyFont="1" applyFill="1" applyBorder="1" applyAlignment="1">
      <alignment horizontal="center"/>
    </xf>
    <xf numFmtId="0" fontId="26" fillId="3" borderId="28" xfId="0" applyFont="1" applyFill="1" applyBorder="1" applyAlignment="1">
      <alignment horizontal="center"/>
    </xf>
    <xf numFmtId="0" fontId="26" fillId="3" borderId="63" xfId="0" applyFont="1" applyFill="1" applyBorder="1" applyAlignment="1">
      <alignment horizontal="center"/>
    </xf>
    <xf numFmtId="0" fontId="26" fillId="3" borderId="51" xfId="0" applyFont="1" applyFill="1" applyBorder="1" applyAlignment="1">
      <alignment horizontal="center"/>
    </xf>
    <xf numFmtId="0" fontId="14" fillId="3" borderId="53" xfId="0" applyFont="1" applyFill="1" applyBorder="1" applyAlignment="1">
      <alignment horizontal="center" vertical="center"/>
    </xf>
    <xf numFmtId="0" fontId="10" fillId="3" borderId="53" xfId="0" applyFont="1" applyFill="1" applyBorder="1"/>
    <xf numFmtId="0" fontId="25" fillId="3" borderId="32" xfId="0" applyFont="1" applyFill="1" applyBorder="1" applyAlignment="1">
      <alignment horizontal="center" vertical="center"/>
    </xf>
    <xf numFmtId="1" fontId="26" fillId="3" borderId="11" xfId="0" applyNumberFormat="1" applyFont="1" applyFill="1" applyBorder="1" applyAlignment="1">
      <alignment horizontal="center"/>
    </xf>
    <xf numFmtId="0" fontId="26" fillId="3" borderId="1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26" fillId="3" borderId="53" xfId="0" applyFont="1" applyFill="1" applyBorder="1" applyAlignment="1">
      <alignment horizontal="center"/>
    </xf>
    <xf numFmtId="0" fontId="14" fillId="3" borderId="63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/>
    </xf>
    <xf numFmtId="0" fontId="10" fillId="3" borderId="41" xfId="0" applyFont="1" applyFill="1" applyBorder="1"/>
    <xf numFmtId="0" fontId="25" fillId="3" borderId="55" xfId="0" applyFont="1" applyFill="1" applyBorder="1" applyAlignment="1">
      <alignment horizontal="center" vertical="center"/>
    </xf>
    <xf numFmtId="1" fontId="26" fillId="3" borderId="52" xfId="0" applyNumberFormat="1" applyFont="1" applyFill="1" applyBorder="1" applyAlignment="1">
      <alignment horizontal="center"/>
    </xf>
    <xf numFmtId="0" fontId="26" fillId="3" borderId="52" xfId="0" applyFont="1" applyFill="1" applyBorder="1" applyAlignment="1">
      <alignment horizontal="center"/>
    </xf>
    <xf numFmtId="0" fontId="10" fillId="3" borderId="68" xfId="0" applyFont="1" applyFill="1" applyBorder="1"/>
    <xf numFmtId="0" fontId="26" fillId="3" borderId="52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1" fillId="3" borderId="65" xfId="0" applyFont="1" applyFill="1" applyBorder="1" applyAlignment="1">
      <alignment horizontal="center" vertical="center"/>
    </xf>
    <xf numFmtId="0" fontId="21" fillId="3" borderId="66" xfId="0" applyFont="1" applyFill="1" applyBorder="1" applyAlignment="1">
      <alignment horizontal="center" vertical="center"/>
    </xf>
    <xf numFmtId="0" fontId="21" fillId="3" borderId="67" xfId="0" applyFont="1" applyFill="1" applyBorder="1" applyAlignment="1">
      <alignment horizontal="center" vertical="center"/>
    </xf>
    <xf numFmtId="0" fontId="21" fillId="3" borderId="0" xfId="0" applyFont="1" applyFill="1"/>
    <xf numFmtId="0" fontId="11" fillId="3" borderId="26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52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5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21" fillId="3" borderId="34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4" fillId="3" borderId="56" xfId="0" applyFont="1" applyFill="1" applyBorder="1"/>
    <xf numFmtId="0" fontId="21" fillId="3" borderId="16" xfId="0" applyFont="1" applyFill="1" applyBorder="1" applyAlignment="1">
      <alignment horizontal="center" vertical="center"/>
    </xf>
    <xf numFmtId="0" fontId="21" fillId="3" borderId="52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0" fontId="27" fillId="3" borderId="55" xfId="0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8" fillId="3" borderId="19" xfId="0" applyFont="1" applyFill="1" applyBorder="1"/>
    <xf numFmtId="0" fontId="23" fillId="3" borderId="32" xfId="0" applyFont="1" applyFill="1" applyBorder="1" applyAlignment="1">
      <alignment horizontal="center" vertical="center"/>
    </xf>
    <xf numFmtId="0" fontId="24" fillId="3" borderId="33" xfId="0" applyFont="1" applyFill="1" applyBorder="1"/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7" fillId="3" borderId="32" xfId="0" applyFont="1" applyFill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8" fillId="3" borderId="43" xfId="0" applyFont="1" applyFill="1" applyBorder="1"/>
    <xf numFmtId="0" fontId="2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29" fillId="3" borderId="32" xfId="0" applyFont="1" applyFill="1" applyBorder="1" applyAlignment="1">
      <alignment horizontal="center" vertical="center"/>
    </xf>
    <xf numFmtId="0" fontId="29" fillId="3" borderId="33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 vertical="center"/>
    </xf>
    <xf numFmtId="0" fontId="30" fillId="3" borderId="32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26" fillId="3" borderId="0" xfId="0" applyFont="1" applyFill="1"/>
    <xf numFmtId="0" fontId="14" fillId="3" borderId="38" xfId="0" applyFont="1" applyFill="1" applyBorder="1" applyAlignment="1">
      <alignment horizontal="center" vertical="center" wrapText="1"/>
    </xf>
    <xf numFmtId="0" fontId="31" fillId="3" borderId="65" xfId="0" applyFont="1" applyFill="1" applyBorder="1" applyAlignment="1">
      <alignment textRotation="90"/>
    </xf>
    <xf numFmtId="0" fontId="31" fillId="3" borderId="66" xfId="0" applyFont="1" applyFill="1" applyBorder="1" applyAlignment="1">
      <alignment textRotation="90"/>
    </xf>
    <xf numFmtId="0" fontId="31" fillId="3" borderId="69" xfId="0" applyFont="1" applyFill="1" applyBorder="1" applyAlignment="1">
      <alignment textRotation="90"/>
    </xf>
    <xf numFmtId="0" fontId="11" fillId="3" borderId="37" xfId="0" applyFont="1" applyFill="1" applyBorder="1" applyAlignment="1">
      <alignment textRotation="90"/>
    </xf>
    <xf numFmtId="0" fontId="14" fillId="3" borderId="46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/>
    </xf>
    <xf numFmtId="0" fontId="21" fillId="3" borderId="49" xfId="0" applyFont="1" applyFill="1" applyBorder="1" applyAlignment="1">
      <alignment horizontal="center" vertical="center"/>
    </xf>
    <xf numFmtId="0" fontId="21" fillId="3" borderId="58" xfId="0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center" vertical="center"/>
    </xf>
    <xf numFmtId="0" fontId="10" fillId="3" borderId="51" xfId="0" applyFont="1" applyFill="1" applyBorder="1" applyAlignment="1">
      <alignment horizontal="left" vertical="center"/>
    </xf>
    <xf numFmtId="0" fontId="26" fillId="3" borderId="70" xfId="0" applyFont="1" applyFill="1" applyBorder="1" applyAlignment="1">
      <alignment horizontal="center"/>
    </xf>
    <xf numFmtId="0" fontId="26" fillId="3" borderId="71" xfId="0" applyFont="1" applyFill="1" applyBorder="1" applyAlignment="1">
      <alignment horizontal="center"/>
    </xf>
    <xf numFmtId="0" fontId="26" fillId="3" borderId="72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0" fontId="21" fillId="3" borderId="37" xfId="0" applyFont="1" applyFill="1" applyBorder="1" applyAlignment="1">
      <alignment horizontal="center"/>
    </xf>
    <xf numFmtId="0" fontId="26" fillId="3" borderId="2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1" fillId="2" borderId="63" xfId="0" applyFont="1" applyFill="1" applyBorder="1" applyAlignment="1">
      <alignment horizontal="center"/>
    </xf>
    <xf numFmtId="0" fontId="32" fillId="3" borderId="5" xfId="0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0" fontId="10" fillId="3" borderId="53" xfId="0" applyFont="1" applyFill="1" applyBorder="1" applyAlignment="1">
      <alignment horizontal="left" vertical="center"/>
    </xf>
    <xf numFmtId="0" fontId="26" fillId="3" borderId="32" xfId="0" applyFont="1" applyFill="1" applyBorder="1" applyAlignment="1">
      <alignment horizontal="center"/>
    </xf>
    <xf numFmtId="0" fontId="26" fillId="3" borderId="33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  <xf numFmtId="0" fontId="21" fillId="3" borderId="53" xfId="0" applyFont="1" applyFill="1" applyBorder="1" applyAlignment="1">
      <alignment horizontal="center"/>
    </xf>
    <xf numFmtId="0" fontId="32" fillId="3" borderId="43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33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32" fillId="3" borderId="53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11" fillId="2" borderId="63" xfId="0" applyFont="1" applyFill="1" applyBorder="1" applyAlignment="1">
      <alignment horizontal="center"/>
    </xf>
    <xf numFmtId="0" fontId="32" fillId="3" borderId="32" xfId="0" applyFont="1" applyFill="1" applyBorder="1" applyAlignment="1">
      <alignment horizontal="center"/>
    </xf>
    <xf numFmtId="0" fontId="32" fillId="3" borderId="11" xfId="0" applyFont="1" applyFill="1" applyBorder="1" applyAlignment="1">
      <alignment horizontal="center"/>
    </xf>
    <xf numFmtId="0" fontId="32" fillId="3" borderId="33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3" borderId="10" xfId="0" applyFont="1" applyFill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6" fillId="2" borderId="63" xfId="0" applyFont="1" applyFill="1" applyBorder="1" applyAlignment="1">
      <alignment horizontal="center"/>
    </xf>
    <xf numFmtId="0" fontId="10" fillId="3" borderId="63" xfId="0" applyFont="1" applyFill="1" applyBorder="1" applyAlignment="1">
      <alignment horizontal="left" vertical="center"/>
    </xf>
    <xf numFmtId="0" fontId="32" fillId="3" borderId="55" xfId="0" applyFont="1" applyFill="1" applyBorder="1" applyAlignment="1">
      <alignment horizontal="center"/>
    </xf>
    <xf numFmtId="0" fontId="32" fillId="3" borderId="52" xfId="0" applyFont="1" applyFill="1" applyBorder="1" applyAlignment="1">
      <alignment horizontal="center"/>
    </xf>
    <xf numFmtId="0" fontId="32" fillId="3" borderId="56" xfId="0" applyFont="1" applyFill="1" applyBorder="1" applyAlignment="1">
      <alignment horizontal="center"/>
    </xf>
    <xf numFmtId="0" fontId="32" fillId="2" borderId="73" xfId="0" applyFont="1" applyFill="1" applyBorder="1" applyAlignment="1">
      <alignment horizontal="center"/>
    </xf>
    <xf numFmtId="0" fontId="32" fillId="3" borderId="63" xfId="0" applyFont="1" applyFill="1" applyBorder="1" applyAlignment="1">
      <alignment horizontal="center"/>
    </xf>
    <xf numFmtId="0" fontId="32" fillId="3" borderId="16" xfId="0" applyFont="1" applyFill="1" applyBorder="1" applyAlignment="1">
      <alignment horizontal="center"/>
    </xf>
    <xf numFmtId="0" fontId="32" fillId="3" borderId="18" xfId="0" applyFont="1" applyFill="1" applyBorder="1" applyAlignment="1">
      <alignment horizontal="center"/>
    </xf>
    <xf numFmtId="0" fontId="32" fillId="3" borderId="19" xfId="0" applyFont="1" applyFill="1" applyBorder="1" applyAlignment="1">
      <alignment horizontal="center"/>
    </xf>
    <xf numFmtId="0" fontId="26" fillId="0" borderId="0" xfId="0" applyFont="1" applyAlignment="1">
      <alignment horizontal="right"/>
    </xf>
    <xf numFmtId="0" fontId="11" fillId="0" borderId="77" xfId="0" applyFont="1" applyBorder="1" applyAlignment="1">
      <alignment vertical="center"/>
    </xf>
    <xf numFmtId="0" fontId="11" fillId="0" borderId="78" xfId="0" applyFont="1" applyBorder="1" applyAlignment="1">
      <alignment vertical="center"/>
    </xf>
    <xf numFmtId="0" fontId="11" fillId="0" borderId="78" xfId="0" applyFont="1" applyBorder="1" applyAlignment="1">
      <alignment horizontal="left" vertical="center"/>
    </xf>
    <xf numFmtId="0" fontId="11" fillId="0" borderId="79" xfId="0" applyFont="1" applyBorder="1" applyAlignment="1">
      <alignment vertical="center"/>
    </xf>
    <xf numFmtId="0" fontId="8" fillId="0" borderId="0" xfId="0" applyFont="1" applyAlignment="1">
      <alignment horizontal="center" vertical="center" textRotation="90"/>
    </xf>
    <xf numFmtId="0" fontId="8" fillId="0" borderId="74" xfId="0" applyFont="1" applyBorder="1"/>
    <xf numFmtId="0" fontId="8" fillId="0" borderId="75" xfId="0" applyFont="1" applyBorder="1" applyAlignment="1">
      <alignment vertical="center"/>
    </xf>
    <xf numFmtId="0" fontId="33" fillId="0" borderId="80" xfId="0" applyFont="1" applyBorder="1" applyAlignment="1">
      <alignment vertical="center"/>
    </xf>
    <xf numFmtId="0" fontId="8" fillId="0" borderId="76" xfId="0" applyFont="1" applyBorder="1" applyAlignment="1">
      <alignment vertical="center"/>
    </xf>
    <xf numFmtId="0" fontId="8" fillId="0" borderId="81" xfId="0" applyFont="1" applyBorder="1"/>
    <xf numFmtId="0" fontId="8" fillId="0" borderId="82" xfId="0" applyFont="1" applyBorder="1" applyAlignment="1">
      <alignment vertical="center"/>
    </xf>
    <xf numFmtId="0" fontId="8" fillId="0" borderId="8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77" xfId="0" applyFont="1" applyBorder="1"/>
    <xf numFmtId="0" fontId="8" fillId="0" borderId="78" xfId="0" applyFont="1" applyBorder="1" applyAlignment="1">
      <alignment vertical="center"/>
    </xf>
    <xf numFmtId="0" fontId="8" fillId="0" borderId="79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0" fillId="0" borderId="0" xfId="0" applyFont="1"/>
    <xf numFmtId="0" fontId="14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4" fillId="0" borderId="1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/>
    <xf numFmtId="0" fontId="14" fillId="0" borderId="0" xfId="0" applyFont="1" applyAlignment="1">
      <alignment horizontal="center"/>
    </xf>
    <xf numFmtId="0" fontId="23" fillId="0" borderId="0" xfId="0" applyFont="1"/>
    <xf numFmtId="0" fontId="14" fillId="0" borderId="0" xfId="0" applyFont="1"/>
    <xf numFmtId="0" fontId="34" fillId="0" borderId="0" xfId="0" applyFont="1"/>
    <xf numFmtId="0" fontId="35" fillId="0" borderId="0" xfId="0" applyFont="1" applyAlignment="1">
      <alignment horizontal="center"/>
    </xf>
    <xf numFmtId="0" fontId="34" fillId="0" borderId="0" xfId="0" applyFont="1" applyAlignment="1">
      <alignment horizontal="right"/>
    </xf>
    <xf numFmtId="0" fontId="35" fillId="0" borderId="73" xfId="0" applyFont="1" applyBorder="1"/>
    <xf numFmtId="0" fontId="35" fillId="0" borderId="0" xfId="0" applyFont="1"/>
    <xf numFmtId="0" fontId="34" fillId="0" borderId="27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4" fillId="0" borderId="32" xfId="0" applyFont="1" applyBorder="1" applyAlignment="1">
      <alignment horizontal="center" wrapText="1"/>
    </xf>
    <xf numFmtId="0" fontId="34" fillId="0" borderId="11" xfId="0" applyFont="1" applyBorder="1" applyAlignment="1">
      <alignment horizontal="center"/>
    </xf>
    <xf numFmtId="0" fontId="34" fillId="0" borderId="33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left" vertical="center"/>
    </xf>
    <xf numFmtId="0" fontId="34" fillId="0" borderId="18" xfId="0" applyFont="1" applyBorder="1" applyAlignment="1">
      <alignment horizontal="center"/>
    </xf>
    <xf numFmtId="0" fontId="34" fillId="0" borderId="52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4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3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34" fillId="0" borderId="11" xfId="0" applyFont="1" applyBorder="1" applyProtection="1">
      <protection locked="0"/>
    </xf>
    <xf numFmtId="0" fontId="34" fillId="0" borderId="11" xfId="0" applyFont="1" applyBorder="1"/>
    <xf numFmtId="0" fontId="34" fillId="0" borderId="33" xfId="0" applyFont="1" applyBorder="1"/>
    <xf numFmtId="2" fontId="34" fillId="0" borderId="33" xfId="0" applyNumberFormat="1" applyFont="1" applyBorder="1" applyAlignment="1">
      <alignment horizontal="center"/>
    </xf>
    <xf numFmtId="49" fontId="25" fillId="0" borderId="52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/>
    </xf>
    <xf numFmtId="0" fontId="34" fillId="0" borderId="85" xfId="0" applyFont="1" applyBorder="1" applyAlignment="1">
      <alignment horizontal="center"/>
    </xf>
    <xf numFmtId="2" fontId="34" fillId="0" borderId="35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/>
    <xf numFmtId="0" fontId="36" fillId="0" borderId="11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35" fillId="0" borderId="59" xfId="0" applyFont="1" applyBorder="1" applyAlignment="1">
      <alignment horizontal="center"/>
    </xf>
    <xf numFmtId="2" fontId="35" fillId="0" borderId="40" xfId="0" applyNumberFormat="1" applyFont="1" applyBorder="1" applyAlignment="1">
      <alignment horizontal="center"/>
    </xf>
    <xf numFmtId="2" fontId="3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3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36" xfId="0" applyFont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9" fillId="0" borderId="37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textRotation="90"/>
    </xf>
    <xf numFmtId="0" fontId="9" fillId="0" borderId="46" xfId="0" applyFont="1" applyBorder="1" applyAlignment="1">
      <alignment horizontal="center" vertical="center" textRotation="90"/>
    </xf>
    <xf numFmtId="0" fontId="10" fillId="0" borderId="37" xfId="0" applyFont="1" applyBorder="1" applyAlignment="1">
      <alignment horizontal="center" vertical="center" textRotation="90" wrapText="1"/>
    </xf>
    <xf numFmtId="0" fontId="10" fillId="0" borderId="41" xfId="0" applyFont="1" applyBorder="1" applyAlignment="1">
      <alignment horizontal="center" vertical="center" textRotation="90" wrapText="1"/>
    </xf>
    <xf numFmtId="0" fontId="10" fillId="0" borderId="46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21" fillId="0" borderId="36" xfId="0" applyFont="1" applyBorder="1"/>
    <xf numFmtId="0" fontId="11" fillId="3" borderId="38" xfId="0" applyFont="1" applyFill="1" applyBorder="1" applyAlignment="1">
      <alignment horizontal="center"/>
    </xf>
    <xf numFmtId="0" fontId="11" fillId="3" borderId="39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textRotation="90"/>
    </xf>
    <xf numFmtId="0" fontId="10" fillId="0" borderId="41" xfId="0" applyFont="1" applyBorder="1" applyAlignment="1">
      <alignment horizontal="center" vertical="center" textRotation="90"/>
    </xf>
    <xf numFmtId="0" fontId="10" fillId="0" borderId="46" xfId="0" applyFont="1" applyBorder="1" applyAlignment="1">
      <alignment horizontal="center" vertical="center" textRotation="90"/>
    </xf>
    <xf numFmtId="0" fontId="10" fillId="0" borderId="60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47" xfId="0" applyFont="1" applyFill="1" applyBorder="1" applyAlignment="1">
      <alignment horizontal="center" vertical="center"/>
    </xf>
    <xf numFmtId="0" fontId="11" fillId="3" borderId="64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 textRotation="90"/>
    </xf>
    <xf numFmtId="0" fontId="23" fillId="3" borderId="68" xfId="0" applyFont="1" applyFill="1" applyBorder="1" applyAlignment="1">
      <alignment horizontal="center" vertical="center" textRotation="90"/>
    </xf>
    <xf numFmtId="0" fontId="23" fillId="3" borderId="37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 wrapText="1"/>
    </xf>
    <xf numFmtId="0" fontId="11" fillId="3" borderId="65" xfId="0" applyFont="1" applyFill="1" applyBorder="1" applyAlignment="1">
      <alignment horizontal="center"/>
    </xf>
    <xf numFmtId="0" fontId="11" fillId="3" borderId="66" xfId="0" applyFont="1" applyFill="1" applyBorder="1" applyAlignment="1">
      <alignment horizontal="center"/>
    </xf>
    <xf numFmtId="0" fontId="11" fillId="3" borderId="6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3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/>
    </xf>
    <xf numFmtId="0" fontId="23" fillId="3" borderId="45" xfId="0" applyFont="1" applyFill="1" applyBorder="1" applyAlignment="1">
      <alignment horizontal="center"/>
    </xf>
    <xf numFmtId="0" fontId="23" fillId="3" borderId="31" xfId="0" applyFont="1" applyFill="1" applyBorder="1" applyAlignment="1">
      <alignment horizontal="center" vertical="center"/>
    </xf>
    <xf numFmtId="0" fontId="23" fillId="3" borderId="43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 wrapText="1"/>
    </xf>
    <xf numFmtId="0" fontId="23" fillId="3" borderId="43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/>
    </xf>
    <xf numFmtId="0" fontId="23" fillId="3" borderId="38" xfId="0" applyFont="1" applyFill="1" applyBorder="1" applyAlignment="1">
      <alignment horizontal="center"/>
    </xf>
    <xf numFmtId="0" fontId="23" fillId="3" borderId="40" xfId="0" applyFont="1" applyFill="1" applyBorder="1" applyAlignment="1">
      <alignment horizontal="center"/>
    </xf>
    <xf numFmtId="0" fontId="23" fillId="3" borderId="40" xfId="0" applyFont="1" applyFill="1" applyBorder="1" applyAlignment="1">
      <alignment horizontal="center" vertical="center"/>
    </xf>
    <xf numFmtId="0" fontId="12" fillId="3" borderId="3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40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 textRotation="90"/>
    </xf>
    <xf numFmtId="0" fontId="14" fillId="3" borderId="46" xfId="0" applyFont="1" applyFill="1" applyBorder="1" applyAlignment="1">
      <alignment horizontal="center" vertical="center" textRotation="90"/>
    </xf>
    <xf numFmtId="0" fontId="11" fillId="3" borderId="37" xfId="0" applyFont="1" applyFill="1" applyBorder="1" applyAlignment="1">
      <alignment horizontal="center" vertical="center" textRotation="90"/>
    </xf>
    <xf numFmtId="0" fontId="11" fillId="3" borderId="46" xfId="0" applyFont="1" applyFill="1" applyBorder="1" applyAlignment="1">
      <alignment horizontal="center" vertical="center" textRotation="90"/>
    </xf>
    <xf numFmtId="0" fontId="21" fillId="0" borderId="74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9" fillId="0" borderId="11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6" fillId="0" borderId="11" xfId="0" applyFont="1" applyBorder="1" applyAlignment="1">
      <alignment horizontal="left" vertical="center"/>
    </xf>
    <xf numFmtId="0" fontId="35" fillId="0" borderId="12" xfId="0" applyFont="1" applyBorder="1" applyAlignment="1">
      <alignment horizontal="center"/>
    </xf>
    <xf numFmtId="0" fontId="35" fillId="0" borderId="61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35" fillId="0" borderId="84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5" fillId="0" borderId="73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34" fillId="0" borderId="31" xfId="0" applyFont="1" applyBorder="1" applyAlignment="1">
      <alignment horizontal="center"/>
    </xf>
    <xf numFmtId="0" fontId="34" fillId="0" borderId="26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4" fillId="0" borderId="38" xfId="0" applyFont="1" applyBorder="1" applyAlignment="1">
      <alignment horizontal="center"/>
    </xf>
    <xf numFmtId="0" fontId="34" fillId="0" borderId="39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/>
    <xf numFmtId="0" fontId="38" fillId="0" borderId="0" xfId="0" applyFont="1"/>
    <xf numFmtId="0" fontId="39" fillId="0" borderId="0" xfId="0" applyFont="1" applyAlignment="1">
      <alignment horizontal="center"/>
    </xf>
    <xf numFmtId="187" fontId="35" fillId="0" borderId="0" xfId="0" applyNumberFormat="1" applyFont="1" applyAlignment="1">
      <alignment horizontal="center"/>
    </xf>
    <xf numFmtId="0" fontId="39" fillId="0" borderId="0" xfId="0" applyFont="1"/>
    <xf numFmtId="0" fontId="35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/>
    </xf>
    <xf numFmtId="2" fontId="30" fillId="0" borderId="21" xfId="0" applyNumberFormat="1" applyFont="1" applyBorder="1" applyAlignment="1">
      <alignment horizontal="center" vertical="center"/>
    </xf>
    <xf numFmtId="2" fontId="30" fillId="0" borderId="23" xfId="0" applyNumberFormat="1" applyFont="1" applyBorder="1" applyAlignment="1">
      <alignment horizontal="center" vertical="center"/>
    </xf>
    <xf numFmtId="2" fontId="30" fillId="0" borderId="24" xfId="0" applyNumberFormat="1" applyFont="1" applyBorder="1" applyAlignment="1">
      <alignment horizontal="center" vertical="center"/>
    </xf>
    <xf numFmtId="2" fontId="30" fillId="0" borderId="25" xfId="0" applyNumberFormat="1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253999</xdr:colOff>
      <xdr:row>0</xdr:row>
      <xdr:rowOff>71437</xdr:rowOff>
    </xdr:from>
    <xdr:to>
      <xdr:col>10</xdr:col>
      <xdr:colOff>87313</xdr:colOff>
      <xdr:row>3</xdr:row>
      <xdr:rowOff>232538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3098" t="19870" r="14172" b="18298"/>
        <a:stretch/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38"/>
  <sheetViews>
    <sheetView view="pageBreakPreview" topLeftCell="A14" zoomScaleNormal="100" zoomScaleSheetLayoutView="100" workbookViewId="0">
      <selection activeCell="S7" sqref="S7"/>
    </sheetView>
  </sheetViews>
  <sheetFormatPr defaultColWidth="9.125" defaultRowHeight="18.75" customHeight="1" x14ac:dyDescent="0.3"/>
  <cols>
    <col min="1" max="2" width="4.75" style="1" customWidth="1"/>
    <col min="3" max="15" width="5.125" style="1" customWidth="1"/>
    <col min="16" max="17" width="5.625" style="1" customWidth="1"/>
    <col min="18" max="18" width="9.125" style="1" customWidth="1"/>
    <col min="19" max="16384" width="9.125" style="1"/>
  </cols>
  <sheetData>
    <row r="1" spans="1:22" ht="21" customHeight="1" x14ac:dyDescent="0.35">
      <c r="P1" s="2"/>
    </row>
    <row r="2" spans="1:22" x14ac:dyDescent="0.3">
      <c r="M2" s="3"/>
      <c r="P2" s="4"/>
    </row>
    <row r="3" spans="1:22" x14ac:dyDescent="0.3">
      <c r="M3" s="3"/>
      <c r="P3" s="4"/>
    </row>
    <row r="4" spans="1:22" ht="19.5" customHeight="1" x14ac:dyDescent="0.3"/>
    <row r="5" spans="1:22" ht="26.25" customHeight="1" x14ac:dyDescent="0.4">
      <c r="A5" s="500" t="s">
        <v>0</v>
      </c>
      <c r="B5" s="500"/>
      <c r="C5" s="500"/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V5" s="3"/>
    </row>
    <row r="6" spans="1:22" ht="21" customHeight="1" x14ac:dyDescent="0.35">
      <c r="A6" s="479" t="s">
        <v>1</v>
      </c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  <c r="O6" s="479"/>
      <c r="P6" s="479"/>
      <c r="Q6" s="479"/>
    </row>
    <row r="7" spans="1:22" ht="21" customHeight="1" x14ac:dyDescent="0.35">
      <c r="A7" s="479" t="s">
        <v>2</v>
      </c>
      <c r="B7" s="479"/>
      <c r="C7" s="479"/>
      <c r="D7" s="479"/>
      <c r="E7" s="479"/>
      <c r="F7" s="479"/>
      <c r="G7" s="479"/>
      <c r="H7" s="479"/>
      <c r="I7" s="479"/>
      <c r="J7" s="479"/>
      <c r="K7" s="479"/>
      <c r="L7" s="479"/>
      <c r="M7" s="479"/>
      <c r="N7" s="479"/>
      <c r="O7" s="479"/>
      <c r="P7" s="479"/>
      <c r="Q7" s="479"/>
    </row>
    <row r="8" spans="1:22" ht="21" customHeight="1" x14ac:dyDescent="0.35">
      <c r="A8" s="479" t="s">
        <v>3</v>
      </c>
      <c r="B8" s="479"/>
      <c r="C8" s="479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79"/>
      <c r="O8" s="479"/>
      <c r="P8" s="479"/>
      <c r="Q8" s="479"/>
    </row>
    <row r="9" spans="1:22" ht="23.25" customHeight="1" x14ac:dyDescent="0.35">
      <c r="A9" s="313"/>
      <c r="B9" s="313"/>
      <c r="C9" s="313" t="s">
        <v>267</v>
      </c>
      <c r="D9" s="313"/>
      <c r="E9" s="313"/>
      <c r="F9" s="313"/>
      <c r="G9" s="310"/>
      <c r="H9" s="313"/>
      <c r="I9" s="313"/>
      <c r="J9" s="313" t="s">
        <v>4</v>
      </c>
      <c r="K9" s="313"/>
      <c r="L9" s="313"/>
      <c r="M9" s="313" t="s">
        <v>5</v>
      </c>
      <c r="N9" s="313"/>
      <c r="O9" s="313">
        <v>2568</v>
      </c>
      <c r="P9" s="313"/>
      <c r="Q9" s="313"/>
    </row>
    <row r="10" spans="1:22" ht="21" customHeight="1" x14ac:dyDescent="0.35">
      <c r="A10" s="501"/>
      <c r="B10" s="313"/>
      <c r="C10" s="313" t="s">
        <v>6</v>
      </c>
      <c r="D10" s="313"/>
      <c r="E10" s="313" t="s">
        <v>7</v>
      </c>
      <c r="F10" s="502"/>
      <c r="G10" s="502"/>
      <c r="H10" s="502"/>
      <c r="I10" s="309"/>
      <c r="J10" s="313" t="s">
        <v>8</v>
      </c>
      <c r="K10" s="309"/>
      <c r="L10" s="313" t="s">
        <v>9</v>
      </c>
      <c r="M10" s="313"/>
      <c r="N10" s="313"/>
      <c r="O10" s="501"/>
      <c r="P10" s="501"/>
      <c r="Q10" s="501"/>
    </row>
    <row r="11" spans="1:22" ht="21" customHeight="1" x14ac:dyDescent="0.35">
      <c r="A11" s="501"/>
      <c r="B11" s="501"/>
      <c r="C11" s="313" t="s">
        <v>10</v>
      </c>
      <c r="D11" s="501"/>
      <c r="E11" s="503">
        <v>2</v>
      </c>
      <c r="F11" s="313" t="s">
        <v>11</v>
      </c>
      <c r="G11" s="309"/>
      <c r="H11" s="309"/>
      <c r="I11" s="309"/>
      <c r="J11" s="313" t="s">
        <v>12</v>
      </c>
      <c r="K11" s="309"/>
      <c r="L11" s="309"/>
      <c r="M11" s="309"/>
      <c r="N11" s="504">
        <v>1</v>
      </c>
      <c r="O11" s="505" t="s">
        <v>13</v>
      </c>
      <c r="P11" s="501"/>
      <c r="Q11" s="501"/>
    </row>
    <row r="12" spans="1:22" ht="21" customHeight="1" x14ac:dyDescent="0.35">
      <c r="A12" s="501"/>
      <c r="B12" s="501"/>
      <c r="C12" s="313" t="s">
        <v>14</v>
      </c>
      <c r="D12" s="501"/>
      <c r="E12" s="506" t="s">
        <v>15</v>
      </c>
      <c r="F12" s="506"/>
      <c r="G12" s="506"/>
      <c r="H12" s="506"/>
      <c r="I12" s="506"/>
      <c r="J12" s="506"/>
      <c r="K12" s="309"/>
      <c r="L12" s="309"/>
      <c r="M12" s="309"/>
      <c r="N12" s="501"/>
      <c r="O12" s="501"/>
      <c r="P12" s="501"/>
      <c r="Q12" s="501"/>
    </row>
    <row r="13" spans="1:22" ht="21" customHeight="1" x14ac:dyDescent="0.35">
      <c r="A13" s="501"/>
      <c r="B13" s="501"/>
      <c r="C13" s="313" t="s">
        <v>16</v>
      </c>
      <c r="D13" s="501"/>
      <c r="E13" s="313" t="s">
        <v>17</v>
      </c>
      <c r="F13" s="501"/>
      <c r="G13" s="309"/>
      <c r="H13" s="309"/>
      <c r="I13" s="309"/>
      <c r="J13" s="309"/>
      <c r="K13" s="309"/>
      <c r="L13" s="309"/>
      <c r="M13" s="309"/>
      <c r="N13" s="501"/>
      <c r="O13" s="501"/>
      <c r="P13" s="501"/>
      <c r="Q13" s="501"/>
    </row>
    <row r="14" spans="1:22" ht="21.75" customHeight="1" x14ac:dyDescent="0.35">
      <c r="A14" s="501"/>
      <c r="B14" s="501"/>
      <c r="C14" s="313" t="s">
        <v>16</v>
      </c>
      <c r="D14" s="501"/>
      <c r="E14" s="507" t="s">
        <v>18</v>
      </c>
      <c r="F14" s="501"/>
      <c r="G14" s="309"/>
      <c r="H14" s="309"/>
      <c r="I14" s="309"/>
      <c r="J14" s="309"/>
      <c r="K14" s="309"/>
      <c r="L14" s="309"/>
      <c r="M14" s="309"/>
      <c r="N14" s="501"/>
      <c r="O14" s="501"/>
      <c r="P14" s="501"/>
      <c r="Q14" s="501"/>
    </row>
    <row r="15" spans="1:22" ht="21" customHeight="1" x14ac:dyDescent="0.3">
      <c r="A15" s="508" t="s">
        <v>19</v>
      </c>
      <c r="B15" s="509"/>
      <c r="C15" s="510" t="s">
        <v>20</v>
      </c>
      <c r="D15" s="511"/>
      <c r="E15" s="511"/>
      <c r="F15" s="511"/>
      <c r="G15" s="511"/>
      <c r="H15" s="511"/>
      <c r="I15" s="511"/>
      <c r="J15" s="511"/>
      <c r="K15" s="511"/>
      <c r="L15" s="511"/>
      <c r="M15" s="511"/>
      <c r="N15" s="511"/>
      <c r="O15" s="511"/>
      <c r="P15" s="511"/>
      <c r="Q15" s="512"/>
    </row>
    <row r="16" spans="1:22" x14ac:dyDescent="0.3">
      <c r="A16" s="513"/>
      <c r="B16" s="514"/>
      <c r="C16" s="515" t="s">
        <v>21</v>
      </c>
      <c r="D16" s="516"/>
      <c r="E16" s="516"/>
      <c r="F16" s="516"/>
      <c r="G16" s="516"/>
      <c r="H16" s="516"/>
      <c r="I16" s="516"/>
      <c r="J16" s="517"/>
      <c r="K16" s="518" t="s">
        <v>22</v>
      </c>
      <c r="L16" s="518"/>
      <c r="M16" s="518"/>
      <c r="N16" s="519" t="s">
        <v>23</v>
      </c>
      <c r="O16" s="520"/>
      <c r="P16" s="521" t="s">
        <v>24</v>
      </c>
      <c r="Q16" s="522"/>
    </row>
    <row r="17" spans="1:17" x14ac:dyDescent="0.3">
      <c r="A17" s="523"/>
      <c r="B17" s="524"/>
      <c r="C17" s="503">
        <v>4</v>
      </c>
      <c r="D17" s="525">
        <v>3.5</v>
      </c>
      <c r="E17" s="525">
        <v>3</v>
      </c>
      <c r="F17" s="525">
        <v>2.5</v>
      </c>
      <c r="G17" s="525">
        <v>2</v>
      </c>
      <c r="H17" s="525">
        <v>1.5</v>
      </c>
      <c r="I17" s="525">
        <v>1</v>
      </c>
      <c r="J17" s="525">
        <v>0</v>
      </c>
      <c r="K17" s="525" t="s">
        <v>25</v>
      </c>
      <c r="L17" s="525" t="s">
        <v>26</v>
      </c>
      <c r="M17" s="525" t="s">
        <v>27</v>
      </c>
      <c r="N17" s="526" t="s">
        <v>28</v>
      </c>
      <c r="O17" s="527"/>
      <c r="P17" s="528" t="s">
        <v>29</v>
      </c>
      <c r="Q17" s="529"/>
    </row>
    <row r="18" spans="1:17" ht="19.5" customHeight="1" x14ac:dyDescent="0.3">
      <c r="A18" s="530">
        <f>SUM(C18:M18)</f>
        <v>16</v>
      </c>
      <c r="B18" s="531"/>
      <c r="C18" s="532">
        <f>COUNTIF('สรุปผลรวม (8)'!$R$7:$R$22,'ปก (1)'!C17)</f>
        <v>11</v>
      </c>
      <c r="D18" s="532">
        <f>COUNTIF('สรุปผลรวม (8)'!$R$7:$R$22,'ปก (1)'!D17)</f>
        <v>2</v>
      </c>
      <c r="E18" s="532">
        <f>COUNTIF('สรุปผลรวม (8)'!$R$7:$R$22,'ปก (1)'!E17)</f>
        <v>1</v>
      </c>
      <c r="F18" s="532">
        <f>COUNTIF('สรุปผลรวม (8)'!$R$7:$R$22,'ปก (1)'!F17)</f>
        <v>2</v>
      </c>
      <c r="G18" s="532">
        <f>COUNTIF('สรุปผลรวม (8)'!$R$7:$R$22,'ปก (1)'!G17)</f>
        <v>0</v>
      </c>
      <c r="H18" s="532">
        <f>COUNTIF('สรุปผลรวม (8)'!$R$7:$R$22,'ปก (1)'!H17)</f>
        <v>0</v>
      </c>
      <c r="I18" s="532">
        <f>COUNTIF('สรุปผลรวม (8)'!$R$7:$R$22,'ปก (1)'!I17)</f>
        <v>0</v>
      </c>
      <c r="J18" s="532">
        <f>COUNTIF('สรุปผลรวม (8)'!$R$7:$R$22,'ปก (1)'!J17)</f>
        <v>0</v>
      </c>
      <c r="K18" s="532">
        <f>COUNTIF('สรุปผลรวม (8)'!$R$7:$R$22,'ปก (1)'!K17)</f>
        <v>0</v>
      </c>
      <c r="L18" s="532">
        <f>COUNTIF('สรุปผลรวม (8)'!$R$7:$R$22,'ปก (1)'!L17)</f>
        <v>0</v>
      </c>
      <c r="M18" s="532">
        <f>COUNTIF('สรุปผลรวม (8)'!$R$7:$R$22,'ปก (1)'!M17)</f>
        <v>0</v>
      </c>
      <c r="N18" s="533">
        <f>AVERAGE('สรุปผลรวม (8)'!$R$7:$R$22)</f>
        <v>3.6875</v>
      </c>
      <c r="O18" s="534"/>
      <c r="P18" s="535">
        <f>STDEV('สรุปผลรวม (8)'!$R$7:$R$22)</f>
        <v>0.54390562906935735</v>
      </c>
      <c r="Q18" s="536"/>
    </row>
    <row r="19" spans="1:17" ht="12" customHeight="1" x14ac:dyDescent="0.3"/>
    <row r="20" spans="1:17" ht="27.75" customHeight="1" x14ac:dyDescent="0.3">
      <c r="A20" s="355" t="s">
        <v>19</v>
      </c>
      <c r="B20" s="356"/>
      <c r="C20" s="357"/>
      <c r="D20" s="361" t="s">
        <v>30</v>
      </c>
      <c r="E20" s="362"/>
      <c r="F20" s="362"/>
      <c r="G20" s="363"/>
      <c r="H20" s="364" t="s">
        <v>31</v>
      </c>
      <c r="I20" s="365"/>
      <c r="J20" s="365"/>
      <c r="K20" s="366"/>
      <c r="L20" s="367" t="s">
        <v>32</v>
      </c>
      <c r="M20" s="368"/>
      <c r="N20" s="368"/>
      <c r="O20" s="369"/>
      <c r="P20" s="8"/>
      <c r="Q20" s="9"/>
    </row>
    <row r="21" spans="1:17" x14ac:dyDescent="0.3">
      <c r="A21" s="358"/>
      <c r="B21" s="359"/>
      <c r="C21" s="360"/>
      <c r="D21" s="10">
        <v>3</v>
      </c>
      <c r="E21" s="11">
        <v>2</v>
      </c>
      <c r="F21" s="12">
        <v>1</v>
      </c>
      <c r="G21" s="13">
        <v>0</v>
      </c>
      <c r="H21" s="14">
        <v>3</v>
      </c>
      <c r="I21" s="12">
        <v>2</v>
      </c>
      <c r="J21" s="12">
        <v>1</v>
      </c>
      <c r="K21" s="13">
        <v>0</v>
      </c>
      <c r="L21" s="15">
        <v>3</v>
      </c>
      <c r="M21" s="12">
        <v>2</v>
      </c>
      <c r="N21" s="16">
        <v>1</v>
      </c>
      <c r="O21" s="13">
        <v>0</v>
      </c>
    </row>
    <row r="22" spans="1:17" ht="19.5" customHeight="1" x14ac:dyDescent="0.3">
      <c r="A22" s="353">
        <f>A18</f>
        <v>16</v>
      </c>
      <c r="B22" s="354"/>
      <c r="C22" s="354"/>
      <c r="D22" s="17">
        <f>COUNTIF('คุณลักษณะ อ่าน สมรรถนะ (9)'!$K$5:$K$20,'ปก (1)'!D21)</f>
        <v>16</v>
      </c>
      <c r="E22" s="7">
        <f>COUNTIF('คุณลักษณะ อ่าน สมรรถนะ (9)'!$K$5:$K$20,'ปก (1)'!E21)</f>
        <v>0</v>
      </c>
      <c r="F22" s="7">
        <f>COUNTIF('คุณลักษณะ อ่าน สมรรถนะ (9)'!$K$5:$K$20,'ปก (1)'!F21)</f>
        <v>0</v>
      </c>
      <c r="G22" s="18">
        <f>COUNTIF('คุณลักษณะ อ่าน สมรรถนะ (9)'!$K$5:$K$20,'ปก (1)'!G21)</f>
        <v>0</v>
      </c>
      <c r="H22" s="19">
        <f>COUNTIF('คุณลักษณะ อ่าน สมรรถนะ (9)'!$R$5:$R$20,'ปก (1)'!H21)</f>
        <v>14</v>
      </c>
      <c r="I22" s="7">
        <f>COUNTIF('คุณลักษณะ อ่าน สมรรถนะ (9)'!$R$5:$R$20,'ปก (1)'!I21)</f>
        <v>2</v>
      </c>
      <c r="J22" s="7">
        <f>COUNTIF('คุณลักษณะ อ่าน สมรรถนะ (9)'!$R$5:$R$20,'ปก (1)'!J21)</f>
        <v>0</v>
      </c>
      <c r="K22" s="18">
        <f>COUNTIF('คุณลักษณะ อ่าน สมรรถนะ (9)'!$R$5:$R$20,'ปก (1)'!K21)</f>
        <v>0</v>
      </c>
      <c r="L22" s="19">
        <f>COUNTIF('คุณลักษณะ อ่าน สมรรถนะ (9)'!$Y$5:$Y$20,'ปก (1)'!L21)</f>
        <v>13</v>
      </c>
      <c r="M22" s="7">
        <f>COUNTIF('คุณลักษณะ อ่าน สมรรถนะ (9)'!$Y$5:$Y$20,'ปก (1)'!M21)</f>
        <v>3</v>
      </c>
      <c r="N22" s="7">
        <f>COUNTIF('คุณลักษณะ อ่าน สมรรถนะ (9)'!$Y$5:$Y$20,'ปก (1)'!N21)</f>
        <v>0</v>
      </c>
      <c r="O22" s="18">
        <f>COUNTIF('คุณลักษณะ อ่าน สมรรถนะ (9)'!$Y$5:$Y$20,'ปก (1)'!O21)</f>
        <v>0</v>
      </c>
    </row>
    <row r="23" spans="1:17" ht="9.75" customHeight="1" x14ac:dyDescent="0.35">
      <c r="A23" s="20"/>
      <c r="B23" s="20"/>
      <c r="C23" s="20"/>
      <c r="D23" s="21"/>
      <c r="E23" s="21"/>
      <c r="F23" s="21"/>
      <c r="G23" s="21"/>
      <c r="H23" s="21"/>
      <c r="I23" s="21"/>
      <c r="J23" s="21"/>
      <c r="K23" s="21"/>
      <c r="L23" s="5"/>
      <c r="M23" s="5"/>
      <c r="N23" s="21"/>
      <c r="O23" s="21"/>
      <c r="P23" s="21"/>
    </row>
    <row r="24" spans="1:17" s="5" customFormat="1" ht="21" customHeight="1" x14ac:dyDescent="0.35">
      <c r="A24" s="370" t="s">
        <v>33</v>
      </c>
      <c r="B24" s="370"/>
      <c r="C24" s="370"/>
      <c r="D24" s="370"/>
      <c r="E24" s="6"/>
    </row>
    <row r="25" spans="1:17" s="5" customFormat="1" ht="38.1" customHeight="1" x14ac:dyDescent="0.35">
      <c r="A25" s="5" t="s">
        <v>34</v>
      </c>
      <c r="I25" s="5" t="s">
        <v>35</v>
      </c>
    </row>
    <row r="26" spans="1:17" s="5" customFormat="1" ht="21" customHeight="1" x14ac:dyDescent="0.35"/>
    <row r="27" spans="1:17" s="5" customFormat="1" ht="21" customHeight="1" x14ac:dyDescent="0.35">
      <c r="F27" s="5" t="s">
        <v>36</v>
      </c>
    </row>
    <row r="28" spans="1:17" s="5" customFormat="1" ht="21" customHeight="1" x14ac:dyDescent="0.35"/>
    <row r="29" spans="1:17" s="5" customFormat="1" ht="21" customHeight="1" x14ac:dyDescent="0.35">
      <c r="F29" s="5" t="s">
        <v>37</v>
      </c>
    </row>
    <row r="30" spans="1:17" s="5" customFormat="1" ht="21" customHeight="1" x14ac:dyDescent="0.35">
      <c r="A30" s="352" t="s">
        <v>38</v>
      </c>
      <c r="B30" s="352"/>
      <c r="C30" s="352"/>
      <c r="D30" s="352"/>
      <c r="E30" s="352"/>
    </row>
    <row r="31" spans="1:17" s="5" customFormat="1" ht="9.75" customHeight="1" x14ac:dyDescent="0.35">
      <c r="A31" s="2"/>
      <c r="B31" s="2"/>
      <c r="C31" s="2"/>
      <c r="D31" s="2"/>
      <c r="E31" s="2"/>
      <c r="M31" s="22"/>
    </row>
    <row r="32" spans="1:17" s="5" customFormat="1" ht="21" customHeight="1" x14ac:dyDescent="0.35">
      <c r="D32" s="23"/>
      <c r="F32" s="23" t="s">
        <v>39</v>
      </c>
      <c r="G32" s="22"/>
      <c r="H32" s="22"/>
      <c r="I32" s="22"/>
      <c r="J32" s="22"/>
      <c r="K32" s="23" t="s">
        <v>40</v>
      </c>
      <c r="L32" s="22"/>
      <c r="M32" s="22"/>
      <c r="N32" s="22"/>
    </row>
    <row r="33" spans="4:14" s="5" customFormat="1" ht="21" customHeight="1" x14ac:dyDescent="0.35">
      <c r="G33" s="22"/>
      <c r="H33" s="22"/>
      <c r="I33" s="22"/>
      <c r="J33" s="22"/>
      <c r="K33" s="22"/>
      <c r="L33" s="22"/>
      <c r="M33" s="22"/>
      <c r="N33" s="22"/>
    </row>
    <row r="34" spans="4:14" s="5" customFormat="1" ht="21" customHeight="1" x14ac:dyDescent="0.35">
      <c r="E34" s="24" t="s">
        <v>41</v>
      </c>
      <c r="F34" s="5" t="s">
        <v>42</v>
      </c>
      <c r="G34" s="22"/>
      <c r="H34" s="22"/>
      <c r="I34" s="24" t="s">
        <v>41</v>
      </c>
      <c r="J34" s="23" t="s">
        <v>43</v>
      </c>
      <c r="K34" s="22"/>
      <c r="L34" s="22"/>
      <c r="M34" s="22"/>
      <c r="N34" s="22"/>
    </row>
    <row r="35" spans="4:14" s="5" customFormat="1" ht="21" customHeight="1" x14ac:dyDescent="0.35">
      <c r="L35" s="22"/>
      <c r="M35" s="22"/>
      <c r="N35" s="22"/>
    </row>
    <row r="36" spans="4:14" s="5" customFormat="1" ht="21" customHeight="1" x14ac:dyDescent="0.35">
      <c r="D36" s="23"/>
      <c r="F36" s="23" t="s">
        <v>39</v>
      </c>
      <c r="G36" s="22"/>
      <c r="H36" s="22"/>
      <c r="I36" s="22"/>
      <c r="J36" s="22"/>
      <c r="K36" s="22"/>
      <c r="L36" s="22"/>
      <c r="M36" s="22"/>
      <c r="N36" s="22"/>
    </row>
    <row r="37" spans="4:14" s="5" customFormat="1" ht="21" customHeight="1" x14ac:dyDescent="0.35">
      <c r="E37" s="371" t="s">
        <v>44</v>
      </c>
      <c r="F37" s="371"/>
      <c r="G37" s="371"/>
      <c r="H37" s="371"/>
      <c r="I37" s="371"/>
      <c r="J37" s="371"/>
      <c r="K37" s="371"/>
      <c r="L37" s="22"/>
      <c r="M37" s="22"/>
      <c r="N37" s="22"/>
    </row>
    <row r="38" spans="4:14" s="5" customFormat="1" ht="21" customHeight="1" x14ac:dyDescent="0.35">
      <c r="E38" s="371" t="s">
        <v>45</v>
      </c>
      <c r="F38" s="371"/>
      <c r="G38" s="371"/>
      <c r="H38" s="371"/>
      <c r="I38" s="371"/>
      <c r="J38" s="371"/>
      <c r="K38" s="371"/>
      <c r="L38" s="1"/>
      <c r="M38" s="1"/>
      <c r="N38" s="22"/>
    </row>
  </sheetData>
  <mergeCells count="25">
    <mergeCell ref="A22:C22"/>
    <mergeCell ref="A24:D24"/>
    <mergeCell ref="A30:E30"/>
    <mergeCell ref="E37:K37"/>
    <mergeCell ref="E38:K38"/>
    <mergeCell ref="A18:B18"/>
    <mergeCell ref="N18:O18"/>
    <mergeCell ref="P18:Q18"/>
    <mergeCell ref="A20:C21"/>
    <mergeCell ref="D20:G20"/>
    <mergeCell ref="H20:K20"/>
    <mergeCell ref="L20:O20"/>
    <mergeCell ref="A15:B17"/>
    <mergeCell ref="C15:Q15"/>
    <mergeCell ref="C16:J16"/>
    <mergeCell ref="K16:M16"/>
    <mergeCell ref="N16:O16"/>
    <mergeCell ref="P16:Q16"/>
    <mergeCell ref="N17:O17"/>
    <mergeCell ref="P17:Q17"/>
    <mergeCell ref="A5:Q5"/>
    <mergeCell ref="A6:Q6"/>
    <mergeCell ref="A7:Q7"/>
    <mergeCell ref="A8:Q8"/>
    <mergeCell ref="E12:J12"/>
  </mergeCells>
  <pageMargins left="0.62992125984251968" right="3.937007874015748E-2" top="0.15748031496062992" bottom="0" header="0.51181102362204722" footer="0.51181102362204722"/>
  <pageSetup paperSize="9" orientation="portrait" useFirstPageNumber="1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BP55"/>
  <sheetViews>
    <sheetView view="pageBreakPreview" zoomScaleNormal="150" workbookViewId="0">
      <selection activeCell="U16" sqref="U16"/>
    </sheetView>
  </sheetViews>
  <sheetFormatPr defaultColWidth="9.125" defaultRowHeight="18" customHeight="1" x14ac:dyDescent="0.3"/>
  <cols>
    <col min="1" max="1" width="2.875" style="25" customWidth="1"/>
    <col min="2" max="2" width="4.25" style="25" customWidth="1"/>
    <col min="3" max="3" width="8.75" style="25" customWidth="1"/>
    <col min="4" max="4" width="2.25" style="25" customWidth="1"/>
    <col min="5" max="5" width="2.125" style="25" customWidth="1"/>
    <col min="6" max="6" width="5.375" style="25" customWidth="1"/>
    <col min="7" max="55" width="1.25" style="25" customWidth="1"/>
    <col min="56" max="68" width="9.125" customWidth="1"/>
    <col min="69" max="69" width="9.125" style="25" customWidth="1"/>
    <col min="70" max="16384" width="9.125" style="25"/>
  </cols>
  <sheetData>
    <row r="1" spans="1:55" ht="18" customHeight="1" x14ac:dyDescent="0.3">
      <c r="A1" s="26"/>
      <c r="BB1" s="372">
        <v>2</v>
      </c>
      <c r="BC1" s="372"/>
    </row>
    <row r="2" spans="1:55" ht="18" customHeight="1" x14ac:dyDescent="0.3">
      <c r="A2" s="379" t="s">
        <v>46</v>
      </c>
      <c r="B2" s="382" t="s">
        <v>47</v>
      </c>
      <c r="C2" s="385" t="s">
        <v>48</v>
      </c>
      <c r="D2" s="373" t="s">
        <v>49</v>
      </c>
      <c r="E2" s="374"/>
      <c r="F2" s="375"/>
      <c r="G2" s="376" t="s">
        <v>50</v>
      </c>
      <c r="H2" s="377"/>
      <c r="I2" s="377"/>
      <c r="J2" s="377"/>
      <c r="K2" s="377"/>
      <c r="L2" s="377"/>
      <c r="M2" s="378"/>
      <c r="N2" s="376" t="s">
        <v>50</v>
      </c>
      <c r="O2" s="377"/>
      <c r="P2" s="377"/>
      <c r="Q2" s="377"/>
      <c r="R2" s="377"/>
      <c r="S2" s="377"/>
      <c r="T2" s="378"/>
      <c r="U2" s="376" t="s">
        <v>50</v>
      </c>
      <c r="V2" s="377"/>
      <c r="W2" s="377"/>
      <c r="X2" s="377"/>
      <c r="Y2" s="377"/>
      <c r="Z2" s="377"/>
      <c r="AA2" s="378"/>
      <c r="AB2" s="376" t="s">
        <v>50</v>
      </c>
      <c r="AC2" s="377"/>
      <c r="AD2" s="377"/>
      <c r="AE2" s="377"/>
      <c r="AF2" s="377"/>
      <c r="AG2" s="377"/>
      <c r="AH2" s="378"/>
      <c r="AI2" s="376" t="s">
        <v>50</v>
      </c>
      <c r="AJ2" s="377"/>
      <c r="AK2" s="377"/>
      <c r="AL2" s="377"/>
      <c r="AM2" s="377"/>
      <c r="AN2" s="377"/>
      <c r="AO2" s="378"/>
      <c r="AP2" s="376" t="s">
        <v>51</v>
      </c>
      <c r="AQ2" s="377"/>
      <c r="AR2" s="377"/>
      <c r="AS2" s="377"/>
      <c r="AT2" s="377"/>
      <c r="AU2" s="377"/>
      <c r="AV2" s="378"/>
      <c r="AW2" s="376" t="s">
        <v>51</v>
      </c>
      <c r="AX2" s="377"/>
      <c r="AY2" s="377"/>
      <c r="AZ2" s="377"/>
      <c r="BA2" s="377"/>
      <c r="BB2" s="377"/>
      <c r="BC2" s="378"/>
    </row>
    <row r="3" spans="1:55" ht="18" customHeight="1" x14ac:dyDescent="0.3">
      <c r="A3" s="380"/>
      <c r="B3" s="383"/>
      <c r="C3" s="386"/>
      <c r="D3" s="388" t="s">
        <v>52</v>
      </c>
      <c r="E3" s="389"/>
      <c r="F3" s="390"/>
      <c r="G3" s="391">
        <v>1</v>
      </c>
      <c r="H3" s="392"/>
      <c r="I3" s="392"/>
      <c r="J3" s="392"/>
      <c r="K3" s="392"/>
      <c r="L3" s="392"/>
      <c r="M3" s="393"/>
      <c r="N3" s="391">
        <v>2</v>
      </c>
      <c r="O3" s="392"/>
      <c r="P3" s="392"/>
      <c r="Q3" s="392"/>
      <c r="R3" s="392"/>
      <c r="S3" s="392"/>
      <c r="T3" s="393"/>
      <c r="U3" s="391">
        <v>3</v>
      </c>
      <c r="V3" s="392"/>
      <c r="W3" s="392"/>
      <c r="X3" s="392"/>
      <c r="Y3" s="392"/>
      <c r="Z3" s="392"/>
      <c r="AA3" s="393"/>
      <c r="AB3" s="391">
        <v>4</v>
      </c>
      <c r="AC3" s="392"/>
      <c r="AD3" s="392"/>
      <c r="AE3" s="392"/>
      <c r="AF3" s="392"/>
      <c r="AG3" s="392"/>
      <c r="AH3" s="393"/>
      <c r="AI3" s="391">
        <v>5</v>
      </c>
      <c r="AJ3" s="392"/>
      <c r="AK3" s="392"/>
      <c r="AL3" s="392"/>
      <c r="AM3" s="392"/>
      <c r="AN3" s="392"/>
      <c r="AO3" s="393"/>
      <c r="AP3" s="391">
        <v>6</v>
      </c>
      <c r="AQ3" s="392"/>
      <c r="AR3" s="392"/>
      <c r="AS3" s="392"/>
      <c r="AT3" s="392"/>
      <c r="AU3" s="392"/>
      <c r="AV3" s="393"/>
      <c r="AW3" s="391">
        <v>7</v>
      </c>
      <c r="AX3" s="392"/>
      <c r="AY3" s="392"/>
      <c r="AZ3" s="392"/>
      <c r="BA3" s="392"/>
      <c r="BB3" s="392"/>
      <c r="BC3" s="393"/>
    </row>
    <row r="4" spans="1:55" ht="18" customHeight="1" x14ac:dyDescent="0.3">
      <c r="A4" s="380"/>
      <c r="B4" s="383"/>
      <c r="C4" s="386"/>
      <c r="D4" s="388" t="s">
        <v>53</v>
      </c>
      <c r="E4" s="389"/>
      <c r="F4" s="390"/>
      <c r="G4" s="27">
        <v>2</v>
      </c>
      <c r="H4" s="28">
        <v>3</v>
      </c>
      <c r="I4" s="28">
        <v>4</v>
      </c>
      <c r="J4" s="28">
        <v>5</v>
      </c>
      <c r="K4" s="28">
        <v>6</v>
      </c>
      <c r="L4" s="28">
        <v>7</v>
      </c>
      <c r="M4" s="29">
        <v>8</v>
      </c>
      <c r="N4" s="27">
        <v>9</v>
      </c>
      <c r="O4" s="30">
        <v>10</v>
      </c>
      <c r="P4" s="30">
        <v>11</v>
      </c>
      <c r="Q4" s="28">
        <v>12</v>
      </c>
      <c r="R4" s="28">
        <v>13</v>
      </c>
      <c r="S4" s="28">
        <v>14</v>
      </c>
      <c r="T4" s="29">
        <v>15</v>
      </c>
      <c r="U4" s="27">
        <v>16</v>
      </c>
      <c r="V4" s="30">
        <v>17</v>
      </c>
      <c r="W4" s="30">
        <v>18</v>
      </c>
      <c r="X4" s="28">
        <v>19</v>
      </c>
      <c r="Y4" s="28">
        <v>20</v>
      </c>
      <c r="Z4" s="28">
        <v>21</v>
      </c>
      <c r="AA4" s="29">
        <v>22</v>
      </c>
      <c r="AB4" s="27">
        <v>23</v>
      </c>
      <c r="AC4" s="30">
        <v>24</v>
      </c>
      <c r="AD4" s="30">
        <v>25</v>
      </c>
      <c r="AE4" s="28">
        <v>26</v>
      </c>
      <c r="AF4" s="28">
        <v>27</v>
      </c>
      <c r="AG4" s="28">
        <v>28</v>
      </c>
      <c r="AH4" s="29">
        <v>29</v>
      </c>
      <c r="AI4" s="27">
        <v>30</v>
      </c>
      <c r="AJ4" s="30">
        <v>1</v>
      </c>
      <c r="AK4" s="30">
        <v>2</v>
      </c>
      <c r="AL4" s="28">
        <v>3</v>
      </c>
      <c r="AM4" s="28">
        <v>4</v>
      </c>
      <c r="AN4" s="28">
        <v>5</v>
      </c>
      <c r="AO4" s="31">
        <v>6</v>
      </c>
      <c r="AP4" s="27">
        <v>7</v>
      </c>
      <c r="AQ4" s="30">
        <v>8</v>
      </c>
      <c r="AR4" s="30">
        <v>9</v>
      </c>
      <c r="AS4" s="28">
        <v>10</v>
      </c>
      <c r="AT4" s="28">
        <v>11</v>
      </c>
      <c r="AU4" s="28">
        <v>12</v>
      </c>
      <c r="AV4" s="29">
        <v>13</v>
      </c>
      <c r="AW4" s="27">
        <v>14</v>
      </c>
      <c r="AX4" s="30">
        <v>15</v>
      </c>
      <c r="AY4" s="30">
        <v>16</v>
      </c>
      <c r="AZ4" s="28">
        <v>17</v>
      </c>
      <c r="BA4" s="32">
        <v>18</v>
      </c>
      <c r="BB4" s="28">
        <v>19</v>
      </c>
      <c r="BC4" s="33">
        <v>20</v>
      </c>
    </row>
    <row r="5" spans="1:55" ht="18" customHeight="1" x14ac:dyDescent="0.3">
      <c r="A5" s="381"/>
      <c r="B5" s="384"/>
      <c r="C5" s="387"/>
      <c r="D5" s="394" t="s">
        <v>54</v>
      </c>
      <c r="E5" s="395"/>
      <c r="F5" s="396"/>
      <c r="G5" s="34"/>
      <c r="H5" s="35"/>
      <c r="I5" s="35"/>
      <c r="J5" s="35"/>
      <c r="K5" s="35"/>
      <c r="L5" s="35"/>
      <c r="M5" s="36"/>
      <c r="N5" s="37"/>
      <c r="O5" s="38"/>
      <c r="P5" s="38"/>
      <c r="Q5" s="39"/>
      <c r="R5" s="39"/>
      <c r="S5" s="39"/>
      <c r="T5" s="40"/>
      <c r="U5" s="41"/>
      <c r="V5" s="38"/>
      <c r="W5" s="38"/>
      <c r="X5" s="39"/>
      <c r="Y5" s="39"/>
      <c r="Z5" s="39"/>
      <c r="AA5" s="42"/>
      <c r="AB5" s="37"/>
      <c r="AC5" s="38"/>
      <c r="AD5" s="38"/>
      <c r="AE5" s="39"/>
      <c r="AF5" s="39"/>
      <c r="AG5" s="39"/>
      <c r="AH5" s="40"/>
      <c r="AI5" s="41"/>
      <c r="AJ5" s="38"/>
      <c r="AK5" s="38"/>
      <c r="AL5" s="39"/>
      <c r="AM5" s="39"/>
      <c r="AN5" s="39"/>
      <c r="AO5" s="42"/>
      <c r="AP5" s="37"/>
      <c r="AQ5" s="38"/>
      <c r="AR5" s="38"/>
      <c r="AS5" s="39"/>
      <c r="AT5" s="39"/>
      <c r="AU5" s="39"/>
      <c r="AV5" s="40"/>
      <c r="AW5" s="41"/>
      <c r="AX5" s="38"/>
      <c r="AY5" s="38"/>
      <c r="AZ5" s="39"/>
      <c r="BA5" s="39"/>
      <c r="BB5" s="43"/>
      <c r="BC5" s="40"/>
    </row>
    <row r="6" spans="1:55" ht="18" customHeight="1" x14ac:dyDescent="0.3">
      <c r="A6" s="44">
        <v>1</v>
      </c>
      <c r="B6" s="45" t="s">
        <v>55</v>
      </c>
      <c r="C6" s="46" t="s">
        <v>56</v>
      </c>
      <c r="D6" s="47"/>
      <c r="E6" s="47"/>
      <c r="F6" s="48"/>
      <c r="G6" s="49" t="s">
        <v>57</v>
      </c>
      <c r="H6" s="50" t="s">
        <v>57</v>
      </c>
      <c r="I6" s="50" t="s">
        <v>57</v>
      </c>
      <c r="J6" s="51" t="s">
        <v>57</v>
      </c>
      <c r="K6" s="50" t="s">
        <v>57</v>
      </c>
      <c r="L6" s="51" t="s">
        <v>57</v>
      </c>
      <c r="M6" s="52" t="s">
        <v>57</v>
      </c>
      <c r="N6" s="53" t="s">
        <v>57</v>
      </c>
      <c r="O6" s="50" t="s">
        <v>57</v>
      </c>
      <c r="P6" s="50" t="s">
        <v>57</v>
      </c>
      <c r="Q6" s="50" t="s">
        <v>57</v>
      </c>
      <c r="R6" s="50" t="s">
        <v>57</v>
      </c>
      <c r="S6" s="51" t="s">
        <v>57</v>
      </c>
      <c r="T6" s="54" t="s">
        <v>57</v>
      </c>
      <c r="U6" s="49" t="s">
        <v>57</v>
      </c>
      <c r="V6" s="50" t="s">
        <v>57</v>
      </c>
      <c r="W6" s="50" t="s">
        <v>57</v>
      </c>
      <c r="X6" s="50" t="s">
        <v>57</v>
      </c>
      <c r="Y6" s="50" t="s">
        <v>57</v>
      </c>
      <c r="Z6" s="50" t="s">
        <v>57</v>
      </c>
      <c r="AA6" s="52" t="s">
        <v>57</v>
      </c>
      <c r="AB6" s="53" t="s">
        <v>57</v>
      </c>
      <c r="AC6" s="50" t="s">
        <v>57</v>
      </c>
      <c r="AD6" s="50" t="s">
        <v>57</v>
      </c>
      <c r="AE6" s="50" t="s">
        <v>57</v>
      </c>
      <c r="AF6" s="50" t="s">
        <v>57</v>
      </c>
      <c r="AG6" s="50" t="s">
        <v>57</v>
      </c>
      <c r="AH6" s="54" t="s">
        <v>57</v>
      </c>
      <c r="AI6" s="49" t="s">
        <v>57</v>
      </c>
      <c r="AJ6" s="50" t="s">
        <v>57</v>
      </c>
      <c r="AK6" s="50" t="s">
        <v>57</v>
      </c>
      <c r="AL6" s="50" t="s">
        <v>57</v>
      </c>
      <c r="AM6" s="50" t="s">
        <v>57</v>
      </c>
      <c r="AN6" s="50" t="s">
        <v>57</v>
      </c>
      <c r="AO6" s="54" t="s">
        <v>57</v>
      </c>
      <c r="AP6" s="49" t="s">
        <v>57</v>
      </c>
      <c r="AQ6" s="50" t="s">
        <v>57</v>
      </c>
      <c r="AR6" s="50" t="s">
        <v>57</v>
      </c>
      <c r="AS6" s="50" t="s">
        <v>57</v>
      </c>
      <c r="AT6" s="50" t="s">
        <v>57</v>
      </c>
      <c r="AU6" s="50" t="s">
        <v>57</v>
      </c>
      <c r="AV6" s="52" t="s">
        <v>57</v>
      </c>
      <c r="AW6" s="49" t="s">
        <v>57</v>
      </c>
      <c r="AX6" s="50" t="s">
        <v>57</v>
      </c>
      <c r="AY6" s="50" t="s">
        <v>57</v>
      </c>
      <c r="AZ6" s="50" t="s">
        <v>57</v>
      </c>
      <c r="BA6" s="50" t="s">
        <v>57</v>
      </c>
      <c r="BB6" s="50" t="s">
        <v>57</v>
      </c>
      <c r="BC6" s="52" t="s">
        <v>57</v>
      </c>
    </row>
    <row r="7" spans="1:55" ht="18" customHeight="1" x14ac:dyDescent="0.3">
      <c r="A7" s="55">
        <v>2</v>
      </c>
      <c r="B7" s="45" t="s">
        <v>58</v>
      </c>
      <c r="C7" s="46" t="s">
        <v>59</v>
      </c>
      <c r="D7" s="56"/>
      <c r="E7" s="56"/>
      <c r="F7" s="57"/>
      <c r="G7" s="58" t="s">
        <v>57</v>
      </c>
      <c r="H7" s="59" t="s">
        <v>57</v>
      </c>
      <c r="I7" s="59" t="s">
        <v>57</v>
      </c>
      <c r="J7" s="60" t="s">
        <v>57</v>
      </c>
      <c r="K7" s="59" t="s">
        <v>57</v>
      </c>
      <c r="L7" s="60" t="s">
        <v>57</v>
      </c>
      <c r="M7" s="61" t="s">
        <v>57</v>
      </c>
      <c r="N7" s="62" t="s">
        <v>57</v>
      </c>
      <c r="O7" s="59" t="s">
        <v>57</v>
      </c>
      <c r="P7" s="59" t="s">
        <v>57</v>
      </c>
      <c r="Q7" s="59" t="s">
        <v>57</v>
      </c>
      <c r="R7" s="59" t="s">
        <v>57</v>
      </c>
      <c r="S7" s="60" t="s">
        <v>57</v>
      </c>
      <c r="T7" s="63" t="s">
        <v>57</v>
      </c>
      <c r="U7" s="58" t="s">
        <v>57</v>
      </c>
      <c r="V7" s="59" t="s">
        <v>57</v>
      </c>
      <c r="W7" s="59" t="s">
        <v>57</v>
      </c>
      <c r="X7" s="59" t="s">
        <v>57</v>
      </c>
      <c r="Y7" s="59" t="s">
        <v>57</v>
      </c>
      <c r="Z7" s="59" t="s">
        <v>57</v>
      </c>
      <c r="AA7" s="61" t="s">
        <v>57</v>
      </c>
      <c r="AB7" s="62" t="s">
        <v>57</v>
      </c>
      <c r="AC7" s="59" t="s">
        <v>57</v>
      </c>
      <c r="AD7" s="59" t="s">
        <v>57</v>
      </c>
      <c r="AE7" s="59" t="s">
        <v>57</v>
      </c>
      <c r="AF7" s="59" t="s">
        <v>57</v>
      </c>
      <c r="AG7" s="59" t="s">
        <v>57</v>
      </c>
      <c r="AH7" s="63" t="s">
        <v>57</v>
      </c>
      <c r="AI7" s="58" t="s">
        <v>57</v>
      </c>
      <c r="AJ7" s="59" t="s">
        <v>57</v>
      </c>
      <c r="AK7" s="59" t="s">
        <v>57</v>
      </c>
      <c r="AL7" s="59" t="s">
        <v>57</v>
      </c>
      <c r="AM7" s="59" t="s">
        <v>57</v>
      </c>
      <c r="AN7" s="59" t="s">
        <v>57</v>
      </c>
      <c r="AO7" s="63" t="s">
        <v>57</v>
      </c>
      <c r="AP7" s="58" t="s">
        <v>57</v>
      </c>
      <c r="AQ7" s="59" t="s">
        <v>57</v>
      </c>
      <c r="AR7" s="59" t="s">
        <v>57</v>
      </c>
      <c r="AS7" s="59" t="s">
        <v>57</v>
      </c>
      <c r="AT7" s="59" t="s">
        <v>57</v>
      </c>
      <c r="AU7" s="59" t="s">
        <v>57</v>
      </c>
      <c r="AV7" s="61" t="s">
        <v>57</v>
      </c>
      <c r="AW7" s="58" t="s">
        <v>57</v>
      </c>
      <c r="AX7" s="59" t="s">
        <v>57</v>
      </c>
      <c r="AY7" s="59" t="s">
        <v>57</v>
      </c>
      <c r="AZ7" s="59" t="s">
        <v>57</v>
      </c>
      <c r="BA7" s="59" t="s">
        <v>57</v>
      </c>
      <c r="BB7" s="59" t="s">
        <v>57</v>
      </c>
      <c r="BC7" s="61" t="s">
        <v>57</v>
      </c>
    </row>
    <row r="8" spans="1:55" ht="18" customHeight="1" x14ac:dyDescent="0.3">
      <c r="A8" s="55">
        <v>3</v>
      </c>
      <c r="B8" s="64" t="s">
        <v>60</v>
      </c>
      <c r="C8" s="46" t="s">
        <v>61</v>
      </c>
      <c r="D8" s="56"/>
      <c r="E8" s="56"/>
      <c r="F8" s="57"/>
      <c r="G8" s="58" t="s">
        <v>57</v>
      </c>
      <c r="H8" s="59" t="s">
        <v>57</v>
      </c>
      <c r="I8" s="59" t="s">
        <v>57</v>
      </c>
      <c r="J8" s="60" t="s">
        <v>57</v>
      </c>
      <c r="K8" s="59" t="s">
        <v>57</v>
      </c>
      <c r="L8" s="60" t="s">
        <v>57</v>
      </c>
      <c r="M8" s="61" t="s">
        <v>57</v>
      </c>
      <c r="N8" s="62" t="s">
        <v>57</v>
      </c>
      <c r="O8" s="59" t="s">
        <v>57</v>
      </c>
      <c r="P8" s="59" t="s">
        <v>57</v>
      </c>
      <c r="Q8" s="59" t="s">
        <v>57</v>
      </c>
      <c r="R8" s="59" t="s">
        <v>57</v>
      </c>
      <c r="S8" s="60" t="s">
        <v>57</v>
      </c>
      <c r="T8" s="63" t="s">
        <v>57</v>
      </c>
      <c r="U8" s="58" t="s">
        <v>57</v>
      </c>
      <c r="V8" s="59" t="s">
        <v>57</v>
      </c>
      <c r="W8" s="59" t="s">
        <v>57</v>
      </c>
      <c r="X8" s="59" t="s">
        <v>57</v>
      </c>
      <c r="Y8" s="59" t="s">
        <v>57</v>
      </c>
      <c r="Z8" s="59" t="s">
        <v>57</v>
      </c>
      <c r="AA8" s="61" t="s">
        <v>57</v>
      </c>
      <c r="AB8" s="62" t="s">
        <v>57</v>
      </c>
      <c r="AC8" s="59" t="s">
        <v>57</v>
      </c>
      <c r="AD8" s="59" t="s">
        <v>57</v>
      </c>
      <c r="AE8" s="59" t="s">
        <v>57</v>
      </c>
      <c r="AF8" s="59" t="s">
        <v>57</v>
      </c>
      <c r="AG8" s="59" t="s">
        <v>57</v>
      </c>
      <c r="AH8" s="63" t="s">
        <v>57</v>
      </c>
      <c r="AI8" s="58" t="s">
        <v>57</v>
      </c>
      <c r="AJ8" s="59" t="s">
        <v>57</v>
      </c>
      <c r="AK8" s="59" t="s">
        <v>57</v>
      </c>
      <c r="AL8" s="59" t="s">
        <v>57</v>
      </c>
      <c r="AM8" s="59" t="s">
        <v>57</v>
      </c>
      <c r="AN8" s="59" t="s">
        <v>57</v>
      </c>
      <c r="AO8" s="63" t="s">
        <v>57</v>
      </c>
      <c r="AP8" s="58" t="s">
        <v>57</v>
      </c>
      <c r="AQ8" s="59" t="s">
        <v>57</v>
      </c>
      <c r="AR8" s="59" t="s">
        <v>57</v>
      </c>
      <c r="AS8" s="59" t="s">
        <v>57</v>
      </c>
      <c r="AT8" s="59" t="s">
        <v>57</v>
      </c>
      <c r="AU8" s="59" t="s">
        <v>57</v>
      </c>
      <c r="AV8" s="61" t="s">
        <v>57</v>
      </c>
      <c r="AW8" s="58" t="s">
        <v>57</v>
      </c>
      <c r="AX8" s="59" t="s">
        <v>57</v>
      </c>
      <c r="AY8" s="59" t="s">
        <v>57</v>
      </c>
      <c r="AZ8" s="59" t="s">
        <v>57</v>
      </c>
      <c r="BA8" s="59" t="s">
        <v>57</v>
      </c>
      <c r="BB8" s="59" t="s">
        <v>57</v>
      </c>
      <c r="BC8" s="61" t="s">
        <v>57</v>
      </c>
    </row>
    <row r="9" spans="1:55" ht="18" customHeight="1" x14ac:dyDescent="0.3">
      <c r="A9" s="55">
        <v>4</v>
      </c>
      <c r="B9" s="45" t="s">
        <v>62</v>
      </c>
      <c r="C9" s="46" t="s">
        <v>63</v>
      </c>
      <c r="D9" s="56"/>
      <c r="E9" s="56"/>
      <c r="F9" s="57"/>
      <c r="G9" s="58" t="s">
        <v>57</v>
      </c>
      <c r="H9" s="59" t="s">
        <v>57</v>
      </c>
      <c r="I9" s="59" t="s">
        <v>57</v>
      </c>
      <c r="J9" s="60" t="s">
        <v>57</v>
      </c>
      <c r="K9" s="59" t="s">
        <v>57</v>
      </c>
      <c r="L9" s="60" t="s">
        <v>57</v>
      </c>
      <c r="M9" s="61" t="s">
        <v>57</v>
      </c>
      <c r="N9" s="62" t="s">
        <v>57</v>
      </c>
      <c r="O9" s="59" t="s">
        <v>57</v>
      </c>
      <c r="P9" s="59" t="s">
        <v>57</v>
      </c>
      <c r="Q9" s="59" t="s">
        <v>57</v>
      </c>
      <c r="R9" s="59" t="s">
        <v>57</v>
      </c>
      <c r="S9" s="60" t="s">
        <v>57</v>
      </c>
      <c r="T9" s="63" t="s">
        <v>57</v>
      </c>
      <c r="U9" s="58" t="s">
        <v>57</v>
      </c>
      <c r="V9" s="59" t="s">
        <v>57</v>
      </c>
      <c r="W9" s="59" t="s">
        <v>57</v>
      </c>
      <c r="X9" s="59" t="s">
        <v>57</v>
      </c>
      <c r="Y9" s="59" t="s">
        <v>57</v>
      </c>
      <c r="Z9" s="59" t="s">
        <v>57</v>
      </c>
      <c r="AA9" s="61" t="s">
        <v>57</v>
      </c>
      <c r="AB9" s="62" t="s">
        <v>57</v>
      </c>
      <c r="AC9" s="59" t="s">
        <v>57</v>
      </c>
      <c r="AD9" s="59" t="s">
        <v>57</v>
      </c>
      <c r="AE9" s="59" t="s">
        <v>57</v>
      </c>
      <c r="AF9" s="59" t="s">
        <v>57</v>
      </c>
      <c r="AG9" s="59" t="s">
        <v>57</v>
      </c>
      <c r="AH9" s="63" t="s">
        <v>57</v>
      </c>
      <c r="AI9" s="58" t="s">
        <v>57</v>
      </c>
      <c r="AJ9" s="59" t="s">
        <v>57</v>
      </c>
      <c r="AK9" s="59" t="s">
        <v>57</v>
      </c>
      <c r="AL9" s="59" t="s">
        <v>57</v>
      </c>
      <c r="AM9" s="59" t="s">
        <v>57</v>
      </c>
      <c r="AN9" s="59" t="s">
        <v>57</v>
      </c>
      <c r="AO9" s="63" t="s">
        <v>57</v>
      </c>
      <c r="AP9" s="58" t="s">
        <v>57</v>
      </c>
      <c r="AQ9" s="59" t="s">
        <v>57</v>
      </c>
      <c r="AR9" s="59" t="s">
        <v>57</v>
      </c>
      <c r="AS9" s="59" t="s">
        <v>57</v>
      </c>
      <c r="AT9" s="59" t="s">
        <v>57</v>
      </c>
      <c r="AU9" s="59" t="s">
        <v>57</v>
      </c>
      <c r="AV9" s="61" t="s">
        <v>57</v>
      </c>
      <c r="AW9" s="58" t="s">
        <v>57</v>
      </c>
      <c r="AX9" s="59" t="s">
        <v>57</v>
      </c>
      <c r="AY9" s="59" t="s">
        <v>57</v>
      </c>
      <c r="AZ9" s="59" t="s">
        <v>57</v>
      </c>
      <c r="BA9" s="59" t="s">
        <v>57</v>
      </c>
      <c r="BB9" s="59" t="s">
        <v>57</v>
      </c>
      <c r="BC9" s="61" t="s">
        <v>57</v>
      </c>
    </row>
    <row r="10" spans="1:55" ht="18" customHeight="1" x14ac:dyDescent="0.3">
      <c r="A10" s="55">
        <v>5</v>
      </c>
      <c r="B10" s="45" t="s">
        <v>64</v>
      </c>
      <c r="C10" s="46" t="s">
        <v>65</v>
      </c>
      <c r="D10" s="56"/>
      <c r="E10" s="56"/>
      <c r="F10" s="57"/>
      <c r="G10" s="58" t="s">
        <v>57</v>
      </c>
      <c r="H10" s="59" t="s">
        <v>57</v>
      </c>
      <c r="I10" s="59" t="s">
        <v>57</v>
      </c>
      <c r="J10" s="60" t="s">
        <v>57</v>
      </c>
      <c r="K10" s="59" t="s">
        <v>57</v>
      </c>
      <c r="L10" s="60" t="s">
        <v>57</v>
      </c>
      <c r="M10" s="61" t="s">
        <v>57</v>
      </c>
      <c r="N10" s="62" t="s">
        <v>57</v>
      </c>
      <c r="O10" s="59" t="s">
        <v>57</v>
      </c>
      <c r="P10" s="59" t="s">
        <v>57</v>
      </c>
      <c r="Q10" s="59" t="s">
        <v>57</v>
      </c>
      <c r="R10" s="59" t="s">
        <v>57</v>
      </c>
      <c r="S10" s="60" t="s">
        <v>57</v>
      </c>
      <c r="T10" s="63" t="s">
        <v>57</v>
      </c>
      <c r="U10" s="58" t="s">
        <v>57</v>
      </c>
      <c r="V10" s="59" t="s">
        <v>57</v>
      </c>
      <c r="W10" s="59" t="s">
        <v>57</v>
      </c>
      <c r="X10" s="59" t="s">
        <v>57</v>
      </c>
      <c r="Y10" s="59" t="s">
        <v>57</v>
      </c>
      <c r="Z10" s="59" t="s">
        <v>57</v>
      </c>
      <c r="AA10" s="61" t="s">
        <v>57</v>
      </c>
      <c r="AB10" s="62" t="s">
        <v>57</v>
      </c>
      <c r="AC10" s="59" t="s">
        <v>57</v>
      </c>
      <c r="AD10" s="59" t="s">
        <v>57</v>
      </c>
      <c r="AE10" s="59" t="s">
        <v>57</v>
      </c>
      <c r="AF10" s="59" t="s">
        <v>57</v>
      </c>
      <c r="AG10" s="59" t="s">
        <v>57</v>
      </c>
      <c r="AH10" s="63" t="s">
        <v>57</v>
      </c>
      <c r="AI10" s="58" t="s">
        <v>57</v>
      </c>
      <c r="AJ10" s="59" t="s">
        <v>57</v>
      </c>
      <c r="AK10" s="59" t="s">
        <v>57</v>
      </c>
      <c r="AL10" s="59" t="s">
        <v>57</v>
      </c>
      <c r="AM10" s="59" t="s">
        <v>57</v>
      </c>
      <c r="AN10" s="59" t="s">
        <v>57</v>
      </c>
      <c r="AO10" s="63" t="s">
        <v>57</v>
      </c>
      <c r="AP10" s="58" t="s">
        <v>57</v>
      </c>
      <c r="AQ10" s="59" t="s">
        <v>57</v>
      </c>
      <c r="AR10" s="59" t="s">
        <v>57</v>
      </c>
      <c r="AS10" s="59" t="s">
        <v>57</v>
      </c>
      <c r="AT10" s="59" t="s">
        <v>57</v>
      </c>
      <c r="AU10" s="59" t="s">
        <v>57</v>
      </c>
      <c r="AV10" s="61" t="s">
        <v>57</v>
      </c>
      <c r="AW10" s="58" t="s">
        <v>57</v>
      </c>
      <c r="AX10" s="59" t="s">
        <v>57</v>
      </c>
      <c r="AY10" s="59" t="s">
        <v>57</v>
      </c>
      <c r="AZ10" s="59" t="s">
        <v>57</v>
      </c>
      <c r="BA10" s="59" t="s">
        <v>57</v>
      </c>
      <c r="BB10" s="59" t="s">
        <v>57</v>
      </c>
      <c r="BC10" s="61" t="s">
        <v>57</v>
      </c>
    </row>
    <row r="11" spans="1:55" ht="18" customHeight="1" x14ac:dyDescent="0.3">
      <c r="A11" s="55">
        <v>6</v>
      </c>
      <c r="B11" s="45" t="s">
        <v>66</v>
      </c>
      <c r="C11" s="46" t="s">
        <v>67</v>
      </c>
      <c r="D11" s="56"/>
      <c r="E11" s="56"/>
      <c r="F11" s="57"/>
      <c r="G11" s="58" t="s">
        <v>57</v>
      </c>
      <c r="H11" s="59" t="s">
        <v>57</v>
      </c>
      <c r="I11" s="59" t="s">
        <v>57</v>
      </c>
      <c r="J11" s="60" t="s">
        <v>57</v>
      </c>
      <c r="K11" s="59" t="s">
        <v>57</v>
      </c>
      <c r="L11" s="60" t="s">
        <v>57</v>
      </c>
      <c r="M11" s="61" t="s">
        <v>57</v>
      </c>
      <c r="N11" s="62" t="s">
        <v>57</v>
      </c>
      <c r="O11" s="59" t="s">
        <v>57</v>
      </c>
      <c r="P11" s="59" t="s">
        <v>57</v>
      </c>
      <c r="Q11" s="59" t="s">
        <v>57</v>
      </c>
      <c r="R11" s="59" t="s">
        <v>57</v>
      </c>
      <c r="S11" s="60" t="s">
        <v>57</v>
      </c>
      <c r="T11" s="63" t="s">
        <v>57</v>
      </c>
      <c r="U11" s="58" t="s">
        <v>57</v>
      </c>
      <c r="V11" s="59" t="s">
        <v>57</v>
      </c>
      <c r="W11" s="59" t="s">
        <v>57</v>
      </c>
      <c r="X11" s="59" t="s">
        <v>57</v>
      </c>
      <c r="Y11" s="59" t="s">
        <v>57</v>
      </c>
      <c r="Z11" s="59" t="s">
        <v>57</v>
      </c>
      <c r="AA11" s="61" t="s">
        <v>57</v>
      </c>
      <c r="AB11" s="62" t="s">
        <v>57</v>
      </c>
      <c r="AC11" s="59" t="s">
        <v>57</v>
      </c>
      <c r="AD11" s="59" t="s">
        <v>57</v>
      </c>
      <c r="AE11" s="59" t="s">
        <v>57</v>
      </c>
      <c r="AF11" s="59" t="s">
        <v>57</v>
      </c>
      <c r="AG11" s="59" t="s">
        <v>57</v>
      </c>
      <c r="AH11" s="63" t="s">
        <v>57</v>
      </c>
      <c r="AI11" s="58" t="s">
        <v>57</v>
      </c>
      <c r="AJ11" s="59" t="s">
        <v>57</v>
      </c>
      <c r="AK11" s="59" t="s">
        <v>57</v>
      </c>
      <c r="AL11" s="59" t="s">
        <v>57</v>
      </c>
      <c r="AM11" s="59" t="s">
        <v>57</v>
      </c>
      <c r="AN11" s="59" t="s">
        <v>57</v>
      </c>
      <c r="AO11" s="63" t="s">
        <v>57</v>
      </c>
      <c r="AP11" s="58" t="s">
        <v>57</v>
      </c>
      <c r="AQ11" s="59" t="s">
        <v>57</v>
      </c>
      <c r="AR11" s="59" t="s">
        <v>57</v>
      </c>
      <c r="AS11" s="59" t="s">
        <v>57</v>
      </c>
      <c r="AT11" s="59" t="s">
        <v>57</v>
      </c>
      <c r="AU11" s="59" t="s">
        <v>57</v>
      </c>
      <c r="AV11" s="61" t="s">
        <v>57</v>
      </c>
      <c r="AW11" s="58" t="s">
        <v>57</v>
      </c>
      <c r="AX11" s="59" t="s">
        <v>57</v>
      </c>
      <c r="AY11" s="59" t="s">
        <v>57</v>
      </c>
      <c r="AZ11" s="59" t="s">
        <v>57</v>
      </c>
      <c r="BA11" s="59" t="s">
        <v>57</v>
      </c>
      <c r="BB11" s="59" t="s">
        <v>57</v>
      </c>
      <c r="BC11" s="61" t="s">
        <v>57</v>
      </c>
    </row>
    <row r="12" spans="1:55" ht="18" customHeight="1" x14ac:dyDescent="0.3">
      <c r="A12" s="55">
        <v>7</v>
      </c>
      <c r="B12" s="45" t="s">
        <v>68</v>
      </c>
      <c r="C12" s="46" t="s">
        <v>69</v>
      </c>
      <c r="D12" s="56"/>
      <c r="E12" s="56"/>
      <c r="F12" s="57"/>
      <c r="G12" s="58" t="s">
        <v>57</v>
      </c>
      <c r="H12" s="59" t="s">
        <v>57</v>
      </c>
      <c r="I12" s="59" t="s">
        <v>57</v>
      </c>
      <c r="J12" s="60" t="s">
        <v>57</v>
      </c>
      <c r="K12" s="59" t="s">
        <v>57</v>
      </c>
      <c r="L12" s="60" t="s">
        <v>57</v>
      </c>
      <c r="M12" s="61" t="s">
        <v>57</v>
      </c>
      <c r="N12" s="62" t="s">
        <v>57</v>
      </c>
      <c r="O12" s="59" t="s">
        <v>57</v>
      </c>
      <c r="P12" s="59" t="s">
        <v>57</v>
      </c>
      <c r="Q12" s="59" t="s">
        <v>57</v>
      </c>
      <c r="R12" s="59" t="s">
        <v>57</v>
      </c>
      <c r="S12" s="60" t="s">
        <v>57</v>
      </c>
      <c r="T12" s="63" t="s">
        <v>57</v>
      </c>
      <c r="U12" s="58" t="s">
        <v>57</v>
      </c>
      <c r="V12" s="59" t="s">
        <v>57</v>
      </c>
      <c r="W12" s="59" t="s">
        <v>57</v>
      </c>
      <c r="X12" s="59" t="s">
        <v>57</v>
      </c>
      <c r="Y12" s="59" t="s">
        <v>57</v>
      </c>
      <c r="Z12" s="59" t="s">
        <v>57</v>
      </c>
      <c r="AA12" s="61" t="s">
        <v>57</v>
      </c>
      <c r="AB12" s="62" t="s">
        <v>57</v>
      </c>
      <c r="AC12" s="59" t="s">
        <v>57</v>
      </c>
      <c r="AD12" s="59" t="s">
        <v>57</v>
      </c>
      <c r="AE12" s="59" t="s">
        <v>57</v>
      </c>
      <c r="AF12" s="59" t="s">
        <v>57</v>
      </c>
      <c r="AG12" s="59" t="s">
        <v>57</v>
      </c>
      <c r="AH12" s="63" t="s">
        <v>57</v>
      </c>
      <c r="AI12" s="58" t="s">
        <v>57</v>
      </c>
      <c r="AJ12" s="59" t="s">
        <v>57</v>
      </c>
      <c r="AK12" s="59" t="s">
        <v>57</v>
      </c>
      <c r="AL12" s="59" t="s">
        <v>57</v>
      </c>
      <c r="AM12" s="59" t="s">
        <v>57</v>
      </c>
      <c r="AN12" s="59" t="s">
        <v>57</v>
      </c>
      <c r="AO12" s="63" t="s">
        <v>57</v>
      </c>
      <c r="AP12" s="58" t="s">
        <v>57</v>
      </c>
      <c r="AQ12" s="59" t="s">
        <v>57</v>
      </c>
      <c r="AR12" s="59" t="s">
        <v>57</v>
      </c>
      <c r="AS12" s="59" t="s">
        <v>57</v>
      </c>
      <c r="AT12" s="59" t="s">
        <v>57</v>
      </c>
      <c r="AU12" s="59" t="s">
        <v>57</v>
      </c>
      <c r="AV12" s="61" t="s">
        <v>57</v>
      </c>
      <c r="AW12" s="58" t="s">
        <v>57</v>
      </c>
      <c r="AX12" s="59" t="s">
        <v>57</v>
      </c>
      <c r="AY12" s="59" t="s">
        <v>57</v>
      </c>
      <c r="AZ12" s="59" t="s">
        <v>57</v>
      </c>
      <c r="BA12" s="59" t="s">
        <v>57</v>
      </c>
      <c r="BB12" s="59" t="s">
        <v>57</v>
      </c>
      <c r="BC12" s="61" t="s">
        <v>57</v>
      </c>
    </row>
    <row r="13" spans="1:55" ht="18" customHeight="1" x14ac:dyDescent="0.3">
      <c r="A13" s="55">
        <v>8</v>
      </c>
      <c r="B13" s="45" t="s">
        <v>70</v>
      </c>
      <c r="C13" s="46" t="s">
        <v>71</v>
      </c>
      <c r="D13" s="56"/>
      <c r="E13" s="56"/>
      <c r="F13" s="57"/>
      <c r="G13" s="58" t="s">
        <v>57</v>
      </c>
      <c r="H13" s="59" t="s">
        <v>57</v>
      </c>
      <c r="I13" s="59" t="s">
        <v>57</v>
      </c>
      <c r="J13" s="60" t="s">
        <v>57</v>
      </c>
      <c r="K13" s="59" t="s">
        <v>57</v>
      </c>
      <c r="L13" s="60" t="s">
        <v>57</v>
      </c>
      <c r="M13" s="61" t="s">
        <v>57</v>
      </c>
      <c r="N13" s="62" t="s">
        <v>57</v>
      </c>
      <c r="O13" s="59" t="s">
        <v>57</v>
      </c>
      <c r="P13" s="59" t="s">
        <v>57</v>
      </c>
      <c r="Q13" s="59" t="s">
        <v>57</v>
      </c>
      <c r="R13" s="59" t="s">
        <v>57</v>
      </c>
      <c r="S13" s="60" t="s">
        <v>57</v>
      </c>
      <c r="T13" s="63" t="s">
        <v>57</v>
      </c>
      <c r="U13" s="58" t="s">
        <v>57</v>
      </c>
      <c r="V13" s="59" t="s">
        <v>57</v>
      </c>
      <c r="W13" s="59" t="s">
        <v>57</v>
      </c>
      <c r="X13" s="59" t="s">
        <v>57</v>
      </c>
      <c r="Y13" s="59" t="s">
        <v>57</v>
      </c>
      <c r="Z13" s="59" t="s">
        <v>57</v>
      </c>
      <c r="AA13" s="61" t="s">
        <v>57</v>
      </c>
      <c r="AB13" s="62" t="s">
        <v>57</v>
      </c>
      <c r="AC13" s="59" t="s">
        <v>57</v>
      </c>
      <c r="AD13" s="59" t="s">
        <v>57</v>
      </c>
      <c r="AE13" s="59" t="s">
        <v>57</v>
      </c>
      <c r="AF13" s="59" t="s">
        <v>57</v>
      </c>
      <c r="AG13" s="59" t="s">
        <v>57</v>
      </c>
      <c r="AH13" s="63" t="s">
        <v>57</v>
      </c>
      <c r="AI13" s="58" t="s">
        <v>57</v>
      </c>
      <c r="AJ13" s="59" t="s">
        <v>57</v>
      </c>
      <c r="AK13" s="59" t="s">
        <v>57</v>
      </c>
      <c r="AL13" s="59" t="s">
        <v>57</v>
      </c>
      <c r="AM13" s="59" t="s">
        <v>57</v>
      </c>
      <c r="AN13" s="59" t="s">
        <v>57</v>
      </c>
      <c r="AO13" s="63" t="s">
        <v>57</v>
      </c>
      <c r="AP13" s="58" t="s">
        <v>57</v>
      </c>
      <c r="AQ13" s="59" t="s">
        <v>57</v>
      </c>
      <c r="AR13" s="59" t="s">
        <v>57</v>
      </c>
      <c r="AS13" s="59" t="s">
        <v>57</v>
      </c>
      <c r="AT13" s="59" t="s">
        <v>57</v>
      </c>
      <c r="AU13" s="59" t="s">
        <v>57</v>
      </c>
      <c r="AV13" s="61" t="s">
        <v>57</v>
      </c>
      <c r="AW13" s="58" t="s">
        <v>57</v>
      </c>
      <c r="AX13" s="59" t="s">
        <v>57</v>
      </c>
      <c r="AY13" s="59" t="s">
        <v>57</v>
      </c>
      <c r="AZ13" s="59" t="s">
        <v>57</v>
      </c>
      <c r="BA13" s="59" t="s">
        <v>57</v>
      </c>
      <c r="BB13" s="59" t="s">
        <v>57</v>
      </c>
      <c r="BC13" s="61" t="s">
        <v>57</v>
      </c>
    </row>
    <row r="14" spans="1:55" ht="18" customHeight="1" x14ac:dyDescent="0.3">
      <c r="A14" s="55">
        <v>9</v>
      </c>
      <c r="B14" s="65" t="s">
        <v>72</v>
      </c>
      <c r="C14" s="46" t="s">
        <v>73</v>
      </c>
      <c r="D14" s="56"/>
      <c r="E14" s="56"/>
      <c r="F14" s="57"/>
      <c r="G14" s="58" t="s">
        <v>57</v>
      </c>
      <c r="H14" s="59" t="s">
        <v>57</v>
      </c>
      <c r="I14" s="59" t="s">
        <v>57</v>
      </c>
      <c r="J14" s="60" t="s">
        <v>57</v>
      </c>
      <c r="K14" s="59" t="s">
        <v>57</v>
      </c>
      <c r="L14" s="60" t="s">
        <v>57</v>
      </c>
      <c r="M14" s="61" t="s">
        <v>57</v>
      </c>
      <c r="N14" s="62" t="s">
        <v>57</v>
      </c>
      <c r="O14" s="59" t="s">
        <v>57</v>
      </c>
      <c r="P14" s="59" t="s">
        <v>57</v>
      </c>
      <c r="Q14" s="59" t="s">
        <v>57</v>
      </c>
      <c r="R14" s="59" t="s">
        <v>57</v>
      </c>
      <c r="S14" s="60" t="s">
        <v>57</v>
      </c>
      <c r="T14" s="63" t="s">
        <v>57</v>
      </c>
      <c r="U14" s="58" t="s">
        <v>57</v>
      </c>
      <c r="V14" s="59" t="s">
        <v>57</v>
      </c>
      <c r="W14" s="59" t="s">
        <v>57</v>
      </c>
      <c r="X14" s="59" t="s">
        <v>57</v>
      </c>
      <c r="Y14" s="59" t="s">
        <v>57</v>
      </c>
      <c r="Z14" s="59" t="s">
        <v>57</v>
      </c>
      <c r="AA14" s="61" t="s">
        <v>57</v>
      </c>
      <c r="AB14" s="62" t="s">
        <v>57</v>
      </c>
      <c r="AC14" s="59" t="s">
        <v>57</v>
      </c>
      <c r="AD14" s="59" t="s">
        <v>57</v>
      </c>
      <c r="AE14" s="59" t="s">
        <v>57</v>
      </c>
      <c r="AF14" s="59" t="s">
        <v>57</v>
      </c>
      <c r="AG14" s="59" t="s">
        <v>57</v>
      </c>
      <c r="AH14" s="63" t="s">
        <v>57</v>
      </c>
      <c r="AI14" s="58" t="s">
        <v>57</v>
      </c>
      <c r="AJ14" s="59" t="s">
        <v>57</v>
      </c>
      <c r="AK14" s="59" t="s">
        <v>57</v>
      </c>
      <c r="AL14" s="59" t="s">
        <v>57</v>
      </c>
      <c r="AM14" s="59" t="s">
        <v>57</v>
      </c>
      <c r="AN14" s="59" t="s">
        <v>57</v>
      </c>
      <c r="AO14" s="63" t="s">
        <v>57</v>
      </c>
      <c r="AP14" s="58" t="s">
        <v>57</v>
      </c>
      <c r="AQ14" s="59" t="s">
        <v>57</v>
      </c>
      <c r="AR14" s="59" t="s">
        <v>57</v>
      </c>
      <c r="AS14" s="59" t="s">
        <v>57</v>
      </c>
      <c r="AT14" s="59" t="s">
        <v>57</v>
      </c>
      <c r="AU14" s="59" t="s">
        <v>57</v>
      </c>
      <c r="AV14" s="61" t="s">
        <v>57</v>
      </c>
      <c r="AW14" s="58" t="s">
        <v>57</v>
      </c>
      <c r="AX14" s="59" t="s">
        <v>57</v>
      </c>
      <c r="AY14" s="59" t="s">
        <v>57</v>
      </c>
      <c r="AZ14" s="59" t="s">
        <v>57</v>
      </c>
      <c r="BA14" s="59" t="s">
        <v>57</v>
      </c>
      <c r="BB14" s="59" t="s">
        <v>57</v>
      </c>
      <c r="BC14" s="61" t="s">
        <v>57</v>
      </c>
    </row>
    <row r="15" spans="1:55" ht="18" customHeight="1" x14ac:dyDescent="0.3">
      <c r="A15" s="55">
        <v>10</v>
      </c>
      <c r="B15" s="65" t="s">
        <v>74</v>
      </c>
      <c r="C15" s="46" t="s">
        <v>75</v>
      </c>
      <c r="D15" s="56"/>
      <c r="E15" s="56"/>
      <c r="F15" s="57"/>
      <c r="G15" s="58" t="s">
        <v>57</v>
      </c>
      <c r="H15" s="59" t="s">
        <v>57</v>
      </c>
      <c r="I15" s="59" t="s">
        <v>57</v>
      </c>
      <c r="J15" s="60" t="s">
        <v>57</v>
      </c>
      <c r="K15" s="59" t="s">
        <v>57</v>
      </c>
      <c r="L15" s="60" t="s">
        <v>57</v>
      </c>
      <c r="M15" s="61" t="s">
        <v>57</v>
      </c>
      <c r="N15" s="62" t="s">
        <v>57</v>
      </c>
      <c r="O15" s="59" t="s">
        <v>57</v>
      </c>
      <c r="P15" s="59" t="s">
        <v>57</v>
      </c>
      <c r="Q15" s="59" t="s">
        <v>57</v>
      </c>
      <c r="R15" s="59" t="s">
        <v>57</v>
      </c>
      <c r="S15" s="60" t="s">
        <v>57</v>
      </c>
      <c r="T15" s="63" t="s">
        <v>57</v>
      </c>
      <c r="U15" s="58" t="s">
        <v>57</v>
      </c>
      <c r="V15" s="59" t="s">
        <v>57</v>
      </c>
      <c r="W15" s="59" t="s">
        <v>57</v>
      </c>
      <c r="X15" s="59" t="s">
        <v>57</v>
      </c>
      <c r="Y15" s="59" t="s">
        <v>57</v>
      </c>
      <c r="Z15" s="59" t="s">
        <v>57</v>
      </c>
      <c r="AA15" s="61" t="s">
        <v>57</v>
      </c>
      <c r="AB15" s="62" t="s">
        <v>57</v>
      </c>
      <c r="AC15" s="59" t="s">
        <v>57</v>
      </c>
      <c r="AD15" s="59" t="s">
        <v>57</v>
      </c>
      <c r="AE15" s="59" t="s">
        <v>57</v>
      </c>
      <c r="AF15" s="59" t="s">
        <v>57</v>
      </c>
      <c r="AG15" s="59" t="s">
        <v>57</v>
      </c>
      <c r="AH15" s="63" t="s">
        <v>57</v>
      </c>
      <c r="AI15" s="58" t="s">
        <v>57</v>
      </c>
      <c r="AJ15" s="59" t="s">
        <v>57</v>
      </c>
      <c r="AK15" s="59" t="s">
        <v>57</v>
      </c>
      <c r="AL15" s="59" t="s">
        <v>57</v>
      </c>
      <c r="AM15" s="59" t="s">
        <v>57</v>
      </c>
      <c r="AN15" s="59" t="s">
        <v>57</v>
      </c>
      <c r="AO15" s="63" t="s">
        <v>57</v>
      </c>
      <c r="AP15" s="58" t="s">
        <v>57</v>
      </c>
      <c r="AQ15" s="59" t="s">
        <v>57</v>
      </c>
      <c r="AR15" s="59" t="s">
        <v>57</v>
      </c>
      <c r="AS15" s="59" t="s">
        <v>57</v>
      </c>
      <c r="AT15" s="59" t="s">
        <v>57</v>
      </c>
      <c r="AU15" s="59" t="s">
        <v>57</v>
      </c>
      <c r="AV15" s="61" t="s">
        <v>57</v>
      </c>
      <c r="AW15" s="58" t="s">
        <v>57</v>
      </c>
      <c r="AX15" s="59" t="s">
        <v>57</v>
      </c>
      <c r="AY15" s="59" t="s">
        <v>57</v>
      </c>
      <c r="AZ15" s="59" t="s">
        <v>57</v>
      </c>
      <c r="BA15" s="59" t="s">
        <v>57</v>
      </c>
      <c r="BB15" s="59" t="s">
        <v>57</v>
      </c>
      <c r="BC15" s="61" t="s">
        <v>57</v>
      </c>
    </row>
    <row r="16" spans="1:55" ht="18" customHeight="1" x14ac:dyDescent="0.3">
      <c r="A16" s="55">
        <v>11</v>
      </c>
      <c r="B16" s="65" t="s">
        <v>76</v>
      </c>
      <c r="C16" s="46" t="s">
        <v>77</v>
      </c>
      <c r="D16" s="56"/>
      <c r="E16" s="56"/>
      <c r="F16" s="57"/>
      <c r="G16" s="58" t="s">
        <v>57</v>
      </c>
      <c r="H16" s="59" t="s">
        <v>57</v>
      </c>
      <c r="I16" s="59" t="s">
        <v>57</v>
      </c>
      <c r="J16" s="60" t="s">
        <v>57</v>
      </c>
      <c r="K16" s="59" t="s">
        <v>57</v>
      </c>
      <c r="L16" s="60" t="s">
        <v>57</v>
      </c>
      <c r="M16" s="61" t="s">
        <v>57</v>
      </c>
      <c r="N16" s="62" t="s">
        <v>57</v>
      </c>
      <c r="O16" s="59" t="s">
        <v>57</v>
      </c>
      <c r="P16" s="59" t="s">
        <v>57</v>
      </c>
      <c r="Q16" s="59" t="s">
        <v>57</v>
      </c>
      <c r="R16" s="59" t="s">
        <v>57</v>
      </c>
      <c r="S16" s="60" t="s">
        <v>57</v>
      </c>
      <c r="T16" s="63" t="s">
        <v>57</v>
      </c>
      <c r="U16" s="58" t="s">
        <v>57</v>
      </c>
      <c r="V16" s="59" t="s">
        <v>57</v>
      </c>
      <c r="W16" s="59" t="s">
        <v>57</v>
      </c>
      <c r="X16" s="59" t="s">
        <v>57</v>
      </c>
      <c r="Y16" s="59" t="s">
        <v>57</v>
      </c>
      <c r="Z16" s="59" t="s">
        <v>57</v>
      </c>
      <c r="AA16" s="61" t="s">
        <v>57</v>
      </c>
      <c r="AB16" s="62" t="s">
        <v>57</v>
      </c>
      <c r="AC16" s="59" t="s">
        <v>57</v>
      </c>
      <c r="AD16" s="59" t="s">
        <v>57</v>
      </c>
      <c r="AE16" s="59" t="s">
        <v>57</v>
      </c>
      <c r="AF16" s="59" t="s">
        <v>57</v>
      </c>
      <c r="AG16" s="59" t="s">
        <v>57</v>
      </c>
      <c r="AH16" s="63" t="s">
        <v>57</v>
      </c>
      <c r="AI16" s="58" t="s">
        <v>57</v>
      </c>
      <c r="AJ16" s="59" t="s">
        <v>57</v>
      </c>
      <c r="AK16" s="59" t="s">
        <v>57</v>
      </c>
      <c r="AL16" s="59" t="s">
        <v>57</v>
      </c>
      <c r="AM16" s="59" t="s">
        <v>57</v>
      </c>
      <c r="AN16" s="59" t="s">
        <v>57</v>
      </c>
      <c r="AO16" s="63" t="s">
        <v>57</v>
      </c>
      <c r="AP16" s="58" t="s">
        <v>57</v>
      </c>
      <c r="AQ16" s="59" t="s">
        <v>57</v>
      </c>
      <c r="AR16" s="59" t="s">
        <v>57</v>
      </c>
      <c r="AS16" s="59" t="s">
        <v>57</v>
      </c>
      <c r="AT16" s="59" t="s">
        <v>57</v>
      </c>
      <c r="AU16" s="59" t="s">
        <v>57</v>
      </c>
      <c r="AV16" s="61" t="s">
        <v>57</v>
      </c>
      <c r="AW16" s="58" t="s">
        <v>57</v>
      </c>
      <c r="AX16" s="59" t="s">
        <v>57</v>
      </c>
      <c r="AY16" s="59" t="s">
        <v>57</v>
      </c>
      <c r="AZ16" s="59" t="s">
        <v>57</v>
      </c>
      <c r="BA16" s="59" t="s">
        <v>57</v>
      </c>
      <c r="BB16" s="59" t="s">
        <v>57</v>
      </c>
      <c r="BC16" s="61" t="s">
        <v>57</v>
      </c>
    </row>
    <row r="17" spans="1:55" ht="18" customHeight="1" x14ac:dyDescent="0.3">
      <c r="A17" s="55">
        <v>12</v>
      </c>
      <c r="B17" s="65" t="s">
        <v>78</v>
      </c>
      <c r="C17" s="46" t="s">
        <v>79</v>
      </c>
      <c r="D17" s="56"/>
      <c r="E17" s="56"/>
      <c r="F17" s="57"/>
      <c r="G17" s="58" t="s">
        <v>57</v>
      </c>
      <c r="H17" s="59" t="s">
        <v>57</v>
      </c>
      <c r="I17" s="59" t="s">
        <v>57</v>
      </c>
      <c r="J17" s="60" t="s">
        <v>57</v>
      </c>
      <c r="K17" s="59" t="s">
        <v>57</v>
      </c>
      <c r="L17" s="60" t="s">
        <v>57</v>
      </c>
      <c r="M17" s="61" t="s">
        <v>57</v>
      </c>
      <c r="N17" s="62" t="s">
        <v>57</v>
      </c>
      <c r="O17" s="59" t="s">
        <v>57</v>
      </c>
      <c r="P17" s="59" t="s">
        <v>57</v>
      </c>
      <c r="Q17" s="59" t="s">
        <v>57</v>
      </c>
      <c r="R17" s="59" t="s">
        <v>57</v>
      </c>
      <c r="S17" s="60" t="s">
        <v>57</v>
      </c>
      <c r="T17" s="63" t="s">
        <v>57</v>
      </c>
      <c r="U17" s="58" t="s">
        <v>57</v>
      </c>
      <c r="V17" s="59" t="s">
        <v>57</v>
      </c>
      <c r="W17" s="59" t="s">
        <v>57</v>
      </c>
      <c r="X17" s="59" t="s">
        <v>57</v>
      </c>
      <c r="Y17" s="59" t="s">
        <v>57</v>
      </c>
      <c r="Z17" s="59" t="s">
        <v>57</v>
      </c>
      <c r="AA17" s="61" t="s">
        <v>57</v>
      </c>
      <c r="AB17" s="62" t="s">
        <v>57</v>
      </c>
      <c r="AC17" s="59" t="s">
        <v>57</v>
      </c>
      <c r="AD17" s="59" t="s">
        <v>57</v>
      </c>
      <c r="AE17" s="59" t="s">
        <v>57</v>
      </c>
      <c r="AF17" s="59" t="s">
        <v>57</v>
      </c>
      <c r="AG17" s="59" t="s">
        <v>57</v>
      </c>
      <c r="AH17" s="63" t="s">
        <v>57</v>
      </c>
      <c r="AI17" s="58" t="s">
        <v>57</v>
      </c>
      <c r="AJ17" s="59" t="s">
        <v>57</v>
      </c>
      <c r="AK17" s="59" t="s">
        <v>57</v>
      </c>
      <c r="AL17" s="59" t="s">
        <v>57</v>
      </c>
      <c r="AM17" s="59" t="s">
        <v>57</v>
      </c>
      <c r="AN17" s="59" t="s">
        <v>57</v>
      </c>
      <c r="AO17" s="63" t="s">
        <v>57</v>
      </c>
      <c r="AP17" s="58" t="s">
        <v>57</v>
      </c>
      <c r="AQ17" s="59" t="s">
        <v>57</v>
      </c>
      <c r="AR17" s="59" t="s">
        <v>57</v>
      </c>
      <c r="AS17" s="59" t="s">
        <v>57</v>
      </c>
      <c r="AT17" s="59" t="s">
        <v>57</v>
      </c>
      <c r="AU17" s="59" t="s">
        <v>57</v>
      </c>
      <c r="AV17" s="61" t="s">
        <v>57</v>
      </c>
      <c r="AW17" s="58" t="s">
        <v>57</v>
      </c>
      <c r="AX17" s="59" t="s">
        <v>57</v>
      </c>
      <c r="AY17" s="59" t="s">
        <v>57</v>
      </c>
      <c r="AZ17" s="59" t="s">
        <v>57</v>
      </c>
      <c r="BA17" s="59" t="s">
        <v>57</v>
      </c>
      <c r="BB17" s="59" t="s">
        <v>57</v>
      </c>
      <c r="BC17" s="61" t="s">
        <v>57</v>
      </c>
    </row>
    <row r="18" spans="1:55" ht="18" customHeight="1" x14ac:dyDescent="0.3">
      <c r="A18" s="55">
        <v>13</v>
      </c>
      <c r="B18" s="65" t="s">
        <v>80</v>
      </c>
      <c r="C18" s="46" t="s">
        <v>81</v>
      </c>
      <c r="D18" s="56"/>
      <c r="E18" s="56"/>
      <c r="F18" s="57"/>
      <c r="G18" s="58" t="s">
        <v>57</v>
      </c>
      <c r="H18" s="59" t="s">
        <v>57</v>
      </c>
      <c r="I18" s="59" t="s">
        <v>57</v>
      </c>
      <c r="J18" s="60" t="s">
        <v>57</v>
      </c>
      <c r="K18" s="59" t="s">
        <v>57</v>
      </c>
      <c r="L18" s="60" t="s">
        <v>57</v>
      </c>
      <c r="M18" s="61" t="s">
        <v>57</v>
      </c>
      <c r="N18" s="62" t="s">
        <v>57</v>
      </c>
      <c r="O18" s="59" t="s">
        <v>57</v>
      </c>
      <c r="P18" s="59" t="s">
        <v>57</v>
      </c>
      <c r="Q18" s="59" t="s">
        <v>57</v>
      </c>
      <c r="R18" s="59" t="s">
        <v>57</v>
      </c>
      <c r="S18" s="60" t="s">
        <v>57</v>
      </c>
      <c r="T18" s="63" t="s">
        <v>57</v>
      </c>
      <c r="U18" s="58" t="s">
        <v>57</v>
      </c>
      <c r="V18" s="59" t="s">
        <v>57</v>
      </c>
      <c r="W18" s="59" t="s">
        <v>57</v>
      </c>
      <c r="X18" s="59" t="s">
        <v>57</v>
      </c>
      <c r="Y18" s="59" t="s">
        <v>57</v>
      </c>
      <c r="Z18" s="59" t="s">
        <v>57</v>
      </c>
      <c r="AA18" s="61" t="s">
        <v>57</v>
      </c>
      <c r="AB18" s="62" t="s">
        <v>57</v>
      </c>
      <c r="AC18" s="59" t="s">
        <v>57</v>
      </c>
      <c r="AD18" s="59" t="s">
        <v>57</v>
      </c>
      <c r="AE18" s="59" t="s">
        <v>57</v>
      </c>
      <c r="AF18" s="59" t="s">
        <v>57</v>
      </c>
      <c r="AG18" s="59" t="s">
        <v>57</v>
      </c>
      <c r="AH18" s="63" t="s">
        <v>57</v>
      </c>
      <c r="AI18" s="58" t="s">
        <v>57</v>
      </c>
      <c r="AJ18" s="59" t="s">
        <v>57</v>
      </c>
      <c r="AK18" s="59" t="s">
        <v>57</v>
      </c>
      <c r="AL18" s="59" t="s">
        <v>57</v>
      </c>
      <c r="AM18" s="59" t="s">
        <v>57</v>
      </c>
      <c r="AN18" s="59" t="s">
        <v>57</v>
      </c>
      <c r="AO18" s="63" t="s">
        <v>57</v>
      </c>
      <c r="AP18" s="58" t="s">
        <v>57</v>
      </c>
      <c r="AQ18" s="59" t="s">
        <v>57</v>
      </c>
      <c r="AR18" s="59" t="s">
        <v>57</v>
      </c>
      <c r="AS18" s="59" t="s">
        <v>57</v>
      </c>
      <c r="AT18" s="59" t="s">
        <v>57</v>
      </c>
      <c r="AU18" s="59" t="s">
        <v>57</v>
      </c>
      <c r="AV18" s="61" t="s">
        <v>57</v>
      </c>
      <c r="AW18" s="58" t="s">
        <v>57</v>
      </c>
      <c r="AX18" s="59" t="s">
        <v>57</v>
      </c>
      <c r="AY18" s="59" t="s">
        <v>57</v>
      </c>
      <c r="AZ18" s="59" t="s">
        <v>57</v>
      </c>
      <c r="BA18" s="59" t="s">
        <v>57</v>
      </c>
      <c r="BB18" s="59" t="s">
        <v>57</v>
      </c>
      <c r="BC18" s="61" t="s">
        <v>57</v>
      </c>
    </row>
    <row r="19" spans="1:55" ht="18" customHeight="1" x14ac:dyDescent="0.3">
      <c r="A19" s="55">
        <v>14</v>
      </c>
      <c r="B19" s="65" t="s">
        <v>82</v>
      </c>
      <c r="C19" s="46" t="s">
        <v>83</v>
      </c>
      <c r="D19" s="56"/>
      <c r="E19" s="56"/>
      <c r="F19" s="57"/>
      <c r="G19" s="58" t="s">
        <v>57</v>
      </c>
      <c r="H19" s="59" t="s">
        <v>57</v>
      </c>
      <c r="I19" s="59" t="s">
        <v>57</v>
      </c>
      <c r="J19" s="60" t="s">
        <v>57</v>
      </c>
      <c r="K19" s="59" t="s">
        <v>57</v>
      </c>
      <c r="L19" s="60" t="s">
        <v>57</v>
      </c>
      <c r="M19" s="61" t="s">
        <v>57</v>
      </c>
      <c r="N19" s="62" t="s">
        <v>57</v>
      </c>
      <c r="O19" s="59" t="s">
        <v>57</v>
      </c>
      <c r="P19" s="59" t="s">
        <v>57</v>
      </c>
      <c r="Q19" s="59" t="s">
        <v>57</v>
      </c>
      <c r="R19" s="59" t="s">
        <v>57</v>
      </c>
      <c r="S19" s="60" t="s">
        <v>57</v>
      </c>
      <c r="T19" s="63" t="s">
        <v>57</v>
      </c>
      <c r="U19" s="58" t="s">
        <v>57</v>
      </c>
      <c r="V19" s="59" t="s">
        <v>57</v>
      </c>
      <c r="W19" s="59" t="s">
        <v>57</v>
      </c>
      <c r="X19" s="59" t="s">
        <v>57</v>
      </c>
      <c r="Y19" s="59" t="s">
        <v>57</v>
      </c>
      <c r="Z19" s="59" t="s">
        <v>57</v>
      </c>
      <c r="AA19" s="61" t="s">
        <v>57</v>
      </c>
      <c r="AB19" s="62" t="s">
        <v>57</v>
      </c>
      <c r="AC19" s="59" t="s">
        <v>57</v>
      </c>
      <c r="AD19" s="59" t="s">
        <v>57</v>
      </c>
      <c r="AE19" s="59" t="s">
        <v>57</v>
      </c>
      <c r="AF19" s="59" t="s">
        <v>57</v>
      </c>
      <c r="AG19" s="59" t="s">
        <v>57</v>
      </c>
      <c r="AH19" s="63" t="s">
        <v>57</v>
      </c>
      <c r="AI19" s="58" t="s">
        <v>57</v>
      </c>
      <c r="AJ19" s="59" t="s">
        <v>57</v>
      </c>
      <c r="AK19" s="59" t="s">
        <v>57</v>
      </c>
      <c r="AL19" s="59" t="s">
        <v>57</v>
      </c>
      <c r="AM19" s="59" t="s">
        <v>57</v>
      </c>
      <c r="AN19" s="59" t="s">
        <v>57</v>
      </c>
      <c r="AO19" s="63" t="s">
        <v>57</v>
      </c>
      <c r="AP19" s="58" t="s">
        <v>57</v>
      </c>
      <c r="AQ19" s="59" t="s">
        <v>57</v>
      </c>
      <c r="AR19" s="59" t="s">
        <v>57</v>
      </c>
      <c r="AS19" s="59" t="s">
        <v>57</v>
      </c>
      <c r="AT19" s="59" t="s">
        <v>57</v>
      </c>
      <c r="AU19" s="59" t="s">
        <v>57</v>
      </c>
      <c r="AV19" s="61" t="s">
        <v>57</v>
      </c>
      <c r="AW19" s="58" t="s">
        <v>57</v>
      </c>
      <c r="AX19" s="59" t="s">
        <v>57</v>
      </c>
      <c r="AY19" s="59" t="s">
        <v>57</v>
      </c>
      <c r="AZ19" s="59" t="s">
        <v>57</v>
      </c>
      <c r="BA19" s="59" t="s">
        <v>57</v>
      </c>
      <c r="BB19" s="59" t="s">
        <v>57</v>
      </c>
      <c r="BC19" s="61" t="s">
        <v>57</v>
      </c>
    </row>
    <row r="20" spans="1:55" ht="18" customHeight="1" x14ac:dyDescent="0.3">
      <c r="A20" s="55">
        <v>15</v>
      </c>
      <c r="B20" s="65" t="s">
        <v>84</v>
      </c>
      <c r="C20" s="46" t="s">
        <v>85</v>
      </c>
      <c r="D20" s="56"/>
      <c r="E20" s="56"/>
      <c r="F20" s="57"/>
      <c r="G20" s="58" t="s">
        <v>57</v>
      </c>
      <c r="H20" s="59" t="s">
        <v>57</v>
      </c>
      <c r="I20" s="59" t="s">
        <v>57</v>
      </c>
      <c r="J20" s="60" t="s">
        <v>57</v>
      </c>
      <c r="K20" s="59" t="s">
        <v>57</v>
      </c>
      <c r="L20" s="60" t="s">
        <v>57</v>
      </c>
      <c r="M20" s="61" t="s">
        <v>57</v>
      </c>
      <c r="N20" s="62" t="s">
        <v>57</v>
      </c>
      <c r="O20" s="59" t="s">
        <v>57</v>
      </c>
      <c r="P20" s="59" t="s">
        <v>57</v>
      </c>
      <c r="Q20" s="59" t="s">
        <v>57</v>
      </c>
      <c r="R20" s="59" t="s">
        <v>57</v>
      </c>
      <c r="S20" s="60" t="s">
        <v>57</v>
      </c>
      <c r="T20" s="63" t="s">
        <v>57</v>
      </c>
      <c r="U20" s="58" t="s">
        <v>57</v>
      </c>
      <c r="V20" s="59" t="s">
        <v>57</v>
      </c>
      <c r="W20" s="59" t="s">
        <v>57</v>
      </c>
      <c r="X20" s="59" t="s">
        <v>57</v>
      </c>
      <c r="Y20" s="59" t="s">
        <v>57</v>
      </c>
      <c r="Z20" s="59" t="s">
        <v>57</v>
      </c>
      <c r="AA20" s="61" t="s">
        <v>57</v>
      </c>
      <c r="AB20" s="62" t="s">
        <v>57</v>
      </c>
      <c r="AC20" s="59" t="s">
        <v>57</v>
      </c>
      <c r="AD20" s="59" t="s">
        <v>57</v>
      </c>
      <c r="AE20" s="59" t="s">
        <v>57</v>
      </c>
      <c r="AF20" s="59" t="s">
        <v>57</v>
      </c>
      <c r="AG20" s="59" t="s">
        <v>57</v>
      </c>
      <c r="AH20" s="63" t="s">
        <v>57</v>
      </c>
      <c r="AI20" s="58" t="s">
        <v>57</v>
      </c>
      <c r="AJ20" s="59" t="s">
        <v>57</v>
      </c>
      <c r="AK20" s="59" t="s">
        <v>57</v>
      </c>
      <c r="AL20" s="59" t="s">
        <v>57</v>
      </c>
      <c r="AM20" s="59" t="s">
        <v>57</v>
      </c>
      <c r="AN20" s="59" t="s">
        <v>57</v>
      </c>
      <c r="AO20" s="63" t="s">
        <v>57</v>
      </c>
      <c r="AP20" s="58" t="s">
        <v>57</v>
      </c>
      <c r="AQ20" s="59" t="s">
        <v>57</v>
      </c>
      <c r="AR20" s="59" t="s">
        <v>57</v>
      </c>
      <c r="AS20" s="59" t="s">
        <v>57</v>
      </c>
      <c r="AT20" s="59" t="s">
        <v>57</v>
      </c>
      <c r="AU20" s="59" t="s">
        <v>57</v>
      </c>
      <c r="AV20" s="61" t="s">
        <v>57</v>
      </c>
      <c r="AW20" s="58" t="s">
        <v>57</v>
      </c>
      <c r="AX20" s="59" t="s">
        <v>57</v>
      </c>
      <c r="AY20" s="59" t="s">
        <v>57</v>
      </c>
      <c r="AZ20" s="59" t="s">
        <v>57</v>
      </c>
      <c r="BA20" s="59" t="s">
        <v>57</v>
      </c>
      <c r="BB20" s="59" t="s">
        <v>57</v>
      </c>
      <c r="BC20" s="61" t="s">
        <v>57</v>
      </c>
    </row>
    <row r="21" spans="1:55" ht="18" customHeight="1" x14ac:dyDescent="0.3">
      <c r="A21" s="55">
        <v>16</v>
      </c>
      <c r="B21" s="64" t="s">
        <v>86</v>
      </c>
      <c r="C21" s="46" t="s">
        <v>87</v>
      </c>
      <c r="D21" s="56"/>
      <c r="E21" s="56"/>
      <c r="F21" s="57"/>
      <c r="G21" s="58" t="s">
        <v>57</v>
      </c>
      <c r="H21" s="59" t="s">
        <v>57</v>
      </c>
      <c r="I21" s="59" t="s">
        <v>57</v>
      </c>
      <c r="J21" s="60" t="s">
        <v>57</v>
      </c>
      <c r="K21" s="59" t="s">
        <v>57</v>
      </c>
      <c r="L21" s="60" t="s">
        <v>57</v>
      </c>
      <c r="M21" s="61" t="s">
        <v>57</v>
      </c>
      <c r="N21" s="62" t="s">
        <v>57</v>
      </c>
      <c r="O21" s="59" t="s">
        <v>57</v>
      </c>
      <c r="P21" s="59" t="s">
        <v>57</v>
      </c>
      <c r="Q21" s="59" t="s">
        <v>57</v>
      </c>
      <c r="R21" s="59" t="s">
        <v>57</v>
      </c>
      <c r="S21" s="60" t="s">
        <v>57</v>
      </c>
      <c r="T21" s="63" t="s">
        <v>57</v>
      </c>
      <c r="U21" s="58" t="s">
        <v>57</v>
      </c>
      <c r="V21" s="59" t="s">
        <v>57</v>
      </c>
      <c r="W21" s="59" t="s">
        <v>57</v>
      </c>
      <c r="X21" s="59" t="s">
        <v>57</v>
      </c>
      <c r="Y21" s="59" t="s">
        <v>57</v>
      </c>
      <c r="Z21" s="59" t="s">
        <v>57</v>
      </c>
      <c r="AA21" s="61" t="s">
        <v>57</v>
      </c>
      <c r="AB21" s="62" t="s">
        <v>57</v>
      </c>
      <c r="AC21" s="59" t="s">
        <v>57</v>
      </c>
      <c r="AD21" s="59" t="s">
        <v>57</v>
      </c>
      <c r="AE21" s="59" t="s">
        <v>57</v>
      </c>
      <c r="AF21" s="59" t="s">
        <v>57</v>
      </c>
      <c r="AG21" s="59" t="s">
        <v>57</v>
      </c>
      <c r="AH21" s="63" t="s">
        <v>57</v>
      </c>
      <c r="AI21" s="58" t="s">
        <v>57</v>
      </c>
      <c r="AJ21" s="59" t="s">
        <v>57</v>
      </c>
      <c r="AK21" s="59" t="s">
        <v>57</v>
      </c>
      <c r="AL21" s="59" t="s">
        <v>57</v>
      </c>
      <c r="AM21" s="59" t="s">
        <v>57</v>
      </c>
      <c r="AN21" s="59" t="s">
        <v>57</v>
      </c>
      <c r="AO21" s="63" t="s">
        <v>57</v>
      </c>
      <c r="AP21" s="58" t="s">
        <v>57</v>
      </c>
      <c r="AQ21" s="59" t="s">
        <v>57</v>
      </c>
      <c r="AR21" s="59" t="s">
        <v>57</v>
      </c>
      <c r="AS21" s="59" t="s">
        <v>57</v>
      </c>
      <c r="AT21" s="59" t="s">
        <v>57</v>
      </c>
      <c r="AU21" s="59" t="s">
        <v>57</v>
      </c>
      <c r="AV21" s="61" t="s">
        <v>57</v>
      </c>
      <c r="AW21" s="58" t="s">
        <v>57</v>
      </c>
      <c r="AX21" s="59" t="s">
        <v>57</v>
      </c>
      <c r="AY21" s="59" t="s">
        <v>57</v>
      </c>
      <c r="AZ21" s="59" t="s">
        <v>57</v>
      </c>
      <c r="BA21" s="59" t="s">
        <v>57</v>
      </c>
      <c r="BB21" s="59" t="s">
        <v>57</v>
      </c>
      <c r="BC21" s="61" t="s">
        <v>57</v>
      </c>
    </row>
    <row r="22" spans="1:55" ht="18" customHeight="1" x14ac:dyDescent="0.3">
      <c r="A22" s="55"/>
      <c r="B22" s="64"/>
      <c r="C22" s="46"/>
      <c r="D22" s="56"/>
      <c r="E22" s="56"/>
      <c r="F22" s="57"/>
      <c r="G22" s="58"/>
      <c r="H22" s="60"/>
      <c r="I22" s="60"/>
      <c r="J22" s="60"/>
      <c r="K22" s="60"/>
      <c r="L22" s="60"/>
      <c r="M22" s="61"/>
      <c r="N22" s="62"/>
      <c r="O22" s="66"/>
      <c r="P22" s="66"/>
      <c r="Q22" s="59"/>
      <c r="R22" s="60"/>
      <c r="S22" s="60"/>
      <c r="T22" s="63"/>
      <c r="U22" s="58"/>
      <c r="V22" s="66"/>
      <c r="W22" s="66"/>
      <c r="X22" s="59"/>
      <c r="Y22" s="60"/>
      <c r="Z22" s="60"/>
      <c r="AA22" s="61"/>
      <c r="AB22" s="62"/>
      <c r="AC22" s="66"/>
      <c r="AD22" s="66"/>
      <c r="AE22" s="59"/>
      <c r="AF22" s="60"/>
      <c r="AG22" s="60"/>
      <c r="AH22" s="63"/>
      <c r="AI22" s="58"/>
      <c r="AJ22" s="66"/>
      <c r="AK22" s="66"/>
      <c r="AL22" s="59"/>
      <c r="AM22" s="60"/>
      <c r="AN22" s="60"/>
      <c r="AO22" s="63"/>
      <c r="AP22" s="58"/>
      <c r="AQ22" s="66"/>
      <c r="AR22" s="66"/>
      <c r="AS22" s="59"/>
      <c r="AT22" s="60"/>
      <c r="AU22" s="60"/>
      <c r="AV22" s="61"/>
      <c r="AW22" s="58"/>
      <c r="AX22" s="66"/>
      <c r="AY22" s="66"/>
      <c r="AZ22" s="59"/>
      <c r="BA22" s="60"/>
      <c r="BB22" s="60"/>
      <c r="BC22" s="61"/>
    </row>
    <row r="23" spans="1:55" ht="18" customHeight="1" x14ac:dyDescent="0.3">
      <c r="A23" s="55"/>
      <c r="B23" s="67"/>
      <c r="C23" s="46"/>
      <c r="D23" s="56"/>
      <c r="E23" s="56"/>
      <c r="F23" s="57"/>
      <c r="G23" s="58"/>
      <c r="H23" s="60"/>
      <c r="I23" s="60"/>
      <c r="J23" s="60"/>
      <c r="K23" s="60"/>
      <c r="L23" s="60"/>
      <c r="M23" s="61"/>
      <c r="N23" s="62"/>
      <c r="O23" s="66"/>
      <c r="P23" s="66"/>
      <c r="Q23" s="59"/>
      <c r="R23" s="60"/>
      <c r="S23" s="60"/>
      <c r="T23" s="63"/>
      <c r="U23" s="58"/>
      <c r="V23" s="66"/>
      <c r="W23" s="66"/>
      <c r="X23" s="59"/>
      <c r="Y23" s="60"/>
      <c r="Z23" s="60"/>
      <c r="AA23" s="61"/>
      <c r="AB23" s="62"/>
      <c r="AC23" s="66"/>
      <c r="AD23" s="66"/>
      <c r="AE23" s="59"/>
      <c r="AF23" s="60"/>
      <c r="AG23" s="60"/>
      <c r="AH23" s="63"/>
      <c r="AI23" s="58"/>
      <c r="AJ23" s="66"/>
      <c r="AK23" s="66"/>
      <c r="AL23" s="59"/>
      <c r="AM23" s="60"/>
      <c r="AN23" s="60"/>
      <c r="AO23" s="63"/>
      <c r="AP23" s="58"/>
      <c r="AQ23" s="66"/>
      <c r="AR23" s="66"/>
      <c r="AS23" s="59"/>
      <c r="AT23" s="60"/>
      <c r="AU23" s="60"/>
      <c r="AV23" s="61"/>
      <c r="AW23" s="58"/>
      <c r="AX23" s="66"/>
      <c r="AY23" s="66"/>
      <c r="AZ23" s="59"/>
      <c r="BA23" s="60"/>
      <c r="BB23" s="60"/>
      <c r="BC23" s="61"/>
    </row>
    <row r="24" spans="1:55" ht="18" customHeight="1" x14ac:dyDescent="0.3">
      <c r="A24" s="55"/>
      <c r="B24" s="67"/>
      <c r="C24" s="46"/>
      <c r="D24" s="56"/>
      <c r="E24" s="56"/>
      <c r="F24" s="57"/>
      <c r="G24" s="58"/>
      <c r="H24" s="60"/>
      <c r="I24" s="60"/>
      <c r="J24" s="60"/>
      <c r="K24" s="60"/>
      <c r="L24" s="60"/>
      <c r="M24" s="61"/>
      <c r="N24" s="62"/>
      <c r="O24" s="66"/>
      <c r="P24" s="66"/>
      <c r="Q24" s="59"/>
      <c r="R24" s="60"/>
      <c r="S24" s="60"/>
      <c r="T24" s="63"/>
      <c r="U24" s="58"/>
      <c r="V24" s="66"/>
      <c r="W24" s="66"/>
      <c r="X24" s="59"/>
      <c r="Y24" s="60"/>
      <c r="Z24" s="60"/>
      <c r="AA24" s="61"/>
      <c r="AB24" s="62"/>
      <c r="AC24" s="66"/>
      <c r="AD24" s="66"/>
      <c r="AE24" s="59"/>
      <c r="AF24" s="60"/>
      <c r="AG24" s="60"/>
      <c r="AH24" s="63"/>
      <c r="AI24" s="58"/>
      <c r="AJ24" s="66"/>
      <c r="AK24" s="66"/>
      <c r="AL24" s="59"/>
      <c r="AM24" s="60"/>
      <c r="AN24" s="60"/>
      <c r="AO24" s="63"/>
      <c r="AP24" s="58"/>
      <c r="AQ24" s="66"/>
      <c r="AR24" s="66"/>
      <c r="AS24" s="59"/>
      <c r="AT24" s="60"/>
      <c r="AU24" s="60"/>
      <c r="AV24" s="61"/>
      <c r="AW24" s="58"/>
      <c r="AX24" s="66"/>
      <c r="AY24" s="66"/>
      <c r="AZ24" s="59"/>
      <c r="BA24" s="60"/>
      <c r="BB24" s="60"/>
      <c r="BC24" s="61"/>
    </row>
    <row r="25" spans="1:55" ht="18" customHeight="1" x14ac:dyDescent="0.3">
      <c r="A25" s="55"/>
      <c r="B25" s="67"/>
      <c r="C25" s="46"/>
      <c r="D25" s="56"/>
      <c r="E25" s="56"/>
      <c r="F25" s="57"/>
      <c r="G25" s="58"/>
      <c r="H25" s="60"/>
      <c r="I25" s="60"/>
      <c r="J25" s="60"/>
      <c r="K25" s="60"/>
      <c r="L25" s="60"/>
      <c r="M25" s="61"/>
      <c r="N25" s="62"/>
      <c r="O25" s="66"/>
      <c r="P25" s="66"/>
      <c r="Q25" s="59"/>
      <c r="R25" s="60"/>
      <c r="S25" s="60"/>
      <c r="T25" s="63"/>
      <c r="U25" s="58"/>
      <c r="V25" s="66"/>
      <c r="W25" s="66"/>
      <c r="X25" s="59"/>
      <c r="Y25" s="60"/>
      <c r="Z25" s="60"/>
      <c r="AA25" s="61"/>
      <c r="AB25" s="62"/>
      <c r="AC25" s="66"/>
      <c r="AD25" s="66"/>
      <c r="AE25" s="59"/>
      <c r="AF25" s="60"/>
      <c r="AG25" s="60"/>
      <c r="AH25" s="63"/>
      <c r="AI25" s="58"/>
      <c r="AJ25" s="66"/>
      <c r="AK25" s="66"/>
      <c r="AL25" s="59"/>
      <c r="AM25" s="60"/>
      <c r="AN25" s="60"/>
      <c r="AO25" s="63"/>
      <c r="AP25" s="58"/>
      <c r="AQ25" s="66"/>
      <c r="AR25" s="66"/>
      <c r="AS25" s="59"/>
      <c r="AT25" s="60"/>
      <c r="AU25" s="60"/>
      <c r="AV25" s="61"/>
      <c r="AW25" s="58"/>
      <c r="AX25" s="66"/>
      <c r="AY25" s="66"/>
      <c r="AZ25" s="59"/>
      <c r="BA25" s="60"/>
      <c r="BB25" s="60"/>
      <c r="BC25" s="61"/>
    </row>
    <row r="26" spans="1:55" ht="18" customHeight="1" x14ac:dyDescent="0.3">
      <c r="A26" s="55"/>
      <c r="B26" s="67"/>
      <c r="C26" s="46"/>
      <c r="D26" s="56"/>
      <c r="E26" s="56"/>
      <c r="F26" s="57"/>
      <c r="G26" s="58"/>
      <c r="H26" s="60"/>
      <c r="I26" s="60"/>
      <c r="J26" s="60"/>
      <c r="K26" s="60"/>
      <c r="L26" s="60"/>
      <c r="M26" s="61"/>
      <c r="N26" s="62"/>
      <c r="O26" s="66"/>
      <c r="P26" s="66"/>
      <c r="Q26" s="59"/>
      <c r="R26" s="60"/>
      <c r="S26" s="60"/>
      <c r="T26" s="63"/>
      <c r="U26" s="58"/>
      <c r="V26" s="66"/>
      <c r="W26" s="66"/>
      <c r="X26" s="59"/>
      <c r="Y26" s="60"/>
      <c r="Z26" s="60"/>
      <c r="AA26" s="61"/>
      <c r="AB26" s="62"/>
      <c r="AC26" s="66"/>
      <c r="AD26" s="66"/>
      <c r="AE26" s="59"/>
      <c r="AF26" s="60"/>
      <c r="AG26" s="60"/>
      <c r="AH26" s="63"/>
      <c r="AI26" s="58"/>
      <c r="AJ26" s="66"/>
      <c r="AK26" s="66"/>
      <c r="AL26" s="59"/>
      <c r="AM26" s="60"/>
      <c r="AN26" s="60"/>
      <c r="AO26" s="63"/>
      <c r="AP26" s="58"/>
      <c r="AQ26" s="66"/>
      <c r="AR26" s="66"/>
      <c r="AS26" s="59"/>
      <c r="AT26" s="60"/>
      <c r="AU26" s="60"/>
      <c r="AV26" s="61"/>
      <c r="AW26" s="58"/>
      <c r="AX26" s="66"/>
      <c r="AY26" s="66"/>
      <c r="AZ26" s="59"/>
      <c r="BA26" s="60"/>
      <c r="BB26" s="60"/>
      <c r="BC26" s="61"/>
    </row>
    <row r="27" spans="1:55" ht="18" customHeight="1" x14ac:dyDescent="0.3">
      <c r="A27" s="55"/>
      <c r="B27" s="67"/>
      <c r="C27" s="46"/>
      <c r="D27" s="56"/>
      <c r="E27" s="56"/>
      <c r="F27" s="57"/>
      <c r="G27" s="58"/>
      <c r="H27" s="60"/>
      <c r="I27" s="60"/>
      <c r="J27" s="60"/>
      <c r="K27" s="60"/>
      <c r="L27" s="60"/>
      <c r="M27" s="61"/>
      <c r="N27" s="62"/>
      <c r="O27" s="66"/>
      <c r="P27" s="66"/>
      <c r="Q27" s="59"/>
      <c r="R27" s="60"/>
      <c r="S27" s="60"/>
      <c r="T27" s="63"/>
      <c r="U27" s="58"/>
      <c r="V27" s="66"/>
      <c r="W27" s="66"/>
      <c r="X27" s="59"/>
      <c r="Y27" s="60"/>
      <c r="Z27" s="60"/>
      <c r="AA27" s="61"/>
      <c r="AB27" s="62"/>
      <c r="AC27" s="66"/>
      <c r="AD27" s="66"/>
      <c r="AE27" s="59"/>
      <c r="AF27" s="60"/>
      <c r="AG27" s="60"/>
      <c r="AH27" s="63"/>
      <c r="AI27" s="58"/>
      <c r="AJ27" s="66"/>
      <c r="AK27" s="66"/>
      <c r="AL27" s="59"/>
      <c r="AM27" s="60"/>
      <c r="AN27" s="60"/>
      <c r="AO27" s="63"/>
      <c r="AP27" s="58"/>
      <c r="AQ27" s="66"/>
      <c r="AR27" s="66"/>
      <c r="AS27" s="59"/>
      <c r="AT27" s="60"/>
      <c r="AU27" s="60"/>
      <c r="AV27" s="61"/>
      <c r="AW27" s="58"/>
      <c r="AX27" s="66"/>
      <c r="AY27" s="66"/>
      <c r="AZ27" s="59"/>
      <c r="BA27" s="60"/>
      <c r="BB27" s="60"/>
      <c r="BC27" s="61"/>
    </row>
    <row r="28" spans="1:55" ht="18" customHeight="1" x14ac:dyDescent="0.3">
      <c r="A28" s="55"/>
      <c r="B28" s="64"/>
      <c r="C28" s="46"/>
      <c r="D28" s="56"/>
      <c r="E28" s="56"/>
      <c r="F28" s="57"/>
      <c r="G28" s="58"/>
      <c r="H28" s="60"/>
      <c r="I28" s="60"/>
      <c r="J28" s="60"/>
      <c r="K28" s="60"/>
      <c r="L28" s="60"/>
      <c r="M28" s="61"/>
      <c r="N28" s="62"/>
      <c r="O28" s="66"/>
      <c r="P28" s="66"/>
      <c r="Q28" s="59"/>
      <c r="R28" s="60"/>
      <c r="S28" s="60"/>
      <c r="T28" s="63"/>
      <c r="U28" s="58"/>
      <c r="V28" s="66"/>
      <c r="W28" s="66"/>
      <c r="X28" s="59"/>
      <c r="Y28" s="60"/>
      <c r="Z28" s="60"/>
      <c r="AA28" s="61"/>
      <c r="AB28" s="62"/>
      <c r="AC28" s="66"/>
      <c r="AD28" s="66"/>
      <c r="AE28" s="59"/>
      <c r="AF28" s="60"/>
      <c r="AG28" s="60"/>
      <c r="AH28" s="63"/>
      <c r="AI28" s="58"/>
      <c r="AJ28" s="66"/>
      <c r="AK28" s="66"/>
      <c r="AL28" s="59"/>
      <c r="AM28" s="60"/>
      <c r="AN28" s="60"/>
      <c r="AO28" s="63"/>
      <c r="AP28" s="58"/>
      <c r="AQ28" s="66"/>
      <c r="AR28" s="66"/>
      <c r="AS28" s="59"/>
      <c r="AT28" s="60"/>
      <c r="AU28" s="60"/>
      <c r="AV28" s="61"/>
      <c r="AW28" s="58"/>
      <c r="AX28" s="66"/>
      <c r="AY28" s="66"/>
      <c r="AZ28" s="59"/>
      <c r="BA28" s="60"/>
      <c r="BB28" s="60"/>
      <c r="BC28" s="61"/>
    </row>
    <row r="29" spans="1:55" ht="18" customHeight="1" x14ac:dyDescent="0.3">
      <c r="A29" s="55"/>
      <c r="B29" s="67"/>
      <c r="C29" s="46"/>
      <c r="D29" s="56"/>
      <c r="E29" s="56"/>
      <c r="F29" s="57"/>
      <c r="G29" s="58"/>
      <c r="H29" s="60"/>
      <c r="I29" s="60"/>
      <c r="J29" s="60"/>
      <c r="K29" s="60"/>
      <c r="L29" s="60"/>
      <c r="M29" s="61"/>
      <c r="N29" s="62"/>
      <c r="O29" s="66"/>
      <c r="P29" s="66"/>
      <c r="Q29" s="59"/>
      <c r="R29" s="60"/>
      <c r="S29" s="60"/>
      <c r="T29" s="63"/>
      <c r="U29" s="58"/>
      <c r="V29" s="66"/>
      <c r="W29" s="66"/>
      <c r="X29" s="59"/>
      <c r="Y29" s="60"/>
      <c r="Z29" s="60"/>
      <c r="AA29" s="61"/>
      <c r="AB29" s="62"/>
      <c r="AC29" s="66"/>
      <c r="AD29" s="66"/>
      <c r="AE29" s="59"/>
      <c r="AF29" s="60"/>
      <c r="AG29" s="60"/>
      <c r="AH29" s="63"/>
      <c r="AI29" s="58"/>
      <c r="AJ29" s="66"/>
      <c r="AK29" s="66"/>
      <c r="AL29" s="59"/>
      <c r="AM29" s="60"/>
      <c r="AN29" s="60"/>
      <c r="AO29" s="63"/>
      <c r="AP29" s="58"/>
      <c r="AQ29" s="66"/>
      <c r="AR29" s="66"/>
      <c r="AS29" s="59"/>
      <c r="AT29" s="60"/>
      <c r="AU29" s="60"/>
      <c r="AV29" s="61"/>
      <c r="AW29" s="58"/>
      <c r="AX29" s="66"/>
      <c r="AY29" s="66"/>
      <c r="AZ29" s="59"/>
      <c r="BA29" s="60"/>
      <c r="BB29" s="60"/>
      <c r="BC29" s="61"/>
    </row>
    <row r="30" spans="1:55" ht="18" customHeight="1" x14ac:dyDescent="0.3">
      <c r="A30" s="55"/>
      <c r="B30" s="67"/>
      <c r="C30" s="46"/>
      <c r="D30" s="56"/>
      <c r="E30" s="56"/>
      <c r="F30" s="57"/>
      <c r="G30" s="58"/>
      <c r="H30" s="60"/>
      <c r="I30" s="60"/>
      <c r="J30" s="60"/>
      <c r="K30" s="60"/>
      <c r="L30" s="60"/>
      <c r="M30" s="61"/>
      <c r="N30" s="62"/>
      <c r="O30" s="66"/>
      <c r="P30" s="66"/>
      <c r="Q30" s="59"/>
      <c r="R30" s="60"/>
      <c r="S30" s="60"/>
      <c r="T30" s="63"/>
      <c r="U30" s="58"/>
      <c r="V30" s="66"/>
      <c r="W30" s="66"/>
      <c r="X30" s="59"/>
      <c r="Y30" s="60"/>
      <c r="Z30" s="60"/>
      <c r="AA30" s="61"/>
      <c r="AB30" s="62"/>
      <c r="AC30" s="66"/>
      <c r="AD30" s="66"/>
      <c r="AE30" s="59"/>
      <c r="AF30" s="60"/>
      <c r="AG30" s="60"/>
      <c r="AH30" s="63"/>
      <c r="AI30" s="58"/>
      <c r="AJ30" s="66"/>
      <c r="AK30" s="66"/>
      <c r="AL30" s="59"/>
      <c r="AM30" s="60"/>
      <c r="AN30" s="60"/>
      <c r="AO30" s="63"/>
      <c r="AP30" s="58"/>
      <c r="AQ30" s="66"/>
      <c r="AR30" s="66"/>
      <c r="AS30" s="59"/>
      <c r="AT30" s="60"/>
      <c r="AU30" s="60"/>
      <c r="AV30" s="61"/>
      <c r="AW30" s="58"/>
      <c r="AX30" s="66"/>
      <c r="AY30" s="66"/>
      <c r="AZ30" s="59"/>
      <c r="BA30" s="60"/>
      <c r="BB30" s="60"/>
      <c r="BC30" s="61"/>
    </row>
    <row r="31" spans="1:55" ht="18" customHeight="1" x14ac:dyDescent="0.3">
      <c r="A31" s="55"/>
      <c r="B31" s="67"/>
      <c r="C31" s="46"/>
      <c r="D31" s="56"/>
      <c r="E31" s="56"/>
      <c r="F31" s="57"/>
      <c r="G31" s="58"/>
      <c r="H31" s="60"/>
      <c r="I31" s="60"/>
      <c r="J31" s="60"/>
      <c r="K31" s="60"/>
      <c r="L31" s="60"/>
      <c r="M31" s="61"/>
      <c r="N31" s="62"/>
      <c r="O31" s="66"/>
      <c r="P31" s="66"/>
      <c r="Q31" s="59"/>
      <c r="R31" s="60"/>
      <c r="S31" s="60"/>
      <c r="T31" s="63"/>
      <c r="U31" s="58"/>
      <c r="V31" s="66"/>
      <c r="W31" s="66"/>
      <c r="X31" s="59"/>
      <c r="Y31" s="60"/>
      <c r="Z31" s="60"/>
      <c r="AA31" s="61"/>
      <c r="AB31" s="62"/>
      <c r="AC31" s="66"/>
      <c r="AD31" s="66"/>
      <c r="AE31" s="59"/>
      <c r="AF31" s="60"/>
      <c r="AG31" s="60"/>
      <c r="AH31" s="63"/>
      <c r="AI31" s="58"/>
      <c r="AJ31" s="66"/>
      <c r="AK31" s="66"/>
      <c r="AL31" s="59"/>
      <c r="AM31" s="60"/>
      <c r="AN31" s="60"/>
      <c r="AO31" s="63"/>
      <c r="AP31" s="58"/>
      <c r="AQ31" s="66"/>
      <c r="AR31" s="66"/>
      <c r="AS31" s="59"/>
      <c r="AT31" s="60"/>
      <c r="AU31" s="60"/>
      <c r="AV31" s="61"/>
      <c r="AW31" s="58"/>
      <c r="AX31" s="66"/>
      <c r="AY31" s="66"/>
      <c r="AZ31" s="59"/>
      <c r="BA31" s="60"/>
      <c r="BB31" s="60"/>
      <c r="BC31" s="61"/>
    </row>
    <row r="32" spans="1:55" ht="18" customHeight="1" x14ac:dyDescent="0.3">
      <c r="A32" s="55"/>
      <c r="B32" s="68"/>
      <c r="C32" s="46"/>
      <c r="D32" s="56"/>
      <c r="E32" s="56"/>
      <c r="F32" s="57"/>
      <c r="G32" s="58"/>
      <c r="H32" s="60"/>
      <c r="I32" s="60"/>
      <c r="J32" s="60"/>
      <c r="K32" s="60"/>
      <c r="L32" s="60"/>
      <c r="M32" s="61"/>
      <c r="N32" s="62"/>
      <c r="O32" s="66"/>
      <c r="P32" s="66"/>
      <c r="Q32" s="59"/>
      <c r="R32" s="60"/>
      <c r="S32" s="60"/>
      <c r="T32" s="63"/>
      <c r="U32" s="58"/>
      <c r="V32" s="66"/>
      <c r="W32" s="66"/>
      <c r="X32" s="59"/>
      <c r="Y32" s="60"/>
      <c r="Z32" s="60"/>
      <c r="AA32" s="61"/>
      <c r="AB32" s="62"/>
      <c r="AC32" s="66"/>
      <c r="AD32" s="66"/>
      <c r="AE32" s="59"/>
      <c r="AF32" s="60"/>
      <c r="AG32" s="60"/>
      <c r="AH32" s="63"/>
      <c r="AI32" s="58"/>
      <c r="AJ32" s="66"/>
      <c r="AK32" s="66"/>
      <c r="AL32" s="59"/>
      <c r="AM32" s="60"/>
      <c r="AN32" s="60"/>
      <c r="AO32" s="63"/>
      <c r="AP32" s="58"/>
      <c r="AQ32" s="66"/>
      <c r="AR32" s="66"/>
      <c r="AS32" s="59"/>
      <c r="AT32" s="60"/>
      <c r="AU32" s="60"/>
      <c r="AV32" s="61"/>
      <c r="AW32" s="58"/>
      <c r="AX32" s="66"/>
      <c r="AY32" s="66"/>
      <c r="AZ32" s="59"/>
      <c r="BA32" s="60"/>
      <c r="BB32" s="60"/>
      <c r="BC32" s="61"/>
    </row>
    <row r="33" spans="1:55" ht="18" customHeight="1" x14ac:dyDescent="0.3">
      <c r="A33" s="55"/>
      <c r="B33" s="69"/>
      <c r="C33" s="46"/>
      <c r="D33" s="56"/>
      <c r="E33" s="56"/>
      <c r="F33" s="57"/>
      <c r="G33" s="58"/>
      <c r="H33" s="60"/>
      <c r="I33" s="60"/>
      <c r="J33" s="60"/>
      <c r="K33" s="60"/>
      <c r="L33" s="60"/>
      <c r="M33" s="61"/>
      <c r="N33" s="62"/>
      <c r="O33" s="66"/>
      <c r="P33" s="66"/>
      <c r="Q33" s="59"/>
      <c r="R33" s="60"/>
      <c r="S33" s="60"/>
      <c r="T33" s="63"/>
      <c r="U33" s="58"/>
      <c r="V33" s="66"/>
      <c r="W33" s="66"/>
      <c r="X33" s="59"/>
      <c r="Y33" s="60"/>
      <c r="Z33" s="60"/>
      <c r="AA33" s="61"/>
      <c r="AB33" s="62"/>
      <c r="AC33" s="66"/>
      <c r="AD33" s="66"/>
      <c r="AE33" s="59"/>
      <c r="AF33" s="60"/>
      <c r="AG33" s="60"/>
      <c r="AH33" s="63"/>
      <c r="AI33" s="58"/>
      <c r="AJ33" s="66"/>
      <c r="AK33" s="66"/>
      <c r="AL33" s="59"/>
      <c r="AM33" s="60"/>
      <c r="AN33" s="60"/>
      <c r="AO33" s="63"/>
      <c r="AP33" s="58"/>
      <c r="AQ33" s="66"/>
      <c r="AR33" s="66"/>
      <c r="AS33" s="59"/>
      <c r="AT33" s="60"/>
      <c r="AU33" s="60"/>
      <c r="AV33" s="61"/>
      <c r="AW33" s="58"/>
      <c r="AX33" s="66"/>
      <c r="AY33" s="66"/>
      <c r="AZ33" s="59"/>
      <c r="BA33" s="60"/>
      <c r="BB33" s="60"/>
      <c r="BC33" s="61"/>
    </row>
    <row r="34" spans="1:55" ht="18" customHeight="1" x14ac:dyDescent="0.3">
      <c r="A34" s="55"/>
      <c r="B34" s="67"/>
      <c r="C34" s="46"/>
      <c r="D34" s="56"/>
      <c r="E34" s="56"/>
      <c r="F34" s="57"/>
      <c r="G34" s="58"/>
      <c r="H34" s="60"/>
      <c r="I34" s="60"/>
      <c r="J34" s="60"/>
      <c r="K34" s="60"/>
      <c r="L34" s="60"/>
      <c r="M34" s="61"/>
      <c r="N34" s="62"/>
      <c r="O34" s="66"/>
      <c r="P34" s="66"/>
      <c r="Q34" s="59"/>
      <c r="R34" s="60"/>
      <c r="S34" s="60"/>
      <c r="T34" s="63"/>
      <c r="U34" s="58"/>
      <c r="V34" s="66"/>
      <c r="W34" s="66"/>
      <c r="X34" s="59"/>
      <c r="Y34" s="60"/>
      <c r="Z34" s="60"/>
      <c r="AA34" s="61"/>
      <c r="AB34" s="62"/>
      <c r="AC34" s="66"/>
      <c r="AD34" s="66"/>
      <c r="AE34" s="59"/>
      <c r="AF34" s="60"/>
      <c r="AG34" s="60"/>
      <c r="AH34" s="63"/>
      <c r="AI34" s="58"/>
      <c r="AJ34" s="66"/>
      <c r="AK34" s="66"/>
      <c r="AL34" s="59"/>
      <c r="AM34" s="60"/>
      <c r="AN34" s="60"/>
      <c r="AO34" s="63"/>
      <c r="AP34" s="58"/>
      <c r="AQ34" s="66"/>
      <c r="AR34" s="66"/>
      <c r="AS34" s="59"/>
      <c r="AT34" s="60"/>
      <c r="AU34" s="60"/>
      <c r="AV34" s="61"/>
      <c r="AW34" s="58"/>
      <c r="AX34" s="66"/>
      <c r="AY34" s="66"/>
      <c r="AZ34" s="59"/>
      <c r="BA34" s="60"/>
      <c r="BB34" s="60"/>
      <c r="BC34" s="61"/>
    </row>
    <row r="35" spans="1:55" ht="18" customHeight="1" x14ac:dyDescent="0.3">
      <c r="A35" s="55"/>
      <c r="B35" s="67"/>
      <c r="C35" s="46"/>
      <c r="D35" s="56"/>
      <c r="E35" s="56"/>
      <c r="F35" s="57"/>
      <c r="G35" s="58"/>
      <c r="H35" s="60"/>
      <c r="I35" s="60"/>
      <c r="J35" s="60"/>
      <c r="K35" s="60"/>
      <c r="L35" s="60"/>
      <c r="M35" s="61"/>
      <c r="N35" s="62"/>
      <c r="O35" s="66"/>
      <c r="P35" s="66"/>
      <c r="Q35" s="59"/>
      <c r="R35" s="60"/>
      <c r="S35" s="60"/>
      <c r="T35" s="63"/>
      <c r="U35" s="58"/>
      <c r="V35" s="66"/>
      <c r="W35" s="66"/>
      <c r="X35" s="59"/>
      <c r="Y35" s="60"/>
      <c r="Z35" s="60"/>
      <c r="AA35" s="61"/>
      <c r="AB35" s="62"/>
      <c r="AC35" s="66"/>
      <c r="AD35" s="66"/>
      <c r="AE35" s="59"/>
      <c r="AF35" s="60"/>
      <c r="AG35" s="60"/>
      <c r="AH35" s="63"/>
      <c r="AI35" s="58"/>
      <c r="AJ35" s="66"/>
      <c r="AK35" s="66"/>
      <c r="AL35" s="59"/>
      <c r="AM35" s="60"/>
      <c r="AN35" s="60"/>
      <c r="AO35" s="63"/>
      <c r="AP35" s="58"/>
      <c r="AQ35" s="66"/>
      <c r="AR35" s="66"/>
      <c r="AS35" s="59"/>
      <c r="AT35" s="60"/>
      <c r="AU35" s="60"/>
      <c r="AV35" s="61"/>
      <c r="AW35" s="58"/>
      <c r="AX35" s="66"/>
      <c r="AY35" s="66"/>
      <c r="AZ35" s="59"/>
      <c r="BA35" s="60"/>
      <c r="BB35" s="60"/>
      <c r="BC35" s="61"/>
    </row>
    <row r="36" spans="1:55" ht="18" customHeight="1" x14ac:dyDescent="0.3">
      <c r="A36" s="55"/>
      <c r="B36" s="67"/>
      <c r="C36" s="46"/>
      <c r="D36" s="56"/>
      <c r="E36" s="56"/>
      <c r="F36" s="57"/>
      <c r="G36" s="58"/>
      <c r="H36" s="60"/>
      <c r="I36" s="60"/>
      <c r="J36" s="60"/>
      <c r="K36" s="60"/>
      <c r="L36" s="60"/>
      <c r="M36" s="61"/>
      <c r="N36" s="62"/>
      <c r="O36" s="66"/>
      <c r="P36" s="66"/>
      <c r="Q36" s="59"/>
      <c r="R36" s="60"/>
      <c r="S36" s="60"/>
      <c r="T36" s="63"/>
      <c r="U36" s="58"/>
      <c r="V36" s="66"/>
      <c r="W36" s="66"/>
      <c r="X36" s="59"/>
      <c r="Y36" s="60"/>
      <c r="Z36" s="60"/>
      <c r="AA36" s="61"/>
      <c r="AB36" s="62"/>
      <c r="AC36" s="66"/>
      <c r="AD36" s="66"/>
      <c r="AE36" s="59"/>
      <c r="AF36" s="60"/>
      <c r="AG36" s="60"/>
      <c r="AH36" s="63"/>
      <c r="AI36" s="58"/>
      <c r="AJ36" s="66"/>
      <c r="AK36" s="66"/>
      <c r="AL36" s="59"/>
      <c r="AM36" s="60"/>
      <c r="AN36" s="60"/>
      <c r="AO36" s="63"/>
      <c r="AP36" s="58"/>
      <c r="AQ36" s="66"/>
      <c r="AR36" s="66"/>
      <c r="AS36" s="59"/>
      <c r="AT36" s="60"/>
      <c r="AU36" s="60"/>
      <c r="AV36" s="61"/>
      <c r="AW36" s="58"/>
      <c r="AX36" s="66"/>
      <c r="AY36" s="66"/>
      <c r="AZ36" s="59"/>
      <c r="BA36" s="60"/>
      <c r="BB36" s="60"/>
      <c r="BC36" s="61"/>
    </row>
    <row r="37" spans="1:55" ht="18" customHeight="1" x14ac:dyDescent="0.3">
      <c r="A37" s="55"/>
      <c r="B37" s="68"/>
      <c r="C37" s="46"/>
      <c r="D37" s="56"/>
      <c r="E37" s="56"/>
      <c r="F37" s="57"/>
      <c r="G37" s="70"/>
      <c r="H37" s="71"/>
      <c r="I37" s="71"/>
      <c r="J37" s="71"/>
      <c r="K37" s="71"/>
      <c r="L37" s="71"/>
      <c r="M37" s="72"/>
      <c r="N37" s="73"/>
      <c r="O37" s="74"/>
      <c r="P37" s="74"/>
      <c r="Q37" s="59"/>
      <c r="R37" s="71"/>
      <c r="S37" s="71"/>
      <c r="T37" s="75"/>
      <c r="U37" s="70"/>
      <c r="V37" s="74"/>
      <c r="W37" s="74"/>
      <c r="X37" s="59"/>
      <c r="Y37" s="71"/>
      <c r="Z37" s="71"/>
      <c r="AA37" s="72"/>
      <c r="AB37" s="73"/>
      <c r="AC37" s="74"/>
      <c r="AD37" s="74"/>
      <c r="AE37" s="59"/>
      <c r="AF37" s="71"/>
      <c r="AG37" s="71"/>
      <c r="AH37" s="75"/>
      <c r="AI37" s="70"/>
      <c r="AJ37" s="74"/>
      <c r="AK37" s="74"/>
      <c r="AL37" s="59"/>
      <c r="AM37" s="71"/>
      <c r="AN37" s="71"/>
      <c r="AO37" s="75"/>
      <c r="AP37" s="70"/>
      <c r="AQ37" s="74"/>
      <c r="AR37" s="74"/>
      <c r="AS37" s="59"/>
      <c r="AT37" s="71"/>
      <c r="AU37" s="71"/>
      <c r="AV37" s="72"/>
      <c r="AW37" s="70"/>
      <c r="AX37" s="74"/>
      <c r="AY37" s="74"/>
      <c r="AZ37" s="59"/>
      <c r="BA37" s="71"/>
      <c r="BB37" s="71"/>
      <c r="BC37" s="72"/>
    </row>
    <row r="38" spans="1:55" ht="18" customHeight="1" x14ac:dyDescent="0.3">
      <c r="A38" s="55"/>
      <c r="B38" s="69"/>
      <c r="C38" s="46"/>
      <c r="D38" s="56"/>
      <c r="E38" s="56"/>
      <c r="F38" s="57"/>
      <c r="G38" s="58"/>
      <c r="H38" s="60"/>
      <c r="I38" s="60"/>
      <c r="J38" s="60"/>
      <c r="K38" s="60"/>
      <c r="L38" s="60"/>
      <c r="M38" s="61"/>
      <c r="N38" s="62"/>
      <c r="O38" s="66"/>
      <c r="P38" s="66"/>
      <c r="Q38" s="59"/>
      <c r="R38" s="60"/>
      <c r="S38" s="60"/>
      <c r="T38" s="63"/>
      <c r="U38" s="58"/>
      <c r="V38" s="66"/>
      <c r="W38" s="66"/>
      <c r="X38" s="59"/>
      <c r="Y38" s="60"/>
      <c r="Z38" s="60"/>
      <c r="AA38" s="61"/>
      <c r="AB38" s="62"/>
      <c r="AC38" s="66"/>
      <c r="AD38" s="66"/>
      <c r="AE38" s="59"/>
      <c r="AF38" s="60"/>
      <c r="AG38" s="60"/>
      <c r="AH38" s="63"/>
      <c r="AI38" s="58"/>
      <c r="AJ38" s="66"/>
      <c r="AK38" s="66"/>
      <c r="AL38" s="59"/>
      <c r="AM38" s="60"/>
      <c r="AN38" s="60"/>
      <c r="AO38" s="63"/>
      <c r="AP38" s="58"/>
      <c r="AQ38" s="66"/>
      <c r="AR38" s="66"/>
      <c r="AS38" s="59"/>
      <c r="AT38" s="60"/>
      <c r="AU38" s="60"/>
      <c r="AV38" s="61"/>
      <c r="AW38" s="58"/>
      <c r="AX38" s="66"/>
      <c r="AY38" s="66"/>
      <c r="AZ38" s="59"/>
      <c r="BA38" s="60"/>
      <c r="BB38" s="60"/>
      <c r="BC38" s="61"/>
    </row>
    <row r="39" spans="1:55" ht="18" customHeight="1" x14ac:dyDescent="0.3">
      <c r="A39" s="55"/>
      <c r="B39" s="67"/>
      <c r="C39" s="46"/>
      <c r="D39" s="56"/>
      <c r="E39" s="56"/>
      <c r="F39" s="57"/>
      <c r="G39" s="76"/>
      <c r="H39" s="77"/>
      <c r="I39" s="77"/>
      <c r="J39" s="77"/>
      <c r="K39" s="77"/>
      <c r="L39" s="77"/>
      <c r="M39" s="78"/>
      <c r="N39" s="76"/>
      <c r="O39" s="79"/>
      <c r="P39" s="79"/>
      <c r="Q39" s="59"/>
      <c r="R39" s="77"/>
      <c r="S39" s="77"/>
      <c r="T39" s="80"/>
      <c r="U39" s="81"/>
      <c r="V39" s="79"/>
      <c r="W39" s="79"/>
      <c r="X39" s="59"/>
      <c r="Y39" s="77"/>
      <c r="Z39" s="77"/>
      <c r="AA39" s="63"/>
      <c r="AB39" s="58"/>
      <c r="AC39" s="66"/>
      <c r="AD39" s="66"/>
      <c r="AE39" s="59"/>
      <c r="AF39" s="60"/>
      <c r="AG39" s="60"/>
      <c r="AH39" s="61"/>
      <c r="AI39" s="62"/>
      <c r="AJ39" s="66"/>
      <c r="AK39" s="66"/>
      <c r="AL39" s="59"/>
      <c r="AM39" s="60"/>
      <c r="AN39" s="60"/>
      <c r="AO39" s="63"/>
      <c r="AP39" s="58"/>
      <c r="AQ39" s="66"/>
      <c r="AR39" s="66"/>
      <c r="AS39" s="59"/>
      <c r="AT39" s="60"/>
      <c r="AU39" s="60"/>
      <c r="AV39" s="61"/>
      <c r="AW39" s="62"/>
      <c r="AX39" s="66"/>
      <c r="AY39" s="66"/>
      <c r="AZ39" s="59"/>
      <c r="BA39" s="60"/>
      <c r="BB39" s="60"/>
      <c r="BC39" s="80"/>
    </row>
    <row r="40" spans="1:55" ht="18" customHeight="1" x14ac:dyDescent="0.3">
      <c r="A40" s="55"/>
      <c r="B40" s="67"/>
      <c r="C40" s="46"/>
      <c r="D40" s="56"/>
      <c r="E40" s="56"/>
      <c r="F40" s="57"/>
      <c r="G40" s="82"/>
      <c r="H40" s="83"/>
      <c r="I40" s="83"/>
      <c r="J40" s="83"/>
      <c r="K40" s="83"/>
      <c r="L40" s="83"/>
      <c r="M40" s="84"/>
      <c r="N40" s="82"/>
      <c r="O40" s="85"/>
      <c r="P40" s="85"/>
      <c r="Q40" s="86"/>
      <c r="R40" s="83"/>
      <c r="S40" s="83"/>
      <c r="T40" s="87"/>
      <c r="U40" s="88"/>
      <c r="V40" s="85"/>
      <c r="W40" s="85"/>
      <c r="X40" s="86"/>
      <c r="Y40" s="83"/>
      <c r="Z40" s="83"/>
      <c r="AA40" s="89"/>
      <c r="AB40" s="90"/>
      <c r="AC40" s="91"/>
      <c r="AD40" s="91"/>
      <c r="AE40" s="86"/>
      <c r="AF40" s="92"/>
      <c r="AG40" s="92"/>
      <c r="AH40" s="93"/>
      <c r="AI40" s="94"/>
      <c r="AJ40" s="91"/>
      <c r="AK40" s="91"/>
      <c r="AL40" s="86"/>
      <c r="AM40" s="92"/>
      <c r="AN40" s="92"/>
      <c r="AO40" s="89"/>
      <c r="AP40" s="90"/>
      <c r="AQ40" s="91"/>
      <c r="AR40" s="91"/>
      <c r="AS40" s="86"/>
      <c r="AT40" s="92"/>
      <c r="AU40" s="92"/>
      <c r="AV40" s="93"/>
      <c r="AW40" s="94"/>
      <c r="AX40" s="91"/>
      <c r="AY40" s="91"/>
      <c r="AZ40" s="86"/>
      <c r="BA40" s="92"/>
      <c r="BB40" s="92"/>
      <c r="BC40" s="87"/>
    </row>
    <row r="41" spans="1:55" ht="18.75" x14ac:dyDescent="0.3"/>
    <row r="42" spans="1:55" ht="18.75" x14ac:dyDescent="0.3"/>
    <row r="43" spans="1:55" ht="18.75" x14ac:dyDescent="0.3"/>
    <row r="44" spans="1:55" ht="18.75" x14ac:dyDescent="0.3"/>
    <row r="45" spans="1:55" ht="18.75" x14ac:dyDescent="0.3"/>
    <row r="46" spans="1:55" ht="18.75" x14ac:dyDescent="0.3"/>
    <row r="47" spans="1:55" ht="18.75" x14ac:dyDescent="0.3"/>
    <row r="48" spans="1:55" ht="18.75" x14ac:dyDescent="0.3"/>
    <row r="49" ht="18.75" x14ac:dyDescent="0.3"/>
    <row r="50" ht="18.75" x14ac:dyDescent="0.3"/>
    <row r="51" ht="18.75" x14ac:dyDescent="0.3"/>
    <row r="52" ht="18.75" x14ac:dyDescent="0.3"/>
    <row r="53" ht="18.75" x14ac:dyDescent="0.3"/>
    <row r="54" ht="18.75" x14ac:dyDescent="0.3"/>
    <row r="55" ht="18.75" x14ac:dyDescent="0.3"/>
  </sheetData>
  <mergeCells count="22">
    <mergeCell ref="AW3:BC3"/>
    <mergeCell ref="D4:F4"/>
    <mergeCell ref="D5:F5"/>
    <mergeCell ref="N3:T3"/>
    <mergeCell ref="U3:AA3"/>
    <mergeCell ref="AB3:AH3"/>
    <mergeCell ref="AI3:AO3"/>
    <mergeCell ref="AP3:AV3"/>
    <mergeCell ref="A2:A5"/>
    <mergeCell ref="B2:B5"/>
    <mergeCell ref="C2:C5"/>
    <mergeCell ref="D3:F3"/>
    <mergeCell ref="G3:M3"/>
    <mergeCell ref="BB1:BC1"/>
    <mergeCell ref="D2:F2"/>
    <mergeCell ref="G2:M2"/>
    <mergeCell ref="N2:T2"/>
    <mergeCell ref="U2:AA2"/>
    <mergeCell ref="AB2:AH2"/>
    <mergeCell ref="AI2:AO2"/>
    <mergeCell ref="AP2:AV2"/>
    <mergeCell ref="AW2:BC2"/>
  </mergeCells>
  <pageMargins left="0.73958333333333337" right="0.1875" top="0.35433070866141736" bottom="0.15748031496062992" header="0.31496062992125984" footer="0.31496062992125984"/>
  <pageSetup paperSize="9" orientation="portrait" useFirstPageNumber="1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BC55"/>
  <sheetViews>
    <sheetView tabSelected="1" view="pageBreakPreview" zoomScale="120" zoomScaleNormal="150" workbookViewId="0">
      <selection activeCell="AI7" sqref="AI7"/>
    </sheetView>
  </sheetViews>
  <sheetFormatPr defaultColWidth="9.125" defaultRowHeight="18" customHeight="1" x14ac:dyDescent="0.3"/>
  <cols>
    <col min="1" max="1" width="2.875" style="25" customWidth="1"/>
    <col min="2" max="2" width="4.25" style="25" customWidth="1"/>
    <col min="3" max="3" width="8.75" style="25" customWidth="1"/>
    <col min="4" max="4" width="2.25" style="25" customWidth="1"/>
    <col min="5" max="5" width="2.125" style="25" customWidth="1"/>
    <col min="6" max="6" width="5.375" style="25" customWidth="1"/>
    <col min="7" max="55" width="1.25" style="25" customWidth="1"/>
    <col min="56" max="56" width="9.125" style="25" customWidth="1"/>
    <col min="57" max="16384" width="9.125" style="25"/>
  </cols>
  <sheetData>
    <row r="1" spans="1:55" ht="18" customHeight="1" x14ac:dyDescent="0.35">
      <c r="A1" s="26"/>
      <c r="S1" s="397"/>
      <c r="T1" s="397"/>
      <c r="AA1" s="95"/>
      <c r="BB1" s="372">
        <v>3</v>
      </c>
      <c r="BC1" s="372"/>
    </row>
    <row r="2" spans="1:55" ht="18" customHeight="1" x14ac:dyDescent="0.3">
      <c r="A2" s="379" t="s">
        <v>46</v>
      </c>
      <c r="B2" s="382" t="s">
        <v>47</v>
      </c>
      <c r="C2" s="385" t="s">
        <v>48</v>
      </c>
      <c r="D2" s="373" t="s">
        <v>49</v>
      </c>
      <c r="E2" s="374"/>
      <c r="F2" s="375"/>
      <c r="G2" s="376" t="s">
        <v>51</v>
      </c>
      <c r="H2" s="377"/>
      <c r="I2" s="377"/>
      <c r="J2" s="377"/>
      <c r="K2" s="377"/>
      <c r="L2" s="377"/>
      <c r="M2" s="378"/>
      <c r="N2" s="376" t="s">
        <v>51</v>
      </c>
      <c r="O2" s="377"/>
      <c r="P2" s="377"/>
      <c r="Q2" s="377"/>
      <c r="R2" s="377"/>
      <c r="S2" s="377"/>
      <c r="T2" s="378"/>
      <c r="U2" s="376" t="s">
        <v>88</v>
      </c>
      <c r="V2" s="377"/>
      <c r="W2" s="377"/>
      <c r="X2" s="377"/>
      <c r="Y2" s="377"/>
      <c r="Z2" s="377"/>
      <c r="AA2" s="378"/>
      <c r="AB2" s="398" t="s">
        <v>88</v>
      </c>
      <c r="AC2" s="399"/>
      <c r="AD2" s="399"/>
      <c r="AE2" s="399"/>
      <c r="AF2" s="399"/>
      <c r="AG2" s="399"/>
      <c r="AH2" s="400"/>
      <c r="AI2" s="398" t="s">
        <v>88</v>
      </c>
      <c r="AJ2" s="399"/>
      <c r="AK2" s="399"/>
      <c r="AL2" s="399"/>
      <c r="AM2" s="399"/>
      <c r="AN2" s="399"/>
      <c r="AO2" s="400"/>
      <c r="AP2" s="398" t="s">
        <v>88</v>
      </c>
      <c r="AQ2" s="399"/>
      <c r="AR2" s="399"/>
      <c r="AS2" s="399"/>
      <c r="AT2" s="399"/>
      <c r="AU2" s="399"/>
      <c r="AV2" s="400"/>
      <c r="AW2" s="398" t="s">
        <v>89</v>
      </c>
      <c r="AX2" s="399"/>
      <c r="AY2" s="399"/>
      <c r="AZ2" s="399"/>
      <c r="BA2" s="399"/>
      <c r="BB2" s="399"/>
      <c r="BC2" s="400"/>
    </row>
    <row r="3" spans="1:55" ht="18" customHeight="1" x14ac:dyDescent="0.3">
      <c r="A3" s="380"/>
      <c r="B3" s="383"/>
      <c r="C3" s="386"/>
      <c r="D3" s="388" t="s">
        <v>52</v>
      </c>
      <c r="E3" s="389"/>
      <c r="F3" s="390"/>
      <c r="G3" s="391">
        <v>8</v>
      </c>
      <c r="H3" s="392"/>
      <c r="I3" s="392"/>
      <c r="J3" s="392"/>
      <c r="K3" s="392"/>
      <c r="L3" s="392"/>
      <c r="M3" s="393"/>
      <c r="N3" s="391">
        <v>9</v>
      </c>
      <c r="O3" s="392"/>
      <c r="P3" s="392"/>
      <c r="Q3" s="392"/>
      <c r="R3" s="392"/>
      <c r="S3" s="392"/>
      <c r="T3" s="393"/>
      <c r="U3" s="391">
        <v>10</v>
      </c>
      <c r="V3" s="392"/>
      <c r="W3" s="392"/>
      <c r="X3" s="392"/>
      <c r="Y3" s="392"/>
      <c r="Z3" s="392"/>
      <c r="AA3" s="393"/>
      <c r="AB3" s="401">
        <v>11</v>
      </c>
      <c r="AC3" s="401"/>
      <c r="AD3" s="402"/>
      <c r="AE3" s="402"/>
      <c r="AF3" s="402"/>
      <c r="AG3" s="403"/>
      <c r="AH3" s="404"/>
      <c r="AI3" s="405">
        <v>12</v>
      </c>
      <c r="AJ3" s="402"/>
      <c r="AK3" s="402"/>
      <c r="AL3" s="402"/>
      <c r="AM3" s="402"/>
      <c r="AN3" s="402"/>
      <c r="AO3" s="403"/>
      <c r="AP3" s="405">
        <v>13</v>
      </c>
      <c r="AQ3" s="401"/>
      <c r="AR3" s="401"/>
      <c r="AS3" s="402"/>
      <c r="AT3" s="402"/>
      <c r="AU3" s="402"/>
      <c r="AV3" s="404"/>
      <c r="AW3" s="405">
        <v>14</v>
      </c>
      <c r="AX3" s="401"/>
      <c r="AY3" s="401"/>
      <c r="AZ3" s="402"/>
      <c r="BA3" s="402"/>
      <c r="BB3" s="402"/>
      <c r="BC3" s="404"/>
    </row>
    <row r="4" spans="1:55" ht="18" customHeight="1" x14ac:dyDescent="0.3">
      <c r="A4" s="380"/>
      <c r="B4" s="383"/>
      <c r="C4" s="386"/>
      <c r="D4" s="388" t="s">
        <v>53</v>
      </c>
      <c r="E4" s="389"/>
      <c r="F4" s="390"/>
      <c r="G4" s="27">
        <v>21</v>
      </c>
      <c r="H4" s="30">
        <v>22</v>
      </c>
      <c r="I4" s="30">
        <v>23</v>
      </c>
      <c r="J4" s="28">
        <v>24</v>
      </c>
      <c r="K4" s="28">
        <v>25</v>
      </c>
      <c r="L4" s="28">
        <v>26</v>
      </c>
      <c r="M4" s="29">
        <v>27</v>
      </c>
      <c r="N4" s="27">
        <v>28</v>
      </c>
      <c r="O4" s="30">
        <v>29</v>
      </c>
      <c r="P4" s="30">
        <v>30</v>
      </c>
      <c r="Q4" s="28">
        <v>31</v>
      </c>
      <c r="R4" s="28">
        <v>1</v>
      </c>
      <c r="S4" s="28">
        <v>2</v>
      </c>
      <c r="T4" s="29">
        <v>3</v>
      </c>
      <c r="U4" s="27">
        <v>4</v>
      </c>
      <c r="V4" s="30">
        <v>5</v>
      </c>
      <c r="W4" s="30">
        <v>6</v>
      </c>
      <c r="X4" s="28">
        <v>7</v>
      </c>
      <c r="Y4" s="28">
        <v>8</v>
      </c>
      <c r="Z4" s="28">
        <v>9</v>
      </c>
      <c r="AA4" s="29">
        <v>10</v>
      </c>
      <c r="AB4" s="27">
        <v>11</v>
      </c>
      <c r="AC4" s="98">
        <v>12</v>
      </c>
      <c r="AD4" s="32">
        <v>13</v>
      </c>
      <c r="AE4" s="32">
        <v>14</v>
      </c>
      <c r="AF4" s="32">
        <v>15</v>
      </c>
      <c r="AG4" s="32">
        <v>16</v>
      </c>
      <c r="AH4" s="29">
        <v>17</v>
      </c>
      <c r="AI4" s="27">
        <v>18</v>
      </c>
      <c r="AJ4" s="32">
        <v>19</v>
      </c>
      <c r="AK4" s="32">
        <v>20</v>
      </c>
      <c r="AL4" s="32">
        <v>21</v>
      </c>
      <c r="AM4" s="32">
        <v>22</v>
      </c>
      <c r="AN4" s="32">
        <v>23</v>
      </c>
      <c r="AO4" s="29">
        <v>24</v>
      </c>
      <c r="AP4" s="27">
        <v>25</v>
      </c>
      <c r="AQ4" s="98">
        <v>26</v>
      </c>
      <c r="AR4" s="98">
        <v>27</v>
      </c>
      <c r="AS4" s="32">
        <v>28</v>
      </c>
      <c r="AT4" s="32">
        <v>29</v>
      </c>
      <c r="AU4" s="32">
        <v>30</v>
      </c>
      <c r="AV4" s="29">
        <v>31</v>
      </c>
      <c r="AW4" s="27">
        <v>1</v>
      </c>
      <c r="AX4" s="98">
        <v>2</v>
      </c>
      <c r="AY4" s="98">
        <v>3</v>
      </c>
      <c r="AZ4" s="32">
        <v>4</v>
      </c>
      <c r="BA4" s="32">
        <v>5</v>
      </c>
      <c r="BB4" s="32">
        <v>6</v>
      </c>
      <c r="BC4" s="33">
        <v>7</v>
      </c>
    </row>
    <row r="5" spans="1:55" ht="18" customHeight="1" x14ac:dyDescent="0.3">
      <c r="A5" s="381"/>
      <c r="B5" s="384"/>
      <c r="C5" s="387"/>
      <c r="D5" s="394" t="s">
        <v>54</v>
      </c>
      <c r="E5" s="395"/>
      <c r="F5" s="396"/>
      <c r="G5" s="37"/>
      <c r="H5" s="38"/>
      <c r="I5" s="38"/>
      <c r="J5" s="39"/>
      <c r="K5" s="39"/>
      <c r="L5" s="39"/>
      <c r="M5" s="40"/>
      <c r="N5" s="37"/>
      <c r="O5" s="38"/>
      <c r="P5" s="38"/>
      <c r="Q5" s="39"/>
      <c r="R5" s="39"/>
      <c r="S5" s="39"/>
      <c r="T5" s="40"/>
      <c r="U5" s="37"/>
      <c r="V5" s="38"/>
      <c r="W5" s="38"/>
      <c r="X5" s="39"/>
      <c r="Y5" s="39"/>
      <c r="Z5" s="39"/>
      <c r="AA5" s="40"/>
      <c r="AB5" s="34"/>
      <c r="AC5" s="99"/>
      <c r="AD5" s="100"/>
      <c r="AE5" s="101"/>
      <c r="AF5" s="101"/>
      <c r="AG5" s="101"/>
      <c r="AH5" s="36"/>
      <c r="AI5" s="34"/>
      <c r="AJ5" s="100"/>
      <c r="AK5" s="101"/>
      <c r="AL5" s="101"/>
      <c r="AM5" s="101"/>
      <c r="AN5" s="101"/>
      <c r="AO5" s="36"/>
      <c r="AP5" s="34"/>
      <c r="AQ5" s="99"/>
      <c r="AR5" s="99"/>
      <c r="AS5" s="100"/>
      <c r="AT5" s="100"/>
      <c r="AU5" s="101"/>
      <c r="AV5" s="36"/>
      <c r="AW5" s="34"/>
      <c r="AX5" s="99"/>
      <c r="AY5" s="99"/>
      <c r="AZ5" s="100"/>
      <c r="BA5" s="100"/>
      <c r="BB5" s="101"/>
      <c r="BC5" s="102"/>
    </row>
    <row r="6" spans="1:55" ht="18" customHeight="1" x14ac:dyDescent="0.3">
      <c r="A6" s="44">
        <v>1</v>
      </c>
      <c r="B6" s="103" t="s">
        <v>55</v>
      </c>
      <c r="C6" s="46" t="s">
        <v>56</v>
      </c>
      <c r="D6" s="47"/>
      <c r="E6" s="47"/>
      <c r="F6" s="48"/>
      <c r="G6" s="49" t="s">
        <v>57</v>
      </c>
      <c r="H6" s="50" t="s">
        <v>57</v>
      </c>
      <c r="I6" s="50" t="s">
        <v>57</v>
      </c>
      <c r="J6" s="50" t="s">
        <v>57</v>
      </c>
      <c r="K6" s="50" t="s">
        <v>57</v>
      </c>
      <c r="L6" s="50" t="s">
        <v>57</v>
      </c>
      <c r="M6" s="52" t="s">
        <v>57</v>
      </c>
      <c r="N6" s="49" t="s">
        <v>57</v>
      </c>
      <c r="O6" s="50" t="s">
        <v>57</v>
      </c>
      <c r="P6" s="50" t="s">
        <v>57</v>
      </c>
      <c r="Q6" s="50" t="s">
        <v>57</v>
      </c>
      <c r="R6" s="50" t="s">
        <v>57</v>
      </c>
      <c r="S6" s="50" t="s">
        <v>57</v>
      </c>
      <c r="T6" s="52" t="s">
        <v>57</v>
      </c>
      <c r="U6" s="49" t="s">
        <v>57</v>
      </c>
      <c r="V6" s="50" t="s">
        <v>57</v>
      </c>
      <c r="W6" s="50" t="s">
        <v>57</v>
      </c>
      <c r="X6" s="50" t="s">
        <v>57</v>
      </c>
      <c r="Y6" s="50" t="s">
        <v>57</v>
      </c>
      <c r="Z6" s="50" t="s">
        <v>57</v>
      </c>
      <c r="AA6" s="52" t="s">
        <v>57</v>
      </c>
      <c r="AB6" s="104" t="s">
        <v>57</v>
      </c>
      <c r="AC6" s="50" t="s">
        <v>57</v>
      </c>
      <c r="AD6" s="50" t="s">
        <v>57</v>
      </c>
      <c r="AE6" s="105" t="s">
        <v>57</v>
      </c>
      <c r="AF6" s="105" t="s">
        <v>57</v>
      </c>
      <c r="AG6" s="50" t="s">
        <v>57</v>
      </c>
      <c r="AH6" s="80" t="s">
        <v>57</v>
      </c>
      <c r="AI6" s="104" t="s">
        <v>57</v>
      </c>
      <c r="AJ6" s="50" t="s">
        <v>57</v>
      </c>
      <c r="AK6" s="50" t="s">
        <v>57</v>
      </c>
      <c r="AL6" s="50" t="s">
        <v>57</v>
      </c>
      <c r="AM6" s="50" t="s">
        <v>57</v>
      </c>
      <c r="AN6" s="50" t="s">
        <v>57</v>
      </c>
      <c r="AO6" s="80" t="s">
        <v>57</v>
      </c>
      <c r="AP6" s="104" t="s">
        <v>57</v>
      </c>
      <c r="AQ6" s="50" t="s">
        <v>57</v>
      </c>
      <c r="AR6" s="50" t="s">
        <v>57</v>
      </c>
      <c r="AS6" s="50" t="s">
        <v>57</v>
      </c>
      <c r="AT6" s="50" t="s">
        <v>57</v>
      </c>
      <c r="AU6" s="50" t="s">
        <v>57</v>
      </c>
      <c r="AV6" s="80" t="s">
        <v>57</v>
      </c>
      <c r="AW6" s="106" t="s">
        <v>57</v>
      </c>
      <c r="AX6" s="107" t="s">
        <v>57</v>
      </c>
      <c r="AY6" s="50" t="s">
        <v>57</v>
      </c>
      <c r="AZ6" s="50" t="s">
        <v>57</v>
      </c>
      <c r="BA6" s="50" t="s">
        <v>57</v>
      </c>
      <c r="BB6" s="50" t="s">
        <v>57</v>
      </c>
      <c r="BC6" s="80" t="s">
        <v>57</v>
      </c>
    </row>
    <row r="7" spans="1:55" ht="18" customHeight="1" x14ac:dyDescent="0.3">
      <c r="A7" s="55">
        <v>2</v>
      </c>
      <c r="B7" s="45" t="s">
        <v>58</v>
      </c>
      <c r="C7" s="46" t="s">
        <v>59</v>
      </c>
      <c r="D7" s="56"/>
      <c r="E7" s="56"/>
      <c r="F7" s="57"/>
      <c r="G7" s="58" t="s">
        <v>57</v>
      </c>
      <c r="H7" s="59" t="s">
        <v>57</v>
      </c>
      <c r="I7" s="59" t="s">
        <v>57</v>
      </c>
      <c r="J7" s="59" t="s">
        <v>57</v>
      </c>
      <c r="K7" s="59" t="s">
        <v>57</v>
      </c>
      <c r="L7" s="59" t="s">
        <v>57</v>
      </c>
      <c r="M7" s="61" t="s">
        <v>57</v>
      </c>
      <c r="N7" s="58" t="s">
        <v>57</v>
      </c>
      <c r="O7" s="59" t="s">
        <v>57</v>
      </c>
      <c r="P7" s="59" t="s">
        <v>57</v>
      </c>
      <c r="Q7" s="59" t="s">
        <v>57</v>
      </c>
      <c r="R7" s="59" t="s">
        <v>57</v>
      </c>
      <c r="S7" s="59" t="s">
        <v>57</v>
      </c>
      <c r="T7" s="61" t="s">
        <v>57</v>
      </c>
      <c r="U7" s="58" t="s">
        <v>57</v>
      </c>
      <c r="V7" s="59" t="s">
        <v>57</v>
      </c>
      <c r="W7" s="59" t="s">
        <v>57</v>
      </c>
      <c r="X7" s="59" t="s">
        <v>57</v>
      </c>
      <c r="Y7" s="59" t="s">
        <v>57</v>
      </c>
      <c r="Z7" s="59" t="s">
        <v>57</v>
      </c>
      <c r="AA7" s="61" t="s">
        <v>57</v>
      </c>
      <c r="AB7" s="108" t="s">
        <v>57</v>
      </c>
      <c r="AC7" s="59" t="s">
        <v>57</v>
      </c>
      <c r="AD7" s="59" t="s">
        <v>57</v>
      </c>
      <c r="AE7" s="77" t="s">
        <v>57</v>
      </c>
      <c r="AF7" s="77" t="s">
        <v>57</v>
      </c>
      <c r="AG7" s="59" t="s">
        <v>57</v>
      </c>
      <c r="AH7" s="80" t="s">
        <v>57</v>
      </c>
      <c r="AI7" s="108" t="s">
        <v>57</v>
      </c>
      <c r="AJ7" s="59" t="s">
        <v>90</v>
      </c>
      <c r="AK7" s="59" t="s">
        <v>57</v>
      </c>
      <c r="AL7" s="59" t="s">
        <v>57</v>
      </c>
      <c r="AM7" s="59" t="s">
        <v>57</v>
      </c>
      <c r="AN7" s="59" t="s">
        <v>57</v>
      </c>
      <c r="AO7" s="80" t="s">
        <v>57</v>
      </c>
      <c r="AP7" s="108" t="s">
        <v>57</v>
      </c>
      <c r="AQ7" s="59" t="s">
        <v>90</v>
      </c>
      <c r="AR7" s="59" t="s">
        <v>57</v>
      </c>
      <c r="AS7" s="59" t="s">
        <v>57</v>
      </c>
      <c r="AT7" s="59" t="s">
        <v>57</v>
      </c>
      <c r="AU7" s="59" t="s">
        <v>57</v>
      </c>
      <c r="AV7" s="80" t="s">
        <v>57</v>
      </c>
      <c r="AW7" s="109" t="s">
        <v>57</v>
      </c>
      <c r="AX7" s="110" t="s">
        <v>57</v>
      </c>
      <c r="AY7" s="59" t="s">
        <v>57</v>
      </c>
      <c r="AZ7" s="59" t="s">
        <v>57</v>
      </c>
      <c r="BA7" s="59" t="s">
        <v>57</v>
      </c>
      <c r="BB7" s="59" t="s">
        <v>57</v>
      </c>
      <c r="BC7" s="80" t="s">
        <v>57</v>
      </c>
    </row>
    <row r="8" spans="1:55" ht="18" customHeight="1" x14ac:dyDescent="0.3">
      <c r="A8" s="55">
        <v>3</v>
      </c>
      <c r="B8" s="45" t="s">
        <v>60</v>
      </c>
      <c r="C8" s="46" t="s">
        <v>61</v>
      </c>
      <c r="D8" s="56"/>
      <c r="E8" s="56"/>
      <c r="F8" s="57"/>
      <c r="G8" s="58" t="s">
        <v>57</v>
      </c>
      <c r="H8" s="59" t="s">
        <v>57</v>
      </c>
      <c r="I8" s="59" t="s">
        <v>57</v>
      </c>
      <c r="J8" s="59" t="s">
        <v>57</v>
      </c>
      <c r="K8" s="59" t="s">
        <v>57</v>
      </c>
      <c r="L8" s="59" t="s">
        <v>57</v>
      </c>
      <c r="M8" s="61" t="s">
        <v>57</v>
      </c>
      <c r="N8" s="58" t="s">
        <v>57</v>
      </c>
      <c r="O8" s="59" t="s">
        <v>57</v>
      </c>
      <c r="P8" s="59" t="s">
        <v>57</v>
      </c>
      <c r="Q8" s="59" t="s">
        <v>57</v>
      </c>
      <c r="R8" s="59" t="s">
        <v>57</v>
      </c>
      <c r="S8" s="59" t="s">
        <v>57</v>
      </c>
      <c r="T8" s="61" t="s">
        <v>57</v>
      </c>
      <c r="U8" s="58" t="s">
        <v>57</v>
      </c>
      <c r="V8" s="59" t="s">
        <v>57</v>
      </c>
      <c r="W8" s="59" t="s">
        <v>57</v>
      </c>
      <c r="X8" s="59" t="s">
        <v>57</v>
      </c>
      <c r="Y8" s="59" t="s">
        <v>57</v>
      </c>
      <c r="Z8" s="59" t="s">
        <v>57</v>
      </c>
      <c r="AA8" s="61" t="s">
        <v>57</v>
      </c>
      <c r="AB8" s="108" t="s">
        <v>57</v>
      </c>
      <c r="AC8" s="59" t="s">
        <v>57</v>
      </c>
      <c r="AD8" s="59" t="s">
        <v>57</v>
      </c>
      <c r="AE8" s="77" t="s">
        <v>57</v>
      </c>
      <c r="AF8" s="77" t="s">
        <v>57</v>
      </c>
      <c r="AG8" s="59" t="s">
        <v>57</v>
      </c>
      <c r="AH8" s="80" t="s">
        <v>57</v>
      </c>
      <c r="AI8" s="108" t="s">
        <v>57</v>
      </c>
      <c r="AJ8" s="59" t="s">
        <v>57</v>
      </c>
      <c r="AK8" s="59" t="s">
        <v>57</v>
      </c>
      <c r="AL8" s="59" t="s">
        <v>57</v>
      </c>
      <c r="AM8" s="59" t="s">
        <v>57</v>
      </c>
      <c r="AN8" s="59" t="s">
        <v>57</v>
      </c>
      <c r="AO8" s="80" t="s">
        <v>57</v>
      </c>
      <c r="AP8" s="108" t="s">
        <v>57</v>
      </c>
      <c r="AQ8" s="59" t="s">
        <v>57</v>
      </c>
      <c r="AR8" s="59" t="s">
        <v>57</v>
      </c>
      <c r="AS8" s="59" t="s">
        <v>57</v>
      </c>
      <c r="AT8" s="59" t="s">
        <v>57</v>
      </c>
      <c r="AU8" s="59" t="s">
        <v>57</v>
      </c>
      <c r="AV8" s="80" t="s">
        <v>57</v>
      </c>
      <c r="AW8" s="109" t="s">
        <v>57</v>
      </c>
      <c r="AX8" s="110" t="s">
        <v>57</v>
      </c>
      <c r="AY8" s="59" t="s">
        <v>57</v>
      </c>
      <c r="AZ8" s="59" t="s">
        <v>57</v>
      </c>
      <c r="BA8" s="59" t="s">
        <v>57</v>
      </c>
      <c r="BB8" s="59" t="s">
        <v>57</v>
      </c>
      <c r="BC8" s="80" t="s">
        <v>57</v>
      </c>
    </row>
    <row r="9" spans="1:55" ht="18" customHeight="1" x14ac:dyDescent="0.3">
      <c r="A9" s="55">
        <v>4</v>
      </c>
      <c r="B9" s="45" t="s">
        <v>62</v>
      </c>
      <c r="C9" s="46" t="s">
        <v>63</v>
      </c>
      <c r="D9" s="56"/>
      <c r="E9" s="56"/>
      <c r="F9" s="57"/>
      <c r="G9" s="58" t="s">
        <v>57</v>
      </c>
      <c r="H9" s="59" t="s">
        <v>57</v>
      </c>
      <c r="I9" s="59" t="s">
        <v>57</v>
      </c>
      <c r="J9" s="59" t="s">
        <v>57</v>
      </c>
      <c r="K9" s="59" t="s">
        <v>57</v>
      </c>
      <c r="L9" s="59" t="s">
        <v>57</v>
      </c>
      <c r="M9" s="61" t="s">
        <v>57</v>
      </c>
      <c r="N9" s="58" t="s">
        <v>57</v>
      </c>
      <c r="O9" s="59" t="s">
        <v>57</v>
      </c>
      <c r="P9" s="59" t="s">
        <v>57</v>
      </c>
      <c r="Q9" s="59" t="s">
        <v>57</v>
      </c>
      <c r="R9" s="59" t="s">
        <v>57</v>
      </c>
      <c r="S9" s="59" t="s">
        <v>57</v>
      </c>
      <c r="T9" s="61" t="s">
        <v>57</v>
      </c>
      <c r="U9" s="58" t="s">
        <v>57</v>
      </c>
      <c r="V9" s="59" t="s">
        <v>57</v>
      </c>
      <c r="W9" s="59" t="s">
        <v>57</v>
      </c>
      <c r="X9" s="59" t="s">
        <v>57</v>
      </c>
      <c r="Y9" s="59" t="s">
        <v>57</v>
      </c>
      <c r="Z9" s="59" t="s">
        <v>57</v>
      </c>
      <c r="AA9" s="61" t="s">
        <v>57</v>
      </c>
      <c r="AB9" s="108" t="s">
        <v>57</v>
      </c>
      <c r="AC9" s="59" t="s">
        <v>57</v>
      </c>
      <c r="AD9" s="59" t="s">
        <v>57</v>
      </c>
      <c r="AE9" s="77" t="s">
        <v>57</v>
      </c>
      <c r="AF9" s="77" t="s">
        <v>57</v>
      </c>
      <c r="AG9" s="59" t="s">
        <v>57</v>
      </c>
      <c r="AH9" s="80" t="s">
        <v>57</v>
      </c>
      <c r="AI9" s="108" t="s">
        <v>57</v>
      </c>
      <c r="AJ9" s="59" t="s">
        <v>57</v>
      </c>
      <c r="AK9" s="59" t="s">
        <v>57</v>
      </c>
      <c r="AL9" s="59" t="s">
        <v>57</v>
      </c>
      <c r="AM9" s="59" t="s">
        <v>57</v>
      </c>
      <c r="AN9" s="59" t="s">
        <v>57</v>
      </c>
      <c r="AO9" s="80" t="s">
        <v>57</v>
      </c>
      <c r="AP9" s="108" t="s">
        <v>57</v>
      </c>
      <c r="AQ9" s="59" t="s">
        <v>57</v>
      </c>
      <c r="AR9" s="59" t="s">
        <v>57</v>
      </c>
      <c r="AS9" s="59" t="s">
        <v>57</v>
      </c>
      <c r="AT9" s="59" t="s">
        <v>57</v>
      </c>
      <c r="AU9" s="59" t="s">
        <v>57</v>
      </c>
      <c r="AV9" s="80" t="s">
        <v>57</v>
      </c>
      <c r="AW9" s="109" t="s">
        <v>57</v>
      </c>
      <c r="AX9" s="110" t="s">
        <v>57</v>
      </c>
      <c r="AY9" s="59" t="s">
        <v>57</v>
      </c>
      <c r="AZ9" s="59" t="s">
        <v>57</v>
      </c>
      <c r="BA9" s="59" t="s">
        <v>57</v>
      </c>
      <c r="BB9" s="59" t="s">
        <v>57</v>
      </c>
      <c r="BC9" s="80" t="s">
        <v>57</v>
      </c>
    </row>
    <row r="10" spans="1:55" ht="18" customHeight="1" x14ac:dyDescent="0.3">
      <c r="A10" s="55">
        <v>5</v>
      </c>
      <c r="B10" s="45" t="s">
        <v>64</v>
      </c>
      <c r="C10" s="46" t="s">
        <v>65</v>
      </c>
      <c r="D10" s="56"/>
      <c r="E10" s="56"/>
      <c r="F10" s="57"/>
      <c r="G10" s="58" t="s">
        <v>57</v>
      </c>
      <c r="H10" s="59" t="s">
        <v>57</v>
      </c>
      <c r="I10" s="59" t="s">
        <v>57</v>
      </c>
      <c r="J10" s="59" t="s">
        <v>57</v>
      </c>
      <c r="K10" s="59" t="s">
        <v>57</v>
      </c>
      <c r="L10" s="59" t="s">
        <v>57</v>
      </c>
      <c r="M10" s="61" t="s">
        <v>57</v>
      </c>
      <c r="N10" s="58" t="s">
        <v>57</v>
      </c>
      <c r="O10" s="59" t="s">
        <v>57</v>
      </c>
      <c r="P10" s="59" t="s">
        <v>57</v>
      </c>
      <c r="Q10" s="59" t="s">
        <v>57</v>
      </c>
      <c r="R10" s="59" t="s">
        <v>57</v>
      </c>
      <c r="S10" s="59" t="s">
        <v>57</v>
      </c>
      <c r="T10" s="61" t="s">
        <v>57</v>
      </c>
      <c r="U10" s="58" t="s">
        <v>57</v>
      </c>
      <c r="V10" s="59" t="s">
        <v>57</v>
      </c>
      <c r="W10" s="59" t="s">
        <v>57</v>
      </c>
      <c r="X10" s="59" t="s">
        <v>57</v>
      </c>
      <c r="Y10" s="59" t="s">
        <v>57</v>
      </c>
      <c r="Z10" s="59" t="s">
        <v>57</v>
      </c>
      <c r="AA10" s="61" t="s">
        <v>57</v>
      </c>
      <c r="AB10" s="108" t="s">
        <v>57</v>
      </c>
      <c r="AC10" s="59" t="s">
        <v>57</v>
      </c>
      <c r="AD10" s="59" t="s">
        <v>57</v>
      </c>
      <c r="AE10" s="77" t="s">
        <v>57</v>
      </c>
      <c r="AF10" s="77" t="s">
        <v>57</v>
      </c>
      <c r="AG10" s="59" t="s">
        <v>57</v>
      </c>
      <c r="AH10" s="80" t="s">
        <v>57</v>
      </c>
      <c r="AI10" s="108" t="s">
        <v>57</v>
      </c>
      <c r="AJ10" s="59" t="s">
        <v>57</v>
      </c>
      <c r="AK10" s="59" t="s">
        <v>57</v>
      </c>
      <c r="AL10" s="59" t="s">
        <v>57</v>
      </c>
      <c r="AM10" s="59" t="s">
        <v>57</v>
      </c>
      <c r="AN10" s="59" t="s">
        <v>57</v>
      </c>
      <c r="AO10" s="80" t="s">
        <v>57</v>
      </c>
      <c r="AP10" s="108" t="s">
        <v>57</v>
      </c>
      <c r="AQ10" s="59" t="s">
        <v>90</v>
      </c>
      <c r="AR10" s="59" t="s">
        <v>57</v>
      </c>
      <c r="AS10" s="59" t="s">
        <v>57</v>
      </c>
      <c r="AT10" s="59" t="s">
        <v>57</v>
      </c>
      <c r="AU10" s="59" t="s">
        <v>57</v>
      </c>
      <c r="AV10" s="80" t="s">
        <v>57</v>
      </c>
      <c r="AW10" s="109" t="s">
        <v>57</v>
      </c>
      <c r="AX10" s="110" t="s">
        <v>57</v>
      </c>
      <c r="AY10" s="59" t="s">
        <v>57</v>
      </c>
      <c r="AZ10" s="59" t="s">
        <v>57</v>
      </c>
      <c r="BA10" s="59" t="s">
        <v>57</v>
      </c>
      <c r="BB10" s="59" t="s">
        <v>57</v>
      </c>
      <c r="BC10" s="80" t="s">
        <v>57</v>
      </c>
    </row>
    <row r="11" spans="1:55" ht="18" customHeight="1" x14ac:dyDescent="0.3">
      <c r="A11" s="55">
        <v>6</v>
      </c>
      <c r="B11" s="45" t="s">
        <v>66</v>
      </c>
      <c r="C11" s="46" t="s">
        <v>67</v>
      </c>
      <c r="D11" s="56"/>
      <c r="E11" s="56"/>
      <c r="F11" s="57"/>
      <c r="G11" s="58" t="s">
        <v>57</v>
      </c>
      <c r="H11" s="59" t="s">
        <v>57</v>
      </c>
      <c r="I11" s="59" t="s">
        <v>57</v>
      </c>
      <c r="J11" s="59" t="s">
        <v>57</v>
      </c>
      <c r="K11" s="59" t="s">
        <v>57</v>
      </c>
      <c r="L11" s="59" t="s">
        <v>57</v>
      </c>
      <c r="M11" s="61" t="s">
        <v>57</v>
      </c>
      <c r="N11" s="58" t="s">
        <v>57</v>
      </c>
      <c r="O11" s="59" t="s">
        <v>57</v>
      </c>
      <c r="P11" s="59" t="s">
        <v>57</v>
      </c>
      <c r="Q11" s="59" t="s">
        <v>57</v>
      </c>
      <c r="R11" s="59" t="s">
        <v>57</v>
      </c>
      <c r="S11" s="59" t="s">
        <v>57</v>
      </c>
      <c r="T11" s="61" t="s">
        <v>57</v>
      </c>
      <c r="U11" s="58" t="s">
        <v>57</v>
      </c>
      <c r="V11" s="59" t="s">
        <v>57</v>
      </c>
      <c r="W11" s="59" t="s">
        <v>57</v>
      </c>
      <c r="X11" s="59" t="s">
        <v>57</v>
      </c>
      <c r="Y11" s="59" t="s">
        <v>57</v>
      </c>
      <c r="Z11" s="59" t="s">
        <v>57</v>
      </c>
      <c r="AA11" s="61" t="s">
        <v>57</v>
      </c>
      <c r="AB11" s="108" t="s">
        <v>57</v>
      </c>
      <c r="AC11" s="59" t="s">
        <v>57</v>
      </c>
      <c r="AD11" s="59" t="s">
        <v>57</v>
      </c>
      <c r="AE11" s="77" t="s">
        <v>57</v>
      </c>
      <c r="AF11" s="77" t="s">
        <v>57</v>
      </c>
      <c r="AG11" s="59" t="s">
        <v>57</v>
      </c>
      <c r="AH11" s="80" t="s">
        <v>57</v>
      </c>
      <c r="AI11" s="108" t="s">
        <v>57</v>
      </c>
      <c r="AJ11" s="59" t="s">
        <v>90</v>
      </c>
      <c r="AK11" s="59" t="s">
        <v>57</v>
      </c>
      <c r="AL11" s="59" t="s">
        <v>57</v>
      </c>
      <c r="AM11" s="59" t="s">
        <v>57</v>
      </c>
      <c r="AN11" s="59" t="s">
        <v>57</v>
      </c>
      <c r="AO11" s="80" t="s">
        <v>57</v>
      </c>
      <c r="AP11" s="108" t="s">
        <v>57</v>
      </c>
      <c r="AQ11" s="59" t="s">
        <v>90</v>
      </c>
      <c r="AR11" s="59" t="s">
        <v>57</v>
      </c>
      <c r="AS11" s="59" t="s">
        <v>57</v>
      </c>
      <c r="AT11" s="59" t="s">
        <v>57</v>
      </c>
      <c r="AU11" s="59" t="s">
        <v>57</v>
      </c>
      <c r="AV11" s="80" t="s">
        <v>57</v>
      </c>
      <c r="AW11" s="109" t="s">
        <v>57</v>
      </c>
      <c r="AX11" s="110" t="s">
        <v>57</v>
      </c>
      <c r="AY11" s="59" t="s">
        <v>57</v>
      </c>
      <c r="AZ11" s="59" t="s">
        <v>57</v>
      </c>
      <c r="BA11" s="59" t="s">
        <v>57</v>
      </c>
      <c r="BB11" s="59" t="s">
        <v>57</v>
      </c>
      <c r="BC11" s="80" t="s">
        <v>57</v>
      </c>
    </row>
    <row r="12" spans="1:55" ht="18" customHeight="1" x14ac:dyDescent="0.3">
      <c r="A12" s="55">
        <v>7</v>
      </c>
      <c r="B12" s="45" t="s">
        <v>68</v>
      </c>
      <c r="C12" s="46" t="s">
        <v>69</v>
      </c>
      <c r="D12" s="56"/>
      <c r="E12" s="56"/>
      <c r="F12" s="57"/>
      <c r="G12" s="58" t="s">
        <v>57</v>
      </c>
      <c r="H12" s="59" t="s">
        <v>57</v>
      </c>
      <c r="I12" s="59" t="s">
        <v>57</v>
      </c>
      <c r="J12" s="59" t="s">
        <v>57</v>
      </c>
      <c r="K12" s="59" t="s">
        <v>57</v>
      </c>
      <c r="L12" s="59" t="s">
        <v>57</v>
      </c>
      <c r="M12" s="61" t="s">
        <v>57</v>
      </c>
      <c r="N12" s="58" t="s">
        <v>57</v>
      </c>
      <c r="O12" s="59" t="s">
        <v>57</v>
      </c>
      <c r="P12" s="59" t="s">
        <v>57</v>
      </c>
      <c r="Q12" s="59" t="s">
        <v>57</v>
      </c>
      <c r="R12" s="59" t="s">
        <v>57</v>
      </c>
      <c r="S12" s="59" t="s">
        <v>57</v>
      </c>
      <c r="T12" s="61" t="s">
        <v>57</v>
      </c>
      <c r="U12" s="58" t="s">
        <v>57</v>
      </c>
      <c r="V12" s="59" t="s">
        <v>57</v>
      </c>
      <c r="W12" s="59" t="s">
        <v>57</v>
      </c>
      <c r="X12" s="59" t="s">
        <v>57</v>
      </c>
      <c r="Y12" s="59" t="s">
        <v>57</v>
      </c>
      <c r="Z12" s="59" t="s">
        <v>57</v>
      </c>
      <c r="AA12" s="61" t="s">
        <v>57</v>
      </c>
      <c r="AB12" s="108" t="s">
        <v>57</v>
      </c>
      <c r="AC12" s="59" t="s">
        <v>90</v>
      </c>
      <c r="AD12" s="59" t="s">
        <v>57</v>
      </c>
      <c r="AE12" s="77" t="s">
        <v>57</v>
      </c>
      <c r="AF12" s="77" t="s">
        <v>57</v>
      </c>
      <c r="AG12" s="59" t="s">
        <v>57</v>
      </c>
      <c r="AH12" s="80" t="s">
        <v>57</v>
      </c>
      <c r="AI12" s="108" t="s">
        <v>57</v>
      </c>
      <c r="AJ12" s="59" t="s">
        <v>57</v>
      </c>
      <c r="AK12" s="59" t="s">
        <v>57</v>
      </c>
      <c r="AL12" s="59" t="s">
        <v>57</v>
      </c>
      <c r="AM12" s="59" t="s">
        <v>57</v>
      </c>
      <c r="AN12" s="59" t="s">
        <v>57</v>
      </c>
      <c r="AO12" s="80" t="s">
        <v>57</v>
      </c>
      <c r="AP12" s="108" t="s">
        <v>57</v>
      </c>
      <c r="AQ12" s="59" t="s">
        <v>90</v>
      </c>
      <c r="AR12" s="59" t="s">
        <v>57</v>
      </c>
      <c r="AS12" s="59" t="s">
        <v>57</v>
      </c>
      <c r="AT12" s="59" t="s">
        <v>57</v>
      </c>
      <c r="AU12" s="59" t="s">
        <v>57</v>
      </c>
      <c r="AV12" s="80" t="s">
        <v>57</v>
      </c>
      <c r="AW12" s="109" t="s">
        <v>57</v>
      </c>
      <c r="AX12" s="110" t="s">
        <v>57</v>
      </c>
      <c r="AY12" s="59" t="s">
        <v>57</v>
      </c>
      <c r="AZ12" s="59" t="s">
        <v>57</v>
      </c>
      <c r="BA12" s="59" t="s">
        <v>57</v>
      </c>
      <c r="BB12" s="59" t="s">
        <v>57</v>
      </c>
      <c r="BC12" s="80" t="s">
        <v>57</v>
      </c>
    </row>
    <row r="13" spans="1:55" ht="18" customHeight="1" x14ac:dyDescent="0.3">
      <c r="A13" s="55">
        <v>8</v>
      </c>
      <c r="B13" s="45" t="s">
        <v>70</v>
      </c>
      <c r="C13" s="46" t="s">
        <v>71</v>
      </c>
      <c r="D13" s="56"/>
      <c r="E13" s="56"/>
      <c r="F13" s="57"/>
      <c r="G13" s="58" t="s">
        <v>57</v>
      </c>
      <c r="H13" s="59" t="s">
        <v>57</v>
      </c>
      <c r="I13" s="59" t="s">
        <v>57</v>
      </c>
      <c r="J13" s="59" t="s">
        <v>57</v>
      </c>
      <c r="K13" s="59" t="s">
        <v>57</v>
      </c>
      <c r="L13" s="59" t="s">
        <v>57</v>
      </c>
      <c r="M13" s="61" t="s">
        <v>57</v>
      </c>
      <c r="N13" s="58" t="s">
        <v>57</v>
      </c>
      <c r="O13" s="59" t="s">
        <v>57</v>
      </c>
      <c r="P13" s="59" t="s">
        <v>57</v>
      </c>
      <c r="Q13" s="59" t="s">
        <v>57</v>
      </c>
      <c r="R13" s="59" t="s">
        <v>57</v>
      </c>
      <c r="S13" s="59" t="s">
        <v>57</v>
      </c>
      <c r="T13" s="61" t="s">
        <v>57</v>
      </c>
      <c r="U13" s="58" t="s">
        <v>57</v>
      </c>
      <c r="V13" s="59" t="s">
        <v>57</v>
      </c>
      <c r="W13" s="59" t="s">
        <v>57</v>
      </c>
      <c r="X13" s="59" t="s">
        <v>57</v>
      </c>
      <c r="Y13" s="59" t="s">
        <v>57</v>
      </c>
      <c r="Z13" s="59" t="s">
        <v>57</v>
      </c>
      <c r="AA13" s="61" t="s">
        <v>57</v>
      </c>
      <c r="AB13" s="108" t="s">
        <v>57</v>
      </c>
      <c r="AC13" s="59" t="s">
        <v>57</v>
      </c>
      <c r="AD13" s="59" t="s">
        <v>57</v>
      </c>
      <c r="AE13" s="77" t="s">
        <v>57</v>
      </c>
      <c r="AF13" s="77" t="s">
        <v>57</v>
      </c>
      <c r="AG13" s="59" t="s">
        <v>57</v>
      </c>
      <c r="AH13" s="80" t="s">
        <v>57</v>
      </c>
      <c r="AI13" s="108" t="s">
        <v>57</v>
      </c>
      <c r="AJ13" s="59" t="s">
        <v>57</v>
      </c>
      <c r="AK13" s="59" t="s">
        <v>57</v>
      </c>
      <c r="AL13" s="59" t="s">
        <v>57</v>
      </c>
      <c r="AM13" s="59" t="s">
        <v>57</v>
      </c>
      <c r="AN13" s="59" t="s">
        <v>57</v>
      </c>
      <c r="AO13" s="80" t="s">
        <v>57</v>
      </c>
      <c r="AP13" s="108" t="s">
        <v>57</v>
      </c>
      <c r="AQ13" s="59" t="s">
        <v>90</v>
      </c>
      <c r="AR13" s="59" t="s">
        <v>57</v>
      </c>
      <c r="AS13" s="59" t="s">
        <v>57</v>
      </c>
      <c r="AT13" s="59" t="s">
        <v>57</v>
      </c>
      <c r="AU13" s="59" t="s">
        <v>57</v>
      </c>
      <c r="AV13" s="80" t="s">
        <v>57</v>
      </c>
      <c r="AW13" s="109" t="s">
        <v>57</v>
      </c>
      <c r="AX13" s="110" t="s">
        <v>57</v>
      </c>
      <c r="AY13" s="59" t="s">
        <v>57</v>
      </c>
      <c r="AZ13" s="59" t="s">
        <v>57</v>
      </c>
      <c r="BA13" s="59" t="s">
        <v>57</v>
      </c>
      <c r="BB13" s="59" t="s">
        <v>57</v>
      </c>
      <c r="BC13" s="80" t="s">
        <v>57</v>
      </c>
    </row>
    <row r="14" spans="1:55" ht="18" customHeight="1" x14ac:dyDescent="0.3">
      <c r="A14" s="55">
        <v>9</v>
      </c>
      <c r="B14" s="45" t="s">
        <v>72</v>
      </c>
      <c r="C14" s="46" t="s">
        <v>73</v>
      </c>
      <c r="D14" s="56"/>
      <c r="E14" s="56"/>
      <c r="F14" s="57"/>
      <c r="G14" s="58" t="s">
        <v>57</v>
      </c>
      <c r="H14" s="59" t="s">
        <v>57</v>
      </c>
      <c r="I14" s="59" t="s">
        <v>57</v>
      </c>
      <c r="J14" s="59" t="s">
        <v>57</v>
      </c>
      <c r="K14" s="59" t="s">
        <v>57</v>
      </c>
      <c r="L14" s="59" t="s">
        <v>57</v>
      </c>
      <c r="M14" s="61" t="s">
        <v>57</v>
      </c>
      <c r="N14" s="58" t="s">
        <v>57</v>
      </c>
      <c r="O14" s="59" t="s">
        <v>57</v>
      </c>
      <c r="P14" s="59" t="s">
        <v>57</v>
      </c>
      <c r="Q14" s="59" t="s">
        <v>57</v>
      </c>
      <c r="R14" s="59" t="s">
        <v>57</v>
      </c>
      <c r="S14" s="59" t="s">
        <v>57</v>
      </c>
      <c r="T14" s="61" t="s">
        <v>57</v>
      </c>
      <c r="U14" s="58" t="s">
        <v>57</v>
      </c>
      <c r="V14" s="59" t="s">
        <v>57</v>
      </c>
      <c r="W14" s="59" t="s">
        <v>57</v>
      </c>
      <c r="X14" s="59" t="s">
        <v>57</v>
      </c>
      <c r="Y14" s="59" t="s">
        <v>57</v>
      </c>
      <c r="Z14" s="59" t="s">
        <v>57</v>
      </c>
      <c r="AA14" s="61" t="s">
        <v>57</v>
      </c>
      <c r="AB14" s="108" t="s">
        <v>57</v>
      </c>
      <c r="AC14" s="59" t="s">
        <v>57</v>
      </c>
      <c r="AD14" s="59" t="s">
        <v>57</v>
      </c>
      <c r="AE14" s="77" t="s">
        <v>57</v>
      </c>
      <c r="AF14" s="77" t="s">
        <v>57</v>
      </c>
      <c r="AG14" s="59" t="s">
        <v>57</v>
      </c>
      <c r="AH14" s="80" t="s">
        <v>57</v>
      </c>
      <c r="AI14" s="108" t="s">
        <v>57</v>
      </c>
      <c r="AJ14" s="59" t="s">
        <v>57</v>
      </c>
      <c r="AK14" s="59" t="s">
        <v>57</v>
      </c>
      <c r="AL14" s="59" t="s">
        <v>57</v>
      </c>
      <c r="AM14" s="59" t="s">
        <v>57</v>
      </c>
      <c r="AN14" s="59" t="s">
        <v>57</v>
      </c>
      <c r="AO14" s="80" t="s">
        <v>57</v>
      </c>
      <c r="AP14" s="108" t="s">
        <v>57</v>
      </c>
      <c r="AQ14" s="59" t="s">
        <v>57</v>
      </c>
      <c r="AR14" s="59" t="s">
        <v>57</v>
      </c>
      <c r="AS14" s="59" t="s">
        <v>57</v>
      </c>
      <c r="AT14" s="59" t="s">
        <v>57</v>
      </c>
      <c r="AU14" s="59" t="s">
        <v>57</v>
      </c>
      <c r="AV14" s="80" t="s">
        <v>57</v>
      </c>
      <c r="AW14" s="109" t="s">
        <v>57</v>
      </c>
      <c r="AX14" s="110" t="s">
        <v>57</v>
      </c>
      <c r="AY14" s="59" t="s">
        <v>57</v>
      </c>
      <c r="AZ14" s="59" t="s">
        <v>57</v>
      </c>
      <c r="BA14" s="59" t="s">
        <v>57</v>
      </c>
      <c r="BB14" s="59" t="s">
        <v>57</v>
      </c>
      <c r="BC14" s="80" t="s">
        <v>57</v>
      </c>
    </row>
    <row r="15" spans="1:55" ht="18" customHeight="1" x14ac:dyDescent="0.3">
      <c r="A15" s="55">
        <v>10</v>
      </c>
      <c r="B15" s="45" t="s">
        <v>74</v>
      </c>
      <c r="C15" s="46" t="s">
        <v>75</v>
      </c>
      <c r="D15" s="56"/>
      <c r="E15" s="56"/>
      <c r="F15" s="57"/>
      <c r="G15" s="58" t="s">
        <v>57</v>
      </c>
      <c r="H15" s="59" t="s">
        <v>57</v>
      </c>
      <c r="I15" s="59" t="s">
        <v>57</v>
      </c>
      <c r="J15" s="59" t="s">
        <v>57</v>
      </c>
      <c r="K15" s="59" t="s">
        <v>57</v>
      </c>
      <c r="L15" s="59" t="s">
        <v>57</v>
      </c>
      <c r="M15" s="61" t="s">
        <v>57</v>
      </c>
      <c r="N15" s="58" t="s">
        <v>57</v>
      </c>
      <c r="O15" s="59" t="s">
        <v>57</v>
      </c>
      <c r="P15" s="59" t="s">
        <v>57</v>
      </c>
      <c r="Q15" s="59" t="s">
        <v>57</v>
      </c>
      <c r="R15" s="59" t="s">
        <v>57</v>
      </c>
      <c r="S15" s="59" t="s">
        <v>57</v>
      </c>
      <c r="T15" s="61" t="s">
        <v>57</v>
      </c>
      <c r="U15" s="58" t="s">
        <v>57</v>
      </c>
      <c r="V15" s="59" t="s">
        <v>57</v>
      </c>
      <c r="W15" s="59" t="s">
        <v>57</v>
      </c>
      <c r="X15" s="59" t="s">
        <v>57</v>
      </c>
      <c r="Y15" s="59" t="s">
        <v>57</v>
      </c>
      <c r="Z15" s="59" t="s">
        <v>57</v>
      </c>
      <c r="AA15" s="61" t="s">
        <v>57</v>
      </c>
      <c r="AB15" s="108" t="s">
        <v>57</v>
      </c>
      <c r="AC15" s="59" t="s">
        <v>57</v>
      </c>
      <c r="AD15" s="59" t="s">
        <v>57</v>
      </c>
      <c r="AE15" s="77" t="s">
        <v>57</v>
      </c>
      <c r="AF15" s="77" t="s">
        <v>57</v>
      </c>
      <c r="AG15" s="59" t="s">
        <v>57</v>
      </c>
      <c r="AH15" s="80" t="s">
        <v>57</v>
      </c>
      <c r="AI15" s="108" t="s">
        <v>57</v>
      </c>
      <c r="AJ15" s="59" t="s">
        <v>57</v>
      </c>
      <c r="AK15" s="59" t="s">
        <v>57</v>
      </c>
      <c r="AL15" s="59" t="s">
        <v>57</v>
      </c>
      <c r="AM15" s="59" t="s">
        <v>57</v>
      </c>
      <c r="AN15" s="59" t="s">
        <v>57</v>
      </c>
      <c r="AO15" s="80" t="s">
        <v>57</v>
      </c>
      <c r="AP15" s="108" t="s">
        <v>57</v>
      </c>
      <c r="AQ15" s="59" t="s">
        <v>57</v>
      </c>
      <c r="AR15" s="59" t="s">
        <v>57</v>
      </c>
      <c r="AS15" s="59" t="s">
        <v>57</v>
      </c>
      <c r="AT15" s="59" t="s">
        <v>57</v>
      </c>
      <c r="AU15" s="59" t="s">
        <v>57</v>
      </c>
      <c r="AV15" s="80" t="s">
        <v>57</v>
      </c>
      <c r="AW15" s="109" t="s">
        <v>57</v>
      </c>
      <c r="AX15" s="110" t="s">
        <v>57</v>
      </c>
      <c r="AY15" s="59" t="s">
        <v>57</v>
      </c>
      <c r="AZ15" s="59" t="s">
        <v>57</v>
      </c>
      <c r="BA15" s="59" t="s">
        <v>57</v>
      </c>
      <c r="BB15" s="59" t="s">
        <v>57</v>
      </c>
      <c r="BC15" s="80" t="s">
        <v>57</v>
      </c>
    </row>
    <row r="16" spans="1:55" ht="18" customHeight="1" x14ac:dyDescent="0.3">
      <c r="A16" s="55">
        <v>11</v>
      </c>
      <c r="B16" s="45" t="s">
        <v>76</v>
      </c>
      <c r="C16" s="46" t="s">
        <v>77</v>
      </c>
      <c r="D16" s="56"/>
      <c r="E16" s="56"/>
      <c r="F16" s="57"/>
      <c r="G16" s="58" t="s">
        <v>57</v>
      </c>
      <c r="H16" s="59" t="s">
        <v>57</v>
      </c>
      <c r="I16" s="59" t="s">
        <v>57</v>
      </c>
      <c r="J16" s="59" t="s">
        <v>57</v>
      </c>
      <c r="K16" s="59" t="s">
        <v>57</v>
      </c>
      <c r="L16" s="59" t="s">
        <v>57</v>
      </c>
      <c r="M16" s="61" t="s">
        <v>57</v>
      </c>
      <c r="N16" s="58" t="s">
        <v>57</v>
      </c>
      <c r="O16" s="59" t="s">
        <v>57</v>
      </c>
      <c r="P16" s="59" t="s">
        <v>57</v>
      </c>
      <c r="Q16" s="59" t="s">
        <v>57</v>
      </c>
      <c r="R16" s="59" t="s">
        <v>57</v>
      </c>
      <c r="S16" s="59" t="s">
        <v>57</v>
      </c>
      <c r="T16" s="61" t="s">
        <v>57</v>
      </c>
      <c r="U16" s="58" t="s">
        <v>57</v>
      </c>
      <c r="V16" s="59" t="s">
        <v>57</v>
      </c>
      <c r="W16" s="59" t="s">
        <v>57</v>
      </c>
      <c r="X16" s="59" t="s">
        <v>57</v>
      </c>
      <c r="Y16" s="59" t="s">
        <v>57</v>
      </c>
      <c r="Z16" s="59" t="s">
        <v>57</v>
      </c>
      <c r="AA16" s="61" t="s">
        <v>57</v>
      </c>
      <c r="AB16" s="108" t="s">
        <v>57</v>
      </c>
      <c r="AC16" s="59" t="s">
        <v>57</v>
      </c>
      <c r="AD16" s="59" t="s">
        <v>57</v>
      </c>
      <c r="AE16" s="77" t="s">
        <v>57</v>
      </c>
      <c r="AF16" s="77" t="s">
        <v>57</v>
      </c>
      <c r="AG16" s="59" t="s">
        <v>57</v>
      </c>
      <c r="AH16" s="80" t="s">
        <v>57</v>
      </c>
      <c r="AI16" s="108" t="s">
        <v>57</v>
      </c>
      <c r="AJ16" s="59" t="s">
        <v>57</v>
      </c>
      <c r="AK16" s="59" t="s">
        <v>57</v>
      </c>
      <c r="AL16" s="59" t="s">
        <v>57</v>
      </c>
      <c r="AM16" s="59" t="s">
        <v>57</v>
      </c>
      <c r="AN16" s="59" t="s">
        <v>57</v>
      </c>
      <c r="AO16" s="80" t="s">
        <v>57</v>
      </c>
      <c r="AP16" s="108" t="s">
        <v>57</v>
      </c>
      <c r="AQ16" s="59" t="s">
        <v>57</v>
      </c>
      <c r="AR16" s="59" t="s">
        <v>57</v>
      </c>
      <c r="AS16" s="59" t="s">
        <v>57</v>
      </c>
      <c r="AT16" s="59" t="s">
        <v>57</v>
      </c>
      <c r="AU16" s="59" t="s">
        <v>57</v>
      </c>
      <c r="AV16" s="80" t="s">
        <v>57</v>
      </c>
      <c r="AW16" s="109" t="s">
        <v>57</v>
      </c>
      <c r="AX16" s="110" t="s">
        <v>57</v>
      </c>
      <c r="AY16" s="59" t="s">
        <v>57</v>
      </c>
      <c r="AZ16" s="59" t="s">
        <v>57</v>
      </c>
      <c r="BA16" s="59" t="s">
        <v>57</v>
      </c>
      <c r="BB16" s="59" t="s">
        <v>57</v>
      </c>
      <c r="BC16" s="80" t="s">
        <v>57</v>
      </c>
    </row>
    <row r="17" spans="1:55" ht="18" customHeight="1" x14ac:dyDescent="0.3">
      <c r="A17" s="55">
        <v>12</v>
      </c>
      <c r="B17" s="45" t="s">
        <v>78</v>
      </c>
      <c r="C17" s="46" t="s">
        <v>79</v>
      </c>
      <c r="D17" s="56"/>
      <c r="E17" s="56"/>
      <c r="F17" s="57"/>
      <c r="G17" s="58" t="s">
        <v>57</v>
      </c>
      <c r="H17" s="59" t="s">
        <v>57</v>
      </c>
      <c r="I17" s="59" t="s">
        <v>57</v>
      </c>
      <c r="J17" s="59" t="s">
        <v>57</v>
      </c>
      <c r="K17" s="59" t="s">
        <v>57</v>
      </c>
      <c r="L17" s="59" t="s">
        <v>57</v>
      </c>
      <c r="M17" s="61" t="s">
        <v>57</v>
      </c>
      <c r="N17" s="58" t="s">
        <v>57</v>
      </c>
      <c r="O17" s="59" t="s">
        <v>57</v>
      </c>
      <c r="P17" s="59" t="s">
        <v>57</v>
      </c>
      <c r="Q17" s="59" t="s">
        <v>57</v>
      </c>
      <c r="R17" s="59" t="s">
        <v>57</v>
      </c>
      <c r="S17" s="59" t="s">
        <v>57</v>
      </c>
      <c r="T17" s="61" t="s">
        <v>57</v>
      </c>
      <c r="U17" s="58" t="s">
        <v>57</v>
      </c>
      <c r="V17" s="59" t="s">
        <v>57</v>
      </c>
      <c r="W17" s="59" t="s">
        <v>57</v>
      </c>
      <c r="X17" s="59" t="s">
        <v>57</v>
      </c>
      <c r="Y17" s="59" t="s">
        <v>57</v>
      </c>
      <c r="Z17" s="59" t="s">
        <v>57</v>
      </c>
      <c r="AA17" s="61" t="s">
        <v>57</v>
      </c>
      <c r="AB17" s="108" t="s">
        <v>57</v>
      </c>
      <c r="AC17" s="59" t="s">
        <v>57</v>
      </c>
      <c r="AD17" s="59" t="s">
        <v>57</v>
      </c>
      <c r="AE17" s="77" t="s">
        <v>57</v>
      </c>
      <c r="AF17" s="77" t="s">
        <v>57</v>
      </c>
      <c r="AG17" s="59" t="s">
        <v>57</v>
      </c>
      <c r="AH17" s="80" t="s">
        <v>57</v>
      </c>
      <c r="AI17" s="108" t="s">
        <v>57</v>
      </c>
      <c r="AJ17" s="59" t="s">
        <v>57</v>
      </c>
      <c r="AK17" s="59" t="s">
        <v>57</v>
      </c>
      <c r="AL17" s="59" t="s">
        <v>57</v>
      </c>
      <c r="AM17" s="59" t="s">
        <v>57</v>
      </c>
      <c r="AN17" s="59" t="s">
        <v>57</v>
      </c>
      <c r="AO17" s="80" t="s">
        <v>57</v>
      </c>
      <c r="AP17" s="108" t="s">
        <v>57</v>
      </c>
      <c r="AQ17" s="59" t="s">
        <v>57</v>
      </c>
      <c r="AR17" s="59" t="s">
        <v>57</v>
      </c>
      <c r="AS17" s="59" t="s">
        <v>57</v>
      </c>
      <c r="AT17" s="59" t="s">
        <v>57</v>
      </c>
      <c r="AU17" s="59" t="s">
        <v>57</v>
      </c>
      <c r="AV17" s="80" t="s">
        <v>57</v>
      </c>
      <c r="AW17" s="109" t="s">
        <v>57</v>
      </c>
      <c r="AX17" s="110" t="s">
        <v>57</v>
      </c>
      <c r="AY17" s="59" t="s">
        <v>57</v>
      </c>
      <c r="AZ17" s="59" t="s">
        <v>57</v>
      </c>
      <c r="BA17" s="59" t="s">
        <v>57</v>
      </c>
      <c r="BB17" s="59" t="s">
        <v>57</v>
      </c>
      <c r="BC17" s="80" t="s">
        <v>57</v>
      </c>
    </row>
    <row r="18" spans="1:55" ht="18" customHeight="1" x14ac:dyDescent="0.3">
      <c r="A18" s="55">
        <v>13</v>
      </c>
      <c r="B18" s="45" t="s">
        <v>80</v>
      </c>
      <c r="C18" s="46" t="s">
        <v>81</v>
      </c>
      <c r="D18" s="56"/>
      <c r="E18" s="56"/>
      <c r="F18" s="57"/>
      <c r="G18" s="58" t="s">
        <v>57</v>
      </c>
      <c r="H18" s="59" t="s">
        <v>57</v>
      </c>
      <c r="I18" s="59" t="s">
        <v>57</v>
      </c>
      <c r="J18" s="59" t="s">
        <v>57</v>
      </c>
      <c r="K18" s="59" t="s">
        <v>57</v>
      </c>
      <c r="L18" s="59" t="s">
        <v>57</v>
      </c>
      <c r="M18" s="61" t="s">
        <v>57</v>
      </c>
      <c r="N18" s="58" t="s">
        <v>57</v>
      </c>
      <c r="O18" s="59" t="s">
        <v>57</v>
      </c>
      <c r="P18" s="59" t="s">
        <v>57</v>
      </c>
      <c r="Q18" s="59" t="s">
        <v>57</v>
      </c>
      <c r="R18" s="59" t="s">
        <v>57</v>
      </c>
      <c r="S18" s="59" t="s">
        <v>57</v>
      </c>
      <c r="T18" s="61" t="s">
        <v>57</v>
      </c>
      <c r="U18" s="58" t="s">
        <v>57</v>
      </c>
      <c r="V18" s="59" t="s">
        <v>57</v>
      </c>
      <c r="W18" s="59" t="s">
        <v>57</v>
      </c>
      <c r="X18" s="59" t="s">
        <v>57</v>
      </c>
      <c r="Y18" s="59" t="s">
        <v>57</v>
      </c>
      <c r="Z18" s="59" t="s">
        <v>57</v>
      </c>
      <c r="AA18" s="61" t="s">
        <v>57</v>
      </c>
      <c r="AB18" s="108" t="s">
        <v>57</v>
      </c>
      <c r="AC18" s="59" t="s">
        <v>57</v>
      </c>
      <c r="AD18" s="59" t="s">
        <v>57</v>
      </c>
      <c r="AE18" s="77" t="s">
        <v>57</v>
      </c>
      <c r="AF18" s="77" t="s">
        <v>57</v>
      </c>
      <c r="AG18" s="59" t="s">
        <v>57</v>
      </c>
      <c r="AH18" s="80" t="s">
        <v>57</v>
      </c>
      <c r="AI18" s="108" t="s">
        <v>57</v>
      </c>
      <c r="AJ18" s="59" t="s">
        <v>57</v>
      </c>
      <c r="AK18" s="59" t="s">
        <v>57</v>
      </c>
      <c r="AL18" s="59" t="s">
        <v>57</v>
      </c>
      <c r="AM18" s="59" t="s">
        <v>57</v>
      </c>
      <c r="AN18" s="59" t="s">
        <v>57</v>
      </c>
      <c r="AO18" s="80" t="s">
        <v>57</v>
      </c>
      <c r="AP18" s="108" t="s">
        <v>57</v>
      </c>
      <c r="AQ18" s="59" t="s">
        <v>57</v>
      </c>
      <c r="AR18" s="59" t="s">
        <v>57</v>
      </c>
      <c r="AS18" s="59" t="s">
        <v>57</v>
      </c>
      <c r="AT18" s="59" t="s">
        <v>57</v>
      </c>
      <c r="AU18" s="59" t="s">
        <v>57</v>
      </c>
      <c r="AV18" s="80" t="s">
        <v>57</v>
      </c>
      <c r="AW18" s="109" t="s">
        <v>57</v>
      </c>
      <c r="AX18" s="110" t="s">
        <v>57</v>
      </c>
      <c r="AY18" s="59" t="s">
        <v>57</v>
      </c>
      <c r="AZ18" s="59" t="s">
        <v>57</v>
      </c>
      <c r="BA18" s="59" t="s">
        <v>57</v>
      </c>
      <c r="BB18" s="59" t="s">
        <v>57</v>
      </c>
      <c r="BC18" s="80" t="s">
        <v>57</v>
      </c>
    </row>
    <row r="19" spans="1:55" ht="18" customHeight="1" x14ac:dyDescent="0.3">
      <c r="A19" s="55">
        <v>14</v>
      </c>
      <c r="B19" s="45" t="s">
        <v>82</v>
      </c>
      <c r="C19" s="46" t="s">
        <v>83</v>
      </c>
      <c r="D19" s="56"/>
      <c r="E19" s="56"/>
      <c r="F19" s="57"/>
      <c r="G19" s="58" t="s">
        <v>57</v>
      </c>
      <c r="H19" s="59" t="s">
        <v>57</v>
      </c>
      <c r="I19" s="59" t="s">
        <v>57</v>
      </c>
      <c r="J19" s="59" t="s">
        <v>57</v>
      </c>
      <c r="K19" s="59" t="s">
        <v>57</v>
      </c>
      <c r="L19" s="59" t="s">
        <v>57</v>
      </c>
      <c r="M19" s="61" t="s">
        <v>57</v>
      </c>
      <c r="N19" s="58" t="s">
        <v>57</v>
      </c>
      <c r="O19" s="59" t="s">
        <v>57</v>
      </c>
      <c r="P19" s="59" t="s">
        <v>57</v>
      </c>
      <c r="Q19" s="59" t="s">
        <v>57</v>
      </c>
      <c r="R19" s="59" t="s">
        <v>57</v>
      </c>
      <c r="S19" s="59" t="s">
        <v>57</v>
      </c>
      <c r="T19" s="61" t="s">
        <v>57</v>
      </c>
      <c r="U19" s="58" t="s">
        <v>57</v>
      </c>
      <c r="V19" s="59" t="s">
        <v>57</v>
      </c>
      <c r="W19" s="59" t="s">
        <v>57</v>
      </c>
      <c r="X19" s="59" t="s">
        <v>57</v>
      </c>
      <c r="Y19" s="59" t="s">
        <v>57</v>
      </c>
      <c r="Z19" s="59" t="s">
        <v>57</v>
      </c>
      <c r="AA19" s="61" t="s">
        <v>57</v>
      </c>
      <c r="AB19" s="108" t="s">
        <v>57</v>
      </c>
      <c r="AC19" s="59" t="s">
        <v>57</v>
      </c>
      <c r="AD19" s="59" t="s">
        <v>57</v>
      </c>
      <c r="AE19" s="77" t="s">
        <v>57</v>
      </c>
      <c r="AF19" s="77" t="s">
        <v>57</v>
      </c>
      <c r="AG19" s="59" t="s">
        <v>57</v>
      </c>
      <c r="AH19" s="80" t="s">
        <v>57</v>
      </c>
      <c r="AI19" s="108" t="s">
        <v>57</v>
      </c>
      <c r="AJ19" s="59" t="s">
        <v>57</v>
      </c>
      <c r="AK19" s="59" t="s">
        <v>57</v>
      </c>
      <c r="AL19" s="59" t="s">
        <v>57</v>
      </c>
      <c r="AM19" s="59" t="s">
        <v>57</v>
      </c>
      <c r="AN19" s="59" t="s">
        <v>57</v>
      </c>
      <c r="AO19" s="80" t="s">
        <v>57</v>
      </c>
      <c r="AP19" s="108" t="s">
        <v>57</v>
      </c>
      <c r="AQ19" s="59" t="s">
        <v>57</v>
      </c>
      <c r="AR19" s="59" t="s">
        <v>57</v>
      </c>
      <c r="AS19" s="59" t="s">
        <v>57</v>
      </c>
      <c r="AT19" s="59" t="s">
        <v>57</v>
      </c>
      <c r="AU19" s="59" t="s">
        <v>57</v>
      </c>
      <c r="AV19" s="80" t="s">
        <v>57</v>
      </c>
      <c r="AW19" s="109" t="s">
        <v>57</v>
      </c>
      <c r="AX19" s="110" t="s">
        <v>57</v>
      </c>
      <c r="AY19" s="59" t="s">
        <v>57</v>
      </c>
      <c r="AZ19" s="59" t="s">
        <v>57</v>
      </c>
      <c r="BA19" s="59" t="s">
        <v>57</v>
      </c>
      <c r="BB19" s="59" t="s">
        <v>57</v>
      </c>
      <c r="BC19" s="80" t="s">
        <v>57</v>
      </c>
    </row>
    <row r="20" spans="1:55" ht="18" customHeight="1" x14ac:dyDescent="0.3">
      <c r="A20" s="55">
        <v>15</v>
      </c>
      <c r="B20" s="45" t="s">
        <v>84</v>
      </c>
      <c r="C20" s="46" t="s">
        <v>85</v>
      </c>
      <c r="D20" s="56"/>
      <c r="E20" s="56"/>
      <c r="F20" s="57"/>
      <c r="G20" s="58" t="s">
        <v>57</v>
      </c>
      <c r="H20" s="59" t="s">
        <v>57</v>
      </c>
      <c r="I20" s="59" t="s">
        <v>57</v>
      </c>
      <c r="J20" s="59" t="s">
        <v>57</v>
      </c>
      <c r="K20" s="59" t="s">
        <v>57</v>
      </c>
      <c r="L20" s="59" t="s">
        <v>57</v>
      </c>
      <c r="M20" s="61" t="s">
        <v>57</v>
      </c>
      <c r="N20" s="58" t="s">
        <v>57</v>
      </c>
      <c r="O20" s="59" t="s">
        <v>57</v>
      </c>
      <c r="P20" s="59" t="s">
        <v>57</v>
      </c>
      <c r="Q20" s="59" t="s">
        <v>57</v>
      </c>
      <c r="R20" s="59" t="s">
        <v>57</v>
      </c>
      <c r="S20" s="59" t="s">
        <v>57</v>
      </c>
      <c r="T20" s="61" t="s">
        <v>57</v>
      </c>
      <c r="U20" s="58" t="s">
        <v>57</v>
      </c>
      <c r="V20" s="59" t="s">
        <v>57</v>
      </c>
      <c r="W20" s="59" t="s">
        <v>57</v>
      </c>
      <c r="X20" s="59" t="s">
        <v>57</v>
      </c>
      <c r="Y20" s="59" t="s">
        <v>57</v>
      </c>
      <c r="Z20" s="59" t="s">
        <v>57</v>
      </c>
      <c r="AA20" s="61" t="s">
        <v>57</v>
      </c>
      <c r="AB20" s="108" t="s">
        <v>57</v>
      </c>
      <c r="AC20" s="59" t="s">
        <v>90</v>
      </c>
      <c r="AD20" s="59" t="s">
        <v>57</v>
      </c>
      <c r="AE20" s="77" t="s">
        <v>57</v>
      </c>
      <c r="AF20" s="77" t="s">
        <v>57</v>
      </c>
      <c r="AG20" s="59" t="s">
        <v>57</v>
      </c>
      <c r="AH20" s="80" t="s">
        <v>57</v>
      </c>
      <c r="AI20" s="108" t="s">
        <v>57</v>
      </c>
      <c r="AJ20" s="59" t="s">
        <v>57</v>
      </c>
      <c r="AK20" s="59" t="s">
        <v>57</v>
      </c>
      <c r="AL20" s="59" t="s">
        <v>57</v>
      </c>
      <c r="AM20" s="59" t="s">
        <v>57</v>
      </c>
      <c r="AN20" s="59" t="s">
        <v>57</v>
      </c>
      <c r="AO20" s="80" t="s">
        <v>57</v>
      </c>
      <c r="AP20" s="108" t="s">
        <v>57</v>
      </c>
      <c r="AQ20" s="59" t="s">
        <v>57</v>
      </c>
      <c r="AR20" s="59" t="s">
        <v>57</v>
      </c>
      <c r="AS20" s="59" t="s">
        <v>57</v>
      </c>
      <c r="AT20" s="59" t="s">
        <v>57</v>
      </c>
      <c r="AU20" s="59" t="s">
        <v>57</v>
      </c>
      <c r="AV20" s="80" t="s">
        <v>57</v>
      </c>
      <c r="AW20" s="109" t="s">
        <v>57</v>
      </c>
      <c r="AX20" s="110" t="s">
        <v>57</v>
      </c>
      <c r="AY20" s="59" t="s">
        <v>57</v>
      </c>
      <c r="AZ20" s="59" t="s">
        <v>57</v>
      </c>
      <c r="BA20" s="59" t="s">
        <v>57</v>
      </c>
      <c r="BB20" s="59" t="s">
        <v>57</v>
      </c>
      <c r="BC20" s="80" t="s">
        <v>57</v>
      </c>
    </row>
    <row r="21" spans="1:55" ht="18" customHeight="1" x14ac:dyDescent="0.3">
      <c r="A21" s="55">
        <v>16</v>
      </c>
      <c r="B21" s="45" t="s">
        <v>86</v>
      </c>
      <c r="C21" s="46" t="s">
        <v>87</v>
      </c>
      <c r="D21" s="56"/>
      <c r="E21" s="56"/>
      <c r="F21" s="57"/>
      <c r="G21" s="58" t="s">
        <v>57</v>
      </c>
      <c r="H21" s="59" t="s">
        <v>57</v>
      </c>
      <c r="I21" s="59" t="s">
        <v>57</v>
      </c>
      <c r="J21" s="59" t="s">
        <v>57</v>
      </c>
      <c r="K21" s="59" t="s">
        <v>57</v>
      </c>
      <c r="L21" s="59" t="s">
        <v>57</v>
      </c>
      <c r="M21" s="61" t="s">
        <v>57</v>
      </c>
      <c r="N21" s="58" t="s">
        <v>57</v>
      </c>
      <c r="O21" s="59" t="s">
        <v>57</v>
      </c>
      <c r="P21" s="59" t="s">
        <v>57</v>
      </c>
      <c r="Q21" s="59" t="s">
        <v>57</v>
      </c>
      <c r="R21" s="59" t="s">
        <v>57</v>
      </c>
      <c r="S21" s="59" t="s">
        <v>57</v>
      </c>
      <c r="T21" s="61" t="s">
        <v>57</v>
      </c>
      <c r="U21" s="58" t="s">
        <v>57</v>
      </c>
      <c r="V21" s="59" t="s">
        <v>57</v>
      </c>
      <c r="W21" s="59" t="s">
        <v>57</v>
      </c>
      <c r="X21" s="59" t="s">
        <v>57</v>
      </c>
      <c r="Y21" s="59" t="s">
        <v>57</v>
      </c>
      <c r="Z21" s="59" t="s">
        <v>57</v>
      </c>
      <c r="AA21" s="61" t="s">
        <v>57</v>
      </c>
      <c r="AB21" s="108" t="s">
        <v>57</v>
      </c>
      <c r="AC21" s="59" t="s">
        <v>57</v>
      </c>
      <c r="AD21" s="59" t="s">
        <v>57</v>
      </c>
      <c r="AE21" s="77" t="s">
        <v>57</v>
      </c>
      <c r="AF21" s="77" t="s">
        <v>57</v>
      </c>
      <c r="AG21" s="59" t="s">
        <v>57</v>
      </c>
      <c r="AH21" s="80" t="s">
        <v>57</v>
      </c>
      <c r="AI21" s="108" t="s">
        <v>57</v>
      </c>
      <c r="AJ21" s="59" t="s">
        <v>57</v>
      </c>
      <c r="AK21" s="59" t="s">
        <v>57</v>
      </c>
      <c r="AL21" s="59" t="s">
        <v>57</v>
      </c>
      <c r="AM21" s="59" t="s">
        <v>57</v>
      </c>
      <c r="AN21" s="59" t="s">
        <v>57</v>
      </c>
      <c r="AO21" s="80" t="s">
        <v>57</v>
      </c>
      <c r="AP21" s="108" t="s">
        <v>57</v>
      </c>
      <c r="AQ21" s="59" t="s">
        <v>57</v>
      </c>
      <c r="AR21" s="59" t="s">
        <v>57</v>
      </c>
      <c r="AS21" s="59" t="s">
        <v>57</v>
      </c>
      <c r="AT21" s="59" t="s">
        <v>57</v>
      </c>
      <c r="AU21" s="59" t="s">
        <v>57</v>
      </c>
      <c r="AV21" s="80" t="s">
        <v>57</v>
      </c>
      <c r="AW21" s="109" t="s">
        <v>57</v>
      </c>
      <c r="AX21" s="110" t="s">
        <v>57</v>
      </c>
      <c r="AY21" s="59" t="s">
        <v>57</v>
      </c>
      <c r="AZ21" s="59" t="s">
        <v>57</v>
      </c>
      <c r="BA21" s="59" t="s">
        <v>57</v>
      </c>
      <c r="BB21" s="59" t="s">
        <v>57</v>
      </c>
      <c r="BC21" s="80" t="s">
        <v>57</v>
      </c>
    </row>
    <row r="22" spans="1:55" ht="18" customHeight="1" x14ac:dyDescent="0.3">
      <c r="A22" s="55"/>
      <c r="B22" s="45"/>
      <c r="C22" s="46"/>
      <c r="D22" s="56"/>
      <c r="E22" s="56"/>
      <c r="F22" s="57"/>
      <c r="G22" s="58"/>
      <c r="H22" s="66"/>
      <c r="I22" s="66"/>
      <c r="J22" s="59"/>
      <c r="K22" s="60"/>
      <c r="L22" s="60"/>
      <c r="M22" s="61"/>
      <c r="N22" s="58"/>
      <c r="O22" s="66"/>
      <c r="P22" s="66"/>
      <c r="Q22" s="59"/>
      <c r="R22" s="60"/>
      <c r="S22" s="60"/>
      <c r="T22" s="61"/>
      <c r="U22" s="58"/>
      <c r="V22" s="66"/>
      <c r="W22" s="66"/>
      <c r="X22" s="59"/>
      <c r="Y22" s="60"/>
      <c r="Z22" s="60"/>
      <c r="AA22" s="61"/>
      <c r="AB22" s="108"/>
      <c r="AC22" s="110"/>
      <c r="AD22" s="59"/>
      <c r="AE22" s="77"/>
      <c r="AF22" s="77"/>
      <c r="AG22" s="111"/>
      <c r="AH22" s="80"/>
      <c r="AI22" s="108"/>
      <c r="AJ22" s="59"/>
      <c r="AK22" s="59"/>
      <c r="AL22" s="59"/>
      <c r="AM22" s="77"/>
      <c r="AN22" s="77"/>
      <c r="AO22" s="80"/>
      <c r="AP22" s="108"/>
      <c r="AQ22" s="110"/>
      <c r="AR22" s="110"/>
      <c r="AS22" s="59"/>
      <c r="AT22" s="77"/>
      <c r="AU22" s="77"/>
      <c r="AV22" s="80"/>
      <c r="AW22" s="109"/>
      <c r="AX22" s="110"/>
      <c r="AY22" s="110"/>
      <c r="AZ22" s="59"/>
      <c r="BA22" s="77"/>
      <c r="BB22" s="77"/>
      <c r="BC22" s="80"/>
    </row>
    <row r="23" spans="1:55" ht="18" customHeight="1" x14ac:dyDescent="0.3">
      <c r="A23" s="55"/>
      <c r="B23" s="67"/>
      <c r="C23" s="46"/>
      <c r="D23" s="56"/>
      <c r="E23" s="56"/>
      <c r="F23" s="57"/>
      <c r="G23" s="58"/>
      <c r="H23" s="66"/>
      <c r="I23" s="66"/>
      <c r="J23" s="59"/>
      <c r="K23" s="60"/>
      <c r="L23" s="60"/>
      <c r="M23" s="61"/>
      <c r="N23" s="58"/>
      <c r="O23" s="66"/>
      <c r="P23" s="66"/>
      <c r="Q23" s="59"/>
      <c r="R23" s="60"/>
      <c r="S23" s="60"/>
      <c r="T23" s="61"/>
      <c r="U23" s="58"/>
      <c r="V23" s="66"/>
      <c r="W23" s="66"/>
      <c r="X23" s="59"/>
      <c r="Y23" s="60"/>
      <c r="Z23" s="60"/>
      <c r="AA23" s="61"/>
      <c r="AB23" s="108"/>
      <c r="AC23" s="110"/>
      <c r="AD23" s="59"/>
      <c r="AE23" s="77"/>
      <c r="AF23" s="77"/>
      <c r="AG23" s="111"/>
      <c r="AH23" s="80"/>
      <c r="AI23" s="108"/>
      <c r="AJ23" s="59"/>
      <c r="AK23" s="59"/>
      <c r="AL23" s="59"/>
      <c r="AM23" s="77"/>
      <c r="AN23" s="77"/>
      <c r="AO23" s="80"/>
      <c r="AP23" s="108"/>
      <c r="AQ23" s="110"/>
      <c r="AR23" s="110"/>
      <c r="AS23" s="59"/>
      <c r="AT23" s="77"/>
      <c r="AU23" s="77"/>
      <c r="AV23" s="80"/>
      <c r="AW23" s="109"/>
      <c r="AX23" s="110"/>
      <c r="AY23" s="110"/>
      <c r="AZ23" s="59"/>
      <c r="BA23" s="77"/>
      <c r="BB23" s="77"/>
      <c r="BC23" s="80"/>
    </row>
    <row r="24" spans="1:55" ht="18" customHeight="1" x14ac:dyDescent="0.3">
      <c r="A24" s="55"/>
      <c r="B24" s="67"/>
      <c r="C24" s="46"/>
      <c r="D24" s="56"/>
      <c r="E24" s="56"/>
      <c r="F24" s="57"/>
      <c r="G24" s="58"/>
      <c r="H24" s="66"/>
      <c r="I24" s="66"/>
      <c r="J24" s="59"/>
      <c r="K24" s="60"/>
      <c r="L24" s="60"/>
      <c r="M24" s="61"/>
      <c r="N24" s="58"/>
      <c r="O24" s="66"/>
      <c r="P24" s="66"/>
      <c r="Q24" s="59"/>
      <c r="R24" s="60"/>
      <c r="S24" s="60"/>
      <c r="T24" s="61"/>
      <c r="U24" s="58"/>
      <c r="V24" s="66"/>
      <c r="W24" s="66"/>
      <c r="X24" s="59"/>
      <c r="Y24" s="60"/>
      <c r="Z24" s="60"/>
      <c r="AA24" s="61"/>
      <c r="AB24" s="108"/>
      <c r="AC24" s="110"/>
      <c r="AD24" s="59"/>
      <c r="AE24" s="77"/>
      <c r="AF24" s="77"/>
      <c r="AG24" s="111"/>
      <c r="AH24" s="80"/>
      <c r="AI24" s="108"/>
      <c r="AJ24" s="59"/>
      <c r="AK24" s="59"/>
      <c r="AL24" s="59"/>
      <c r="AM24" s="77"/>
      <c r="AN24" s="77"/>
      <c r="AO24" s="80"/>
      <c r="AP24" s="108"/>
      <c r="AQ24" s="110"/>
      <c r="AR24" s="110"/>
      <c r="AS24" s="59"/>
      <c r="AT24" s="77"/>
      <c r="AU24" s="77"/>
      <c r="AV24" s="80"/>
      <c r="AW24" s="109"/>
      <c r="AX24" s="110"/>
      <c r="AY24" s="110"/>
      <c r="AZ24" s="59"/>
      <c r="BA24" s="77"/>
      <c r="BB24" s="77"/>
      <c r="BC24" s="80"/>
    </row>
    <row r="25" spans="1:55" ht="18" customHeight="1" x14ac:dyDescent="0.3">
      <c r="A25" s="55"/>
      <c r="B25" s="67"/>
      <c r="C25" s="46"/>
      <c r="D25" s="56"/>
      <c r="E25" s="56"/>
      <c r="F25" s="57"/>
      <c r="G25" s="58"/>
      <c r="H25" s="66"/>
      <c r="I25" s="66"/>
      <c r="J25" s="59"/>
      <c r="K25" s="60"/>
      <c r="L25" s="60"/>
      <c r="M25" s="61"/>
      <c r="N25" s="58"/>
      <c r="O25" s="66"/>
      <c r="P25" s="66"/>
      <c r="Q25" s="59"/>
      <c r="R25" s="60"/>
      <c r="S25" s="60"/>
      <c r="T25" s="61"/>
      <c r="U25" s="58"/>
      <c r="V25" s="66"/>
      <c r="W25" s="66"/>
      <c r="X25" s="59"/>
      <c r="Y25" s="60"/>
      <c r="Z25" s="60"/>
      <c r="AA25" s="61"/>
      <c r="AB25" s="108"/>
      <c r="AC25" s="110"/>
      <c r="AD25" s="59"/>
      <c r="AE25" s="77"/>
      <c r="AF25" s="77"/>
      <c r="AG25" s="111"/>
      <c r="AH25" s="80"/>
      <c r="AI25" s="108"/>
      <c r="AJ25" s="59"/>
      <c r="AK25" s="59"/>
      <c r="AL25" s="59"/>
      <c r="AM25" s="77"/>
      <c r="AN25" s="77"/>
      <c r="AO25" s="80"/>
      <c r="AP25" s="108"/>
      <c r="AQ25" s="110"/>
      <c r="AR25" s="110"/>
      <c r="AS25" s="59"/>
      <c r="AT25" s="77"/>
      <c r="AU25" s="77"/>
      <c r="AV25" s="80"/>
      <c r="AW25" s="109"/>
      <c r="AX25" s="110"/>
      <c r="AY25" s="110"/>
      <c r="AZ25" s="59"/>
      <c r="BA25" s="77"/>
      <c r="BB25" s="77"/>
      <c r="BC25" s="80"/>
    </row>
    <row r="26" spans="1:55" ht="18" customHeight="1" x14ac:dyDescent="0.3">
      <c r="A26" s="55"/>
      <c r="B26" s="67"/>
      <c r="C26" s="46"/>
      <c r="D26" s="56"/>
      <c r="E26" s="56"/>
      <c r="F26" s="57"/>
      <c r="G26" s="58"/>
      <c r="H26" s="66"/>
      <c r="I26" s="66"/>
      <c r="J26" s="59"/>
      <c r="K26" s="60"/>
      <c r="L26" s="60"/>
      <c r="M26" s="61"/>
      <c r="N26" s="58"/>
      <c r="O26" s="66"/>
      <c r="P26" s="66"/>
      <c r="Q26" s="59"/>
      <c r="R26" s="60"/>
      <c r="S26" s="60"/>
      <c r="T26" s="61"/>
      <c r="U26" s="58"/>
      <c r="V26" s="66"/>
      <c r="W26" s="66"/>
      <c r="X26" s="59"/>
      <c r="Y26" s="60"/>
      <c r="Z26" s="60"/>
      <c r="AA26" s="61"/>
      <c r="AB26" s="108"/>
      <c r="AC26" s="110"/>
      <c r="AD26" s="59"/>
      <c r="AE26" s="77"/>
      <c r="AF26" s="77"/>
      <c r="AG26" s="111"/>
      <c r="AH26" s="80"/>
      <c r="AI26" s="108"/>
      <c r="AJ26" s="59"/>
      <c r="AK26" s="59"/>
      <c r="AL26" s="59"/>
      <c r="AM26" s="77"/>
      <c r="AN26" s="77"/>
      <c r="AO26" s="80"/>
      <c r="AP26" s="108"/>
      <c r="AQ26" s="110"/>
      <c r="AR26" s="110"/>
      <c r="AS26" s="59"/>
      <c r="AT26" s="77"/>
      <c r="AU26" s="77"/>
      <c r="AV26" s="80"/>
      <c r="AW26" s="109"/>
      <c r="AX26" s="110"/>
      <c r="AY26" s="110"/>
      <c r="AZ26" s="59"/>
      <c r="BA26" s="77"/>
      <c r="BB26" s="77"/>
      <c r="BC26" s="80"/>
    </row>
    <row r="27" spans="1:55" ht="18" customHeight="1" x14ac:dyDescent="0.3">
      <c r="A27" s="55"/>
      <c r="B27" s="67"/>
      <c r="C27" s="46"/>
      <c r="D27" s="56"/>
      <c r="E27" s="56"/>
      <c r="F27" s="57"/>
      <c r="G27" s="58"/>
      <c r="H27" s="66"/>
      <c r="I27" s="66"/>
      <c r="J27" s="59"/>
      <c r="K27" s="60"/>
      <c r="L27" s="60"/>
      <c r="M27" s="61"/>
      <c r="N27" s="58"/>
      <c r="O27" s="66"/>
      <c r="P27" s="66"/>
      <c r="Q27" s="59"/>
      <c r="R27" s="60"/>
      <c r="S27" s="60"/>
      <c r="T27" s="61"/>
      <c r="U27" s="58"/>
      <c r="V27" s="66"/>
      <c r="W27" s="66"/>
      <c r="X27" s="59"/>
      <c r="Y27" s="60"/>
      <c r="Z27" s="60"/>
      <c r="AA27" s="61"/>
      <c r="AB27" s="108"/>
      <c r="AC27" s="110"/>
      <c r="AD27" s="59"/>
      <c r="AE27" s="77"/>
      <c r="AF27" s="77"/>
      <c r="AG27" s="111"/>
      <c r="AH27" s="80"/>
      <c r="AI27" s="108"/>
      <c r="AJ27" s="59"/>
      <c r="AK27" s="59"/>
      <c r="AL27" s="59"/>
      <c r="AM27" s="77"/>
      <c r="AN27" s="77"/>
      <c r="AO27" s="80"/>
      <c r="AP27" s="108"/>
      <c r="AQ27" s="110"/>
      <c r="AR27" s="110"/>
      <c r="AS27" s="59"/>
      <c r="AT27" s="77"/>
      <c r="AU27" s="77"/>
      <c r="AV27" s="80"/>
      <c r="AW27" s="109"/>
      <c r="AX27" s="110"/>
      <c r="AY27" s="110"/>
      <c r="AZ27" s="59"/>
      <c r="BA27" s="77"/>
      <c r="BB27" s="77"/>
      <c r="BC27" s="80"/>
    </row>
    <row r="28" spans="1:55" ht="18" customHeight="1" x14ac:dyDescent="0.3">
      <c r="A28" s="55"/>
      <c r="B28" s="67"/>
      <c r="C28" s="46"/>
      <c r="D28" s="56"/>
      <c r="E28" s="56"/>
      <c r="F28" s="57"/>
      <c r="G28" s="58"/>
      <c r="H28" s="66"/>
      <c r="I28" s="66"/>
      <c r="J28" s="59"/>
      <c r="K28" s="60"/>
      <c r="L28" s="60"/>
      <c r="M28" s="61"/>
      <c r="N28" s="58"/>
      <c r="O28" s="66"/>
      <c r="P28" s="66"/>
      <c r="Q28" s="59"/>
      <c r="R28" s="60"/>
      <c r="S28" s="60"/>
      <c r="T28" s="61"/>
      <c r="U28" s="58"/>
      <c r="V28" s="66"/>
      <c r="W28" s="66"/>
      <c r="X28" s="59"/>
      <c r="Y28" s="60"/>
      <c r="Z28" s="60"/>
      <c r="AA28" s="61"/>
      <c r="AB28" s="108"/>
      <c r="AC28" s="110"/>
      <c r="AD28" s="59"/>
      <c r="AE28" s="77"/>
      <c r="AF28" s="77"/>
      <c r="AG28" s="111"/>
      <c r="AH28" s="80"/>
      <c r="AI28" s="108"/>
      <c r="AJ28" s="59"/>
      <c r="AK28" s="59"/>
      <c r="AL28" s="59"/>
      <c r="AM28" s="77"/>
      <c r="AN28" s="77"/>
      <c r="AO28" s="80"/>
      <c r="AP28" s="108"/>
      <c r="AQ28" s="110"/>
      <c r="AR28" s="110"/>
      <c r="AS28" s="59"/>
      <c r="AT28" s="77"/>
      <c r="AU28" s="77"/>
      <c r="AV28" s="80"/>
      <c r="AW28" s="109"/>
      <c r="AX28" s="110"/>
      <c r="AY28" s="110"/>
      <c r="AZ28" s="59"/>
      <c r="BA28" s="77"/>
      <c r="BB28" s="77"/>
      <c r="BC28" s="80"/>
    </row>
    <row r="29" spans="1:55" ht="18" customHeight="1" x14ac:dyDescent="0.3">
      <c r="A29" s="55"/>
      <c r="B29" s="67"/>
      <c r="C29" s="46"/>
      <c r="D29" s="56"/>
      <c r="E29" s="56"/>
      <c r="F29" s="57"/>
      <c r="G29" s="58"/>
      <c r="H29" s="66"/>
      <c r="I29" s="66"/>
      <c r="J29" s="59"/>
      <c r="K29" s="60"/>
      <c r="L29" s="60"/>
      <c r="M29" s="61"/>
      <c r="N29" s="58"/>
      <c r="O29" s="66"/>
      <c r="P29" s="66"/>
      <c r="Q29" s="59"/>
      <c r="R29" s="60"/>
      <c r="S29" s="60"/>
      <c r="T29" s="61"/>
      <c r="U29" s="58"/>
      <c r="V29" s="66"/>
      <c r="W29" s="66"/>
      <c r="X29" s="59"/>
      <c r="Y29" s="60"/>
      <c r="Z29" s="60"/>
      <c r="AA29" s="61"/>
      <c r="AB29" s="108"/>
      <c r="AC29" s="110"/>
      <c r="AD29" s="59"/>
      <c r="AE29" s="77"/>
      <c r="AF29" s="77"/>
      <c r="AG29" s="111"/>
      <c r="AH29" s="80"/>
      <c r="AI29" s="108"/>
      <c r="AJ29" s="59"/>
      <c r="AK29" s="59"/>
      <c r="AL29" s="59"/>
      <c r="AM29" s="77"/>
      <c r="AN29" s="77"/>
      <c r="AO29" s="80"/>
      <c r="AP29" s="108"/>
      <c r="AQ29" s="110"/>
      <c r="AR29" s="110"/>
      <c r="AS29" s="59"/>
      <c r="AT29" s="77"/>
      <c r="AU29" s="77"/>
      <c r="AV29" s="80"/>
      <c r="AW29" s="109"/>
      <c r="AX29" s="110"/>
      <c r="AY29" s="110"/>
      <c r="AZ29" s="59"/>
      <c r="BA29" s="77"/>
      <c r="BB29" s="77"/>
      <c r="BC29" s="80"/>
    </row>
    <row r="30" spans="1:55" ht="18" customHeight="1" x14ac:dyDescent="0.3">
      <c r="A30" s="55"/>
      <c r="B30" s="67"/>
      <c r="C30" s="46"/>
      <c r="D30" s="56"/>
      <c r="E30" s="56"/>
      <c r="F30" s="57"/>
      <c r="G30" s="58"/>
      <c r="H30" s="66"/>
      <c r="I30" s="66"/>
      <c r="J30" s="59"/>
      <c r="K30" s="60"/>
      <c r="L30" s="60"/>
      <c r="M30" s="61"/>
      <c r="N30" s="58"/>
      <c r="O30" s="66"/>
      <c r="P30" s="66"/>
      <c r="Q30" s="59"/>
      <c r="R30" s="60"/>
      <c r="S30" s="60"/>
      <c r="T30" s="61"/>
      <c r="U30" s="58"/>
      <c r="V30" s="66"/>
      <c r="W30" s="66"/>
      <c r="X30" s="59"/>
      <c r="Y30" s="60"/>
      <c r="Z30" s="60"/>
      <c r="AA30" s="61"/>
      <c r="AB30" s="108"/>
      <c r="AC30" s="110"/>
      <c r="AD30" s="59"/>
      <c r="AE30" s="77"/>
      <c r="AF30" s="77"/>
      <c r="AG30" s="111"/>
      <c r="AH30" s="80"/>
      <c r="AI30" s="108"/>
      <c r="AJ30" s="59"/>
      <c r="AK30" s="59"/>
      <c r="AL30" s="59"/>
      <c r="AM30" s="77"/>
      <c r="AN30" s="77"/>
      <c r="AO30" s="80"/>
      <c r="AP30" s="108"/>
      <c r="AQ30" s="110"/>
      <c r="AR30" s="110"/>
      <c r="AS30" s="59"/>
      <c r="AT30" s="77"/>
      <c r="AU30" s="77"/>
      <c r="AV30" s="80"/>
      <c r="AW30" s="109"/>
      <c r="AX30" s="110"/>
      <c r="AY30" s="110"/>
      <c r="AZ30" s="59"/>
      <c r="BA30" s="77"/>
      <c r="BB30" s="77"/>
      <c r="BC30" s="80"/>
    </row>
    <row r="31" spans="1:55" ht="18" customHeight="1" x14ac:dyDescent="0.3">
      <c r="A31" s="55"/>
      <c r="B31" s="67"/>
      <c r="C31" s="46"/>
      <c r="D31" s="56"/>
      <c r="E31" s="56"/>
      <c r="F31" s="57"/>
      <c r="G31" s="58"/>
      <c r="H31" s="66"/>
      <c r="I31" s="66"/>
      <c r="J31" s="59"/>
      <c r="K31" s="60"/>
      <c r="L31" s="60"/>
      <c r="M31" s="61"/>
      <c r="N31" s="58"/>
      <c r="O31" s="66"/>
      <c r="P31" s="66"/>
      <c r="Q31" s="59"/>
      <c r="R31" s="60"/>
      <c r="S31" s="60"/>
      <c r="T31" s="61"/>
      <c r="U31" s="58"/>
      <c r="V31" s="66"/>
      <c r="W31" s="66"/>
      <c r="X31" s="59"/>
      <c r="Y31" s="60"/>
      <c r="Z31" s="60"/>
      <c r="AA31" s="61"/>
      <c r="AB31" s="108"/>
      <c r="AC31" s="110"/>
      <c r="AD31" s="59"/>
      <c r="AE31" s="77"/>
      <c r="AF31" s="77"/>
      <c r="AG31" s="111"/>
      <c r="AH31" s="80"/>
      <c r="AI31" s="108"/>
      <c r="AJ31" s="59"/>
      <c r="AK31" s="59"/>
      <c r="AL31" s="59"/>
      <c r="AM31" s="77"/>
      <c r="AN31" s="77"/>
      <c r="AO31" s="80"/>
      <c r="AP31" s="108"/>
      <c r="AQ31" s="110"/>
      <c r="AR31" s="110"/>
      <c r="AS31" s="59"/>
      <c r="AT31" s="77"/>
      <c r="AU31" s="77"/>
      <c r="AV31" s="80"/>
      <c r="AW31" s="109"/>
      <c r="AX31" s="110"/>
      <c r="AY31" s="110"/>
      <c r="AZ31" s="59"/>
      <c r="BA31" s="77"/>
      <c r="BB31" s="77"/>
      <c r="BC31" s="80"/>
    </row>
    <row r="32" spans="1:55" ht="18" customHeight="1" x14ac:dyDescent="0.3">
      <c r="A32" s="55"/>
      <c r="B32" s="68"/>
      <c r="C32" s="46"/>
      <c r="D32" s="56"/>
      <c r="E32" s="56"/>
      <c r="F32" s="57"/>
      <c r="G32" s="58"/>
      <c r="H32" s="66"/>
      <c r="I32" s="66"/>
      <c r="J32" s="59"/>
      <c r="K32" s="60"/>
      <c r="L32" s="60"/>
      <c r="M32" s="61"/>
      <c r="N32" s="58"/>
      <c r="O32" s="66"/>
      <c r="P32" s="66"/>
      <c r="Q32" s="59"/>
      <c r="R32" s="60"/>
      <c r="S32" s="60"/>
      <c r="T32" s="61"/>
      <c r="U32" s="58"/>
      <c r="V32" s="66"/>
      <c r="W32" s="66"/>
      <c r="X32" s="59"/>
      <c r="Y32" s="60"/>
      <c r="Z32" s="60"/>
      <c r="AA32" s="61"/>
      <c r="AB32" s="108"/>
      <c r="AC32" s="110"/>
      <c r="AD32" s="59"/>
      <c r="AE32" s="77"/>
      <c r="AF32" s="77"/>
      <c r="AG32" s="111"/>
      <c r="AH32" s="80"/>
      <c r="AI32" s="108"/>
      <c r="AJ32" s="59"/>
      <c r="AK32" s="59"/>
      <c r="AL32" s="59"/>
      <c r="AM32" s="77"/>
      <c r="AN32" s="77"/>
      <c r="AO32" s="80"/>
      <c r="AP32" s="108"/>
      <c r="AQ32" s="110"/>
      <c r="AR32" s="110"/>
      <c r="AS32" s="59"/>
      <c r="AT32" s="77"/>
      <c r="AU32" s="77"/>
      <c r="AV32" s="80"/>
      <c r="AW32" s="109"/>
      <c r="AX32" s="110"/>
      <c r="AY32" s="110"/>
      <c r="AZ32" s="59"/>
      <c r="BA32" s="77"/>
      <c r="BB32" s="77"/>
      <c r="BC32" s="80"/>
    </row>
    <row r="33" spans="1:55" ht="18" customHeight="1" x14ac:dyDescent="0.3">
      <c r="A33" s="55"/>
      <c r="B33" s="69"/>
      <c r="C33" s="46"/>
      <c r="D33" s="56"/>
      <c r="E33" s="56"/>
      <c r="F33" s="57"/>
      <c r="G33" s="58"/>
      <c r="H33" s="66"/>
      <c r="I33" s="66"/>
      <c r="J33" s="59"/>
      <c r="K33" s="60"/>
      <c r="L33" s="60"/>
      <c r="M33" s="61"/>
      <c r="N33" s="58"/>
      <c r="O33" s="66"/>
      <c r="P33" s="66"/>
      <c r="Q33" s="59"/>
      <c r="R33" s="60"/>
      <c r="S33" s="60"/>
      <c r="T33" s="61"/>
      <c r="U33" s="58"/>
      <c r="V33" s="66"/>
      <c r="W33" s="66"/>
      <c r="X33" s="59"/>
      <c r="Y33" s="60"/>
      <c r="Z33" s="60"/>
      <c r="AA33" s="61"/>
      <c r="AB33" s="108"/>
      <c r="AC33" s="110"/>
      <c r="AD33" s="59"/>
      <c r="AE33" s="77"/>
      <c r="AF33" s="77"/>
      <c r="AG33" s="111"/>
      <c r="AH33" s="80"/>
      <c r="AI33" s="108"/>
      <c r="AJ33" s="59"/>
      <c r="AK33" s="59"/>
      <c r="AL33" s="59"/>
      <c r="AM33" s="77"/>
      <c r="AN33" s="77"/>
      <c r="AO33" s="80"/>
      <c r="AP33" s="108"/>
      <c r="AQ33" s="110"/>
      <c r="AR33" s="110"/>
      <c r="AS33" s="59"/>
      <c r="AT33" s="77"/>
      <c r="AU33" s="77"/>
      <c r="AV33" s="80"/>
      <c r="AW33" s="109"/>
      <c r="AX33" s="110"/>
      <c r="AY33" s="110"/>
      <c r="AZ33" s="59"/>
      <c r="BA33" s="77"/>
      <c r="BB33" s="77"/>
      <c r="BC33" s="80"/>
    </row>
    <row r="34" spans="1:55" ht="18" customHeight="1" x14ac:dyDescent="0.3">
      <c r="A34" s="55"/>
      <c r="B34" s="67"/>
      <c r="C34" s="46"/>
      <c r="D34" s="56"/>
      <c r="E34" s="56"/>
      <c r="F34" s="57"/>
      <c r="G34" s="58"/>
      <c r="H34" s="66"/>
      <c r="I34" s="66"/>
      <c r="J34" s="59"/>
      <c r="K34" s="60"/>
      <c r="L34" s="60"/>
      <c r="M34" s="61"/>
      <c r="N34" s="58"/>
      <c r="O34" s="66"/>
      <c r="P34" s="66"/>
      <c r="Q34" s="59"/>
      <c r="R34" s="60"/>
      <c r="S34" s="60"/>
      <c r="T34" s="61"/>
      <c r="U34" s="58"/>
      <c r="V34" s="66"/>
      <c r="W34" s="66"/>
      <c r="X34" s="59"/>
      <c r="Y34" s="60"/>
      <c r="Z34" s="60"/>
      <c r="AA34" s="61"/>
      <c r="AB34" s="108"/>
      <c r="AC34" s="110"/>
      <c r="AD34" s="59"/>
      <c r="AE34" s="77"/>
      <c r="AF34" s="77"/>
      <c r="AG34" s="111"/>
      <c r="AH34" s="80"/>
      <c r="AI34" s="108"/>
      <c r="AJ34" s="59"/>
      <c r="AK34" s="59"/>
      <c r="AL34" s="59"/>
      <c r="AM34" s="77"/>
      <c r="AN34" s="77"/>
      <c r="AO34" s="80"/>
      <c r="AP34" s="108"/>
      <c r="AQ34" s="110"/>
      <c r="AR34" s="110"/>
      <c r="AS34" s="59"/>
      <c r="AT34" s="77"/>
      <c r="AU34" s="77"/>
      <c r="AV34" s="80"/>
      <c r="AW34" s="109"/>
      <c r="AX34" s="110"/>
      <c r="AY34" s="110"/>
      <c r="AZ34" s="59"/>
      <c r="BA34" s="77"/>
      <c r="BB34" s="77"/>
      <c r="BC34" s="80"/>
    </row>
    <row r="35" spans="1:55" ht="18" customHeight="1" x14ac:dyDescent="0.3">
      <c r="A35" s="55"/>
      <c r="B35" s="67"/>
      <c r="C35" s="46"/>
      <c r="D35" s="56"/>
      <c r="E35" s="56"/>
      <c r="F35" s="57"/>
      <c r="G35" s="58"/>
      <c r="H35" s="66"/>
      <c r="I35" s="66"/>
      <c r="J35" s="59"/>
      <c r="K35" s="60"/>
      <c r="L35" s="60"/>
      <c r="M35" s="61"/>
      <c r="N35" s="58"/>
      <c r="O35" s="66"/>
      <c r="P35" s="66"/>
      <c r="Q35" s="59"/>
      <c r="R35" s="60"/>
      <c r="S35" s="60"/>
      <c r="T35" s="61"/>
      <c r="U35" s="58"/>
      <c r="V35" s="66"/>
      <c r="W35" s="66"/>
      <c r="X35" s="59"/>
      <c r="Y35" s="60"/>
      <c r="Z35" s="60"/>
      <c r="AA35" s="61"/>
      <c r="AB35" s="108"/>
      <c r="AC35" s="110"/>
      <c r="AD35" s="59"/>
      <c r="AE35" s="77"/>
      <c r="AF35" s="77"/>
      <c r="AG35" s="111"/>
      <c r="AH35" s="80"/>
      <c r="AI35" s="108"/>
      <c r="AJ35" s="59"/>
      <c r="AK35" s="59"/>
      <c r="AL35" s="59"/>
      <c r="AM35" s="77"/>
      <c r="AN35" s="77"/>
      <c r="AO35" s="80"/>
      <c r="AP35" s="108"/>
      <c r="AQ35" s="110"/>
      <c r="AR35" s="110"/>
      <c r="AS35" s="59"/>
      <c r="AT35" s="77"/>
      <c r="AU35" s="77"/>
      <c r="AV35" s="80"/>
      <c r="AW35" s="109"/>
      <c r="AX35" s="110"/>
      <c r="AY35" s="110"/>
      <c r="AZ35" s="59"/>
      <c r="BA35" s="77"/>
      <c r="BB35" s="77"/>
      <c r="BC35" s="80"/>
    </row>
    <row r="36" spans="1:55" ht="18" customHeight="1" x14ac:dyDescent="0.3">
      <c r="A36" s="55"/>
      <c r="B36" s="67"/>
      <c r="C36" s="46"/>
      <c r="D36" s="56"/>
      <c r="E36" s="56"/>
      <c r="F36" s="57"/>
      <c r="G36" s="58"/>
      <c r="H36" s="66"/>
      <c r="I36" s="66"/>
      <c r="J36" s="59"/>
      <c r="K36" s="60"/>
      <c r="L36" s="60"/>
      <c r="M36" s="61"/>
      <c r="N36" s="58"/>
      <c r="O36" s="66"/>
      <c r="P36" s="66"/>
      <c r="Q36" s="59"/>
      <c r="R36" s="60"/>
      <c r="S36" s="60"/>
      <c r="T36" s="61"/>
      <c r="U36" s="58"/>
      <c r="V36" s="66"/>
      <c r="W36" s="66"/>
      <c r="X36" s="59"/>
      <c r="Y36" s="60"/>
      <c r="Z36" s="60"/>
      <c r="AA36" s="61"/>
      <c r="AB36" s="108"/>
      <c r="AC36" s="110"/>
      <c r="AD36" s="59"/>
      <c r="AE36" s="77"/>
      <c r="AF36" s="77"/>
      <c r="AG36" s="111"/>
      <c r="AH36" s="80"/>
      <c r="AI36" s="108"/>
      <c r="AJ36" s="59"/>
      <c r="AK36" s="59"/>
      <c r="AL36" s="59"/>
      <c r="AM36" s="77"/>
      <c r="AN36" s="77"/>
      <c r="AO36" s="80"/>
      <c r="AP36" s="108"/>
      <c r="AQ36" s="110"/>
      <c r="AR36" s="110"/>
      <c r="AS36" s="59"/>
      <c r="AT36" s="77"/>
      <c r="AU36" s="77"/>
      <c r="AV36" s="80"/>
      <c r="AW36" s="109"/>
      <c r="AX36" s="110"/>
      <c r="AY36" s="110"/>
      <c r="AZ36" s="59"/>
      <c r="BA36" s="77"/>
      <c r="BB36" s="77"/>
      <c r="BC36" s="80"/>
    </row>
    <row r="37" spans="1:55" ht="18" customHeight="1" x14ac:dyDescent="0.3">
      <c r="A37" s="55"/>
      <c r="B37" s="68"/>
      <c r="C37" s="46"/>
      <c r="D37" s="56"/>
      <c r="E37" s="56"/>
      <c r="F37" s="57"/>
      <c r="G37" s="70"/>
      <c r="H37" s="74"/>
      <c r="I37" s="74"/>
      <c r="J37" s="59"/>
      <c r="K37" s="71"/>
      <c r="L37" s="71"/>
      <c r="M37" s="72"/>
      <c r="N37" s="70"/>
      <c r="O37" s="74"/>
      <c r="P37" s="74"/>
      <c r="Q37" s="59"/>
      <c r="R37" s="71"/>
      <c r="S37" s="71"/>
      <c r="T37" s="72"/>
      <c r="U37" s="70"/>
      <c r="V37" s="74"/>
      <c r="W37" s="74"/>
      <c r="X37" s="59"/>
      <c r="Y37" s="71"/>
      <c r="Z37" s="71"/>
      <c r="AA37" s="72"/>
      <c r="AB37" s="108"/>
      <c r="AC37" s="110"/>
      <c r="AD37" s="59"/>
      <c r="AE37" s="77"/>
      <c r="AF37" s="77"/>
      <c r="AG37" s="111"/>
      <c r="AH37" s="80"/>
      <c r="AI37" s="108"/>
      <c r="AJ37" s="59"/>
      <c r="AK37" s="59"/>
      <c r="AL37" s="59"/>
      <c r="AM37" s="77"/>
      <c r="AN37" s="77"/>
      <c r="AO37" s="80"/>
      <c r="AP37" s="108"/>
      <c r="AQ37" s="110"/>
      <c r="AR37" s="110"/>
      <c r="AS37" s="59"/>
      <c r="AT37" s="77"/>
      <c r="AU37" s="77"/>
      <c r="AV37" s="80"/>
      <c r="AW37" s="109"/>
      <c r="AX37" s="110"/>
      <c r="AY37" s="110"/>
      <c r="AZ37" s="59"/>
      <c r="BA37" s="77"/>
      <c r="BB37" s="77"/>
      <c r="BC37" s="80"/>
    </row>
    <row r="38" spans="1:55" ht="18" customHeight="1" x14ac:dyDescent="0.3">
      <c r="A38" s="55"/>
      <c r="B38" s="69"/>
      <c r="C38" s="46"/>
      <c r="D38" s="56"/>
      <c r="E38" s="56"/>
      <c r="F38" s="57"/>
      <c r="G38" s="58"/>
      <c r="H38" s="66"/>
      <c r="I38" s="66"/>
      <c r="J38" s="59"/>
      <c r="K38" s="60"/>
      <c r="L38" s="60"/>
      <c r="M38" s="61"/>
      <c r="N38" s="58"/>
      <c r="O38" s="66"/>
      <c r="P38" s="66"/>
      <c r="Q38" s="59"/>
      <c r="R38" s="60"/>
      <c r="S38" s="60"/>
      <c r="T38" s="61"/>
      <c r="U38" s="58"/>
      <c r="V38" s="66"/>
      <c r="W38" s="66"/>
      <c r="X38" s="59"/>
      <c r="Y38" s="60"/>
      <c r="Z38" s="60"/>
      <c r="AA38" s="61"/>
      <c r="AB38" s="108"/>
      <c r="AC38" s="110"/>
      <c r="AD38" s="59"/>
      <c r="AE38" s="77"/>
      <c r="AF38" s="77"/>
      <c r="AG38" s="111"/>
      <c r="AH38" s="80"/>
      <c r="AI38" s="108"/>
      <c r="AJ38" s="59"/>
      <c r="AK38" s="59"/>
      <c r="AL38" s="59"/>
      <c r="AM38" s="77"/>
      <c r="AN38" s="77"/>
      <c r="AO38" s="80"/>
      <c r="AP38" s="108"/>
      <c r="AQ38" s="110"/>
      <c r="AR38" s="110"/>
      <c r="AS38" s="59"/>
      <c r="AT38" s="77"/>
      <c r="AU38" s="77"/>
      <c r="AV38" s="80"/>
      <c r="AW38" s="109"/>
      <c r="AX38" s="110"/>
      <c r="AY38" s="110"/>
      <c r="AZ38" s="59"/>
      <c r="BA38" s="77"/>
      <c r="BB38" s="77"/>
      <c r="BC38" s="80"/>
    </row>
    <row r="39" spans="1:55" ht="18" customHeight="1" x14ac:dyDescent="0.3">
      <c r="A39" s="55"/>
      <c r="B39" s="67"/>
      <c r="C39" s="46"/>
      <c r="D39" s="56"/>
      <c r="E39" s="56"/>
      <c r="F39" s="57"/>
      <c r="G39" s="58"/>
      <c r="H39" s="66"/>
      <c r="I39" s="66"/>
      <c r="J39" s="59"/>
      <c r="K39" s="60"/>
      <c r="L39" s="60"/>
      <c r="M39" s="61"/>
      <c r="N39" s="58"/>
      <c r="O39" s="66"/>
      <c r="P39" s="66"/>
      <c r="Q39" s="59"/>
      <c r="R39" s="60"/>
      <c r="S39" s="60"/>
      <c r="T39" s="61"/>
      <c r="U39" s="58"/>
      <c r="V39" s="66"/>
      <c r="W39" s="66"/>
      <c r="X39" s="59"/>
      <c r="Y39" s="60"/>
      <c r="Z39" s="60"/>
      <c r="AA39" s="61"/>
      <c r="AB39" s="108"/>
      <c r="AC39" s="110"/>
      <c r="AD39" s="59"/>
      <c r="AE39" s="77"/>
      <c r="AF39" s="77"/>
      <c r="AG39" s="111"/>
      <c r="AH39" s="80"/>
      <c r="AI39" s="108"/>
      <c r="AJ39" s="59"/>
      <c r="AK39" s="59"/>
      <c r="AL39" s="59"/>
      <c r="AM39" s="77"/>
      <c r="AN39" s="77"/>
      <c r="AO39" s="80"/>
      <c r="AP39" s="108"/>
      <c r="AQ39" s="110"/>
      <c r="AR39" s="110"/>
      <c r="AS39" s="59"/>
      <c r="AT39" s="77"/>
      <c r="AU39" s="77"/>
      <c r="AV39" s="80"/>
      <c r="AW39" s="109"/>
      <c r="AX39" s="110"/>
      <c r="AY39" s="110"/>
      <c r="AZ39" s="59"/>
      <c r="BA39" s="77"/>
      <c r="BB39" s="77"/>
      <c r="BC39" s="80"/>
    </row>
    <row r="40" spans="1:55" ht="18" customHeight="1" x14ac:dyDescent="0.3">
      <c r="A40" s="55"/>
      <c r="B40" s="67"/>
      <c r="C40" s="46"/>
      <c r="D40" s="56"/>
      <c r="E40" s="56"/>
      <c r="F40" s="57"/>
      <c r="G40" s="58"/>
      <c r="H40" s="66"/>
      <c r="I40" s="66"/>
      <c r="J40" s="59"/>
      <c r="K40" s="60"/>
      <c r="L40" s="60"/>
      <c r="M40" s="61"/>
      <c r="N40" s="58"/>
      <c r="O40" s="66"/>
      <c r="P40" s="66"/>
      <c r="Q40" s="59"/>
      <c r="R40" s="60"/>
      <c r="S40" s="60"/>
      <c r="T40" s="61"/>
      <c r="U40" s="58"/>
      <c r="V40" s="66"/>
      <c r="W40" s="66"/>
      <c r="X40" s="59"/>
      <c r="Y40" s="60"/>
      <c r="Z40" s="60"/>
      <c r="AA40" s="61"/>
      <c r="AB40" s="108"/>
      <c r="AC40" s="110"/>
      <c r="AD40" s="59"/>
      <c r="AE40" s="77"/>
      <c r="AF40" s="77"/>
      <c r="AG40" s="111"/>
      <c r="AH40" s="80"/>
      <c r="AI40" s="108"/>
      <c r="AJ40" s="59"/>
      <c r="AK40" s="59"/>
      <c r="AL40" s="59"/>
      <c r="AM40" s="77"/>
      <c r="AN40" s="77"/>
      <c r="AO40" s="80"/>
      <c r="AP40" s="108"/>
      <c r="AQ40" s="110"/>
      <c r="AR40" s="110"/>
      <c r="AS40" s="59"/>
      <c r="AT40" s="77"/>
      <c r="AU40" s="77"/>
      <c r="AV40" s="80"/>
      <c r="AW40" s="112"/>
      <c r="AX40" s="113"/>
      <c r="AY40" s="113"/>
      <c r="AZ40" s="86"/>
      <c r="BA40" s="83"/>
      <c r="BB40" s="83"/>
      <c r="BC40" s="87"/>
    </row>
    <row r="41" spans="1:55" ht="18.75" x14ac:dyDescent="0.3"/>
    <row r="42" spans="1:55" ht="18.75" x14ac:dyDescent="0.3"/>
    <row r="43" spans="1:55" ht="18.75" x14ac:dyDescent="0.3"/>
    <row r="44" spans="1:55" ht="18.75" x14ac:dyDescent="0.3"/>
    <row r="45" spans="1:55" ht="18.75" x14ac:dyDescent="0.3"/>
    <row r="46" spans="1:55" ht="18.75" x14ac:dyDescent="0.3"/>
    <row r="47" spans="1:55" ht="18.75" x14ac:dyDescent="0.3"/>
    <row r="48" spans="1:55" ht="18.75" x14ac:dyDescent="0.3"/>
    <row r="49" ht="18.75" x14ac:dyDescent="0.3"/>
    <row r="50" ht="18.75" x14ac:dyDescent="0.3"/>
    <row r="51" ht="18.75" x14ac:dyDescent="0.3"/>
    <row r="52" ht="18.75" x14ac:dyDescent="0.3"/>
    <row r="53" ht="18.75" x14ac:dyDescent="0.3"/>
    <row r="54" ht="18.75" x14ac:dyDescent="0.3"/>
    <row r="55" ht="18.75" x14ac:dyDescent="0.3"/>
  </sheetData>
  <mergeCells count="23">
    <mergeCell ref="AW3:BC3"/>
    <mergeCell ref="D4:F4"/>
    <mergeCell ref="D5:F5"/>
    <mergeCell ref="N3:T3"/>
    <mergeCell ref="U3:AA3"/>
    <mergeCell ref="AB3:AH3"/>
    <mergeCell ref="AI3:AO3"/>
    <mergeCell ref="AP3:AV3"/>
    <mergeCell ref="A2:A5"/>
    <mergeCell ref="B2:B5"/>
    <mergeCell ref="C2:C5"/>
    <mergeCell ref="D3:F3"/>
    <mergeCell ref="G3:M3"/>
    <mergeCell ref="S1:T1"/>
    <mergeCell ref="BB1:BC1"/>
    <mergeCell ref="D2:F2"/>
    <mergeCell ref="G2:M2"/>
    <mergeCell ref="N2:T2"/>
    <mergeCell ref="U2:AA2"/>
    <mergeCell ref="AB2:AH2"/>
    <mergeCell ref="AI2:AO2"/>
    <mergeCell ref="AP2:AV2"/>
    <mergeCell ref="AW2:BC2"/>
  </mergeCells>
  <pageMargins left="0.73958333333333337" right="0.1875" top="0.35433070866141736" bottom="0.15748031496062992" header="0.31496062992125984" footer="0.31496062992125984"/>
  <pageSetup paperSize="9" orientation="portrait" useFirstPageNumber="1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X40"/>
  <sheetViews>
    <sheetView view="pageBreakPreview" zoomScale="120" zoomScaleNormal="150" workbookViewId="0">
      <selection activeCell="AP11" sqref="AP11"/>
    </sheetView>
  </sheetViews>
  <sheetFormatPr defaultColWidth="9.125" defaultRowHeight="18" customHeight="1" x14ac:dyDescent="0.3"/>
  <cols>
    <col min="1" max="1" width="2" style="25" customWidth="1"/>
    <col min="2" max="2" width="3.625" style="25" customWidth="1"/>
    <col min="3" max="3" width="6.625" style="25" customWidth="1"/>
    <col min="4" max="4" width="2.75" style="25" customWidth="1"/>
    <col min="5" max="5" width="2.25" style="25" customWidth="1"/>
    <col min="6" max="6" width="2.125" style="25" customWidth="1"/>
    <col min="7" max="7" width="4" style="25" customWidth="1"/>
    <col min="8" max="49" width="1.25" style="25" customWidth="1"/>
    <col min="50" max="50" width="3.125" style="25" customWidth="1"/>
    <col min="51" max="53" width="7.875" style="25" customWidth="1"/>
    <col min="54" max="54" width="9.125" style="25" customWidth="1"/>
    <col min="55" max="16384" width="9.125" style="25"/>
  </cols>
  <sheetData>
    <row r="1" spans="1:50" ht="18" customHeight="1" x14ac:dyDescent="0.3">
      <c r="AX1" s="114">
        <v>4</v>
      </c>
    </row>
    <row r="2" spans="1:50" ht="18" customHeight="1" x14ac:dyDescent="0.3">
      <c r="A2" s="412" t="s">
        <v>46</v>
      </c>
      <c r="B2" s="382" t="s">
        <v>47</v>
      </c>
      <c r="C2" s="406" t="s">
        <v>48</v>
      </c>
      <c r="D2" s="407"/>
      <c r="E2" s="373" t="s">
        <v>49</v>
      </c>
      <c r="F2" s="374"/>
      <c r="G2" s="375"/>
      <c r="H2" s="398" t="s">
        <v>89</v>
      </c>
      <c r="I2" s="399"/>
      <c r="J2" s="399"/>
      <c r="K2" s="399"/>
      <c r="L2" s="399"/>
      <c r="M2" s="399"/>
      <c r="N2" s="400"/>
      <c r="O2" s="398" t="s">
        <v>89</v>
      </c>
      <c r="P2" s="399"/>
      <c r="Q2" s="399"/>
      <c r="R2" s="399"/>
      <c r="S2" s="399"/>
      <c r="T2" s="399"/>
      <c r="U2" s="400"/>
      <c r="V2" s="398" t="s">
        <v>89</v>
      </c>
      <c r="W2" s="399"/>
      <c r="X2" s="399"/>
      <c r="Y2" s="399"/>
      <c r="Z2" s="399"/>
      <c r="AA2" s="399"/>
      <c r="AB2" s="400"/>
      <c r="AC2" s="398" t="s">
        <v>91</v>
      </c>
      <c r="AD2" s="399"/>
      <c r="AE2" s="399"/>
      <c r="AF2" s="399"/>
      <c r="AG2" s="399"/>
      <c r="AH2" s="399"/>
      <c r="AI2" s="400"/>
      <c r="AJ2" s="398" t="s">
        <v>91</v>
      </c>
      <c r="AK2" s="399"/>
      <c r="AL2" s="399"/>
      <c r="AM2" s="399"/>
      <c r="AN2" s="399"/>
      <c r="AO2" s="399"/>
      <c r="AP2" s="400"/>
      <c r="AQ2" s="398" t="s">
        <v>91</v>
      </c>
      <c r="AR2" s="399"/>
      <c r="AS2" s="399"/>
      <c r="AT2" s="399"/>
      <c r="AU2" s="399"/>
      <c r="AV2" s="399"/>
      <c r="AW2" s="400"/>
      <c r="AX2" s="115" t="s">
        <v>92</v>
      </c>
    </row>
    <row r="3" spans="1:50" ht="18" customHeight="1" x14ac:dyDescent="0.3">
      <c r="A3" s="413"/>
      <c r="B3" s="383"/>
      <c r="C3" s="408"/>
      <c r="D3" s="409"/>
      <c r="E3" s="388" t="s">
        <v>52</v>
      </c>
      <c r="F3" s="389"/>
      <c r="G3" s="390"/>
      <c r="H3" s="405">
        <v>15</v>
      </c>
      <c r="I3" s="401"/>
      <c r="J3" s="401"/>
      <c r="K3" s="402"/>
      <c r="L3" s="402"/>
      <c r="M3" s="402"/>
      <c r="N3" s="404"/>
      <c r="O3" s="401">
        <v>16</v>
      </c>
      <c r="P3" s="401"/>
      <c r="Q3" s="401"/>
      <c r="R3" s="402"/>
      <c r="S3" s="402"/>
      <c r="T3" s="402"/>
      <c r="U3" s="403"/>
      <c r="V3" s="405">
        <v>17</v>
      </c>
      <c r="W3" s="401"/>
      <c r="X3" s="401"/>
      <c r="Y3" s="402"/>
      <c r="Z3" s="402"/>
      <c r="AA3" s="402"/>
      <c r="AB3" s="404"/>
      <c r="AC3" s="401">
        <v>18</v>
      </c>
      <c r="AD3" s="401"/>
      <c r="AE3" s="401"/>
      <c r="AF3" s="402"/>
      <c r="AG3" s="402"/>
      <c r="AH3" s="402"/>
      <c r="AI3" s="403"/>
      <c r="AJ3" s="405">
        <v>19</v>
      </c>
      <c r="AK3" s="401"/>
      <c r="AL3" s="401"/>
      <c r="AM3" s="402"/>
      <c r="AN3" s="402"/>
      <c r="AO3" s="402"/>
      <c r="AP3" s="404"/>
      <c r="AQ3" s="401">
        <v>20</v>
      </c>
      <c r="AR3" s="401"/>
      <c r="AS3" s="401"/>
      <c r="AT3" s="402"/>
      <c r="AU3" s="402"/>
      <c r="AV3" s="402"/>
      <c r="AW3" s="404"/>
      <c r="AX3" s="116" t="s">
        <v>93</v>
      </c>
    </row>
    <row r="4" spans="1:50" ht="18" customHeight="1" x14ac:dyDescent="0.3">
      <c r="A4" s="413"/>
      <c r="B4" s="383"/>
      <c r="C4" s="408"/>
      <c r="D4" s="409"/>
      <c r="E4" s="415" t="s">
        <v>53</v>
      </c>
      <c r="F4" s="416"/>
      <c r="G4" s="416"/>
      <c r="H4" s="27">
        <v>8</v>
      </c>
      <c r="I4" s="98">
        <v>9</v>
      </c>
      <c r="J4" s="98">
        <v>10</v>
      </c>
      <c r="K4" s="32">
        <v>11</v>
      </c>
      <c r="L4" s="32">
        <v>12</v>
      </c>
      <c r="M4" s="32">
        <v>13</v>
      </c>
      <c r="N4" s="29">
        <v>14</v>
      </c>
      <c r="O4" s="27">
        <v>15</v>
      </c>
      <c r="P4" s="98">
        <v>16</v>
      </c>
      <c r="Q4" s="98">
        <v>17</v>
      </c>
      <c r="R4" s="32">
        <v>18</v>
      </c>
      <c r="S4" s="32">
        <v>19</v>
      </c>
      <c r="T4" s="32">
        <v>20</v>
      </c>
      <c r="U4" s="29">
        <v>21</v>
      </c>
      <c r="V4" s="27">
        <v>22</v>
      </c>
      <c r="W4" s="98">
        <v>23</v>
      </c>
      <c r="X4" s="98">
        <v>24</v>
      </c>
      <c r="Y4" s="32">
        <v>25</v>
      </c>
      <c r="Z4" s="32">
        <v>26</v>
      </c>
      <c r="AA4" s="32">
        <v>27</v>
      </c>
      <c r="AB4" s="29">
        <v>28</v>
      </c>
      <c r="AC4" s="27">
        <v>1</v>
      </c>
      <c r="AD4" s="98">
        <v>2</v>
      </c>
      <c r="AE4" s="98">
        <v>3</v>
      </c>
      <c r="AF4" s="32">
        <v>4</v>
      </c>
      <c r="AG4" s="32">
        <v>5</v>
      </c>
      <c r="AH4" s="32">
        <v>6</v>
      </c>
      <c r="AI4" s="29">
        <v>7</v>
      </c>
      <c r="AJ4" s="27">
        <v>8</v>
      </c>
      <c r="AK4" s="98">
        <v>9</v>
      </c>
      <c r="AL4" s="98">
        <v>10</v>
      </c>
      <c r="AM4" s="32">
        <v>11</v>
      </c>
      <c r="AN4" s="32">
        <v>12</v>
      </c>
      <c r="AO4" s="32">
        <v>13</v>
      </c>
      <c r="AP4" s="29">
        <v>14</v>
      </c>
      <c r="AQ4" s="27">
        <v>15</v>
      </c>
      <c r="AR4" s="98">
        <v>16</v>
      </c>
      <c r="AS4" s="98">
        <v>17</v>
      </c>
      <c r="AT4" s="32">
        <v>18</v>
      </c>
      <c r="AU4" s="32">
        <v>19</v>
      </c>
      <c r="AV4" s="32">
        <v>20</v>
      </c>
      <c r="AW4" s="29">
        <v>21</v>
      </c>
      <c r="AX4" s="117">
        <f>'ปก (1)'!N11*40</f>
        <v>40</v>
      </c>
    </row>
    <row r="5" spans="1:50" ht="18" customHeight="1" x14ac:dyDescent="0.3">
      <c r="A5" s="414"/>
      <c r="B5" s="384"/>
      <c r="C5" s="410"/>
      <c r="D5" s="411"/>
      <c r="E5" s="410" t="s">
        <v>54</v>
      </c>
      <c r="F5" s="417"/>
      <c r="G5" s="411"/>
      <c r="H5" s="34"/>
      <c r="I5" s="99"/>
      <c r="J5" s="99"/>
      <c r="K5" s="100"/>
      <c r="L5" s="100"/>
      <c r="M5" s="101"/>
      <c r="N5" s="36"/>
      <c r="O5" s="34"/>
      <c r="P5" s="99"/>
      <c r="Q5" s="99"/>
      <c r="R5" s="100"/>
      <c r="S5" s="100"/>
      <c r="T5" s="101"/>
      <c r="U5" s="36"/>
      <c r="V5" s="34"/>
      <c r="W5" s="99"/>
      <c r="X5" s="99"/>
      <c r="Y5" s="100"/>
      <c r="Z5" s="100"/>
      <c r="AA5" s="101"/>
      <c r="AB5" s="36"/>
      <c r="AC5" s="34"/>
      <c r="AD5" s="99"/>
      <c r="AE5" s="99"/>
      <c r="AF5" s="100"/>
      <c r="AG5" s="100"/>
      <c r="AH5" s="43"/>
      <c r="AI5" s="40"/>
      <c r="AJ5" s="34"/>
      <c r="AK5" s="99"/>
      <c r="AL5" s="99"/>
      <c r="AM5" s="100"/>
      <c r="AN5" s="100"/>
      <c r="AO5" s="43"/>
      <c r="AP5" s="40"/>
      <c r="AQ5" s="34"/>
      <c r="AR5" s="99"/>
      <c r="AS5" s="99"/>
      <c r="AT5" s="100"/>
      <c r="AU5" s="100"/>
      <c r="AV5" s="43"/>
      <c r="AW5" s="40"/>
      <c r="AX5" s="118">
        <f>AX4*80/100</f>
        <v>32</v>
      </c>
    </row>
    <row r="6" spans="1:50" ht="18" customHeight="1" x14ac:dyDescent="0.3">
      <c r="A6" s="44">
        <v>1</v>
      </c>
      <c r="B6" s="119" t="str">
        <f>'เวลาเรียน (2)'!B6</f>
        <v>4833</v>
      </c>
      <c r="C6" s="120" t="str">
        <f>'เวลาเรียน (2)'!C6</f>
        <v>เด็กชายพงษ์ศิริ พิมโยธา</v>
      </c>
      <c r="D6" s="121"/>
      <c r="E6" s="121"/>
      <c r="F6" s="122"/>
      <c r="G6" s="123"/>
      <c r="H6" s="124" t="s">
        <v>57</v>
      </c>
      <c r="I6" s="50" t="s">
        <v>57</v>
      </c>
      <c r="J6" s="50" t="s">
        <v>57</v>
      </c>
      <c r="K6" s="50" t="s">
        <v>57</v>
      </c>
      <c r="L6" s="50" t="s">
        <v>57</v>
      </c>
      <c r="M6" s="50" t="s">
        <v>57</v>
      </c>
      <c r="N6" s="80" t="s">
        <v>57</v>
      </c>
      <c r="O6" s="124" t="s">
        <v>57</v>
      </c>
      <c r="P6" s="50" t="s">
        <v>57</v>
      </c>
      <c r="Q6" s="50" t="s">
        <v>57</v>
      </c>
      <c r="R6" s="125" t="s">
        <v>57</v>
      </c>
      <c r="S6" s="125" t="s">
        <v>57</v>
      </c>
      <c r="T6" s="50" t="s">
        <v>57</v>
      </c>
      <c r="U6" s="80" t="s">
        <v>57</v>
      </c>
      <c r="V6" s="104" t="s">
        <v>57</v>
      </c>
      <c r="W6" s="50" t="s">
        <v>90</v>
      </c>
      <c r="X6" s="50" t="s">
        <v>57</v>
      </c>
      <c r="Y6" s="50" t="s">
        <v>57</v>
      </c>
      <c r="Z6" s="50" t="s">
        <v>57</v>
      </c>
      <c r="AA6" s="50" t="s">
        <v>57</v>
      </c>
      <c r="AB6" s="80" t="s">
        <v>57</v>
      </c>
      <c r="AC6" s="104" t="s">
        <v>57</v>
      </c>
      <c r="AD6" s="50" t="s">
        <v>57</v>
      </c>
      <c r="AE6" s="50" t="s">
        <v>57</v>
      </c>
      <c r="AF6" s="50" t="s">
        <v>57</v>
      </c>
      <c r="AG6" s="50" t="s">
        <v>57</v>
      </c>
      <c r="AH6" s="50" t="s">
        <v>57</v>
      </c>
      <c r="AI6" s="80" t="s">
        <v>57</v>
      </c>
      <c r="AJ6" s="104" t="s">
        <v>57</v>
      </c>
      <c r="AK6" s="50" t="s">
        <v>57</v>
      </c>
      <c r="AL6" s="50" t="s">
        <v>57</v>
      </c>
      <c r="AM6" s="50" t="s">
        <v>57</v>
      </c>
      <c r="AN6" s="50" t="s">
        <v>57</v>
      </c>
      <c r="AO6" s="50" t="s">
        <v>57</v>
      </c>
      <c r="AP6" s="80" t="s">
        <v>57</v>
      </c>
      <c r="AQ6" s="104" t="s">
        <v>57</v>
      </c>
      <c r="AR6" s="50" t="s">
        <v>57</v>
      </c>
      <c r="AS6" s="50" t="s">
        <v>57</v>
      </c>
      <c r="AT6" s="50" t="s">
        <v>57</v>
      </c>
      <c r="AU6" s="50" t="s">
        <v>57</v>
      </c>
      <c r="AV6" s="50" t="s">
        <v>57</v>
      </c>
      <c r="AW6" s="124" t="s">
        <v>57</v>
      </c>
      <c r="AX6" s="126">
        <v>38</v>
      </c>
    </row>
    <row r="7" spans="1:50" ht="18" customHeight="1" x14ac:dyDescent="0.3">
      <c r="A7" s="55">
        <v>2</v>
      </c>
      <c r="B7" s="119" t="str">
        <f>'เวลาเรียน (2)'!B7</f>
        <v>4832</v>
      </c>
      <c r="C7" s="127" t="str">
        <f>'เวลาเรียน (2)'!C7</f>
        <v>เด็กชายพงศ์พิเชษฐ์ มาสีปา</v>
      </c>
      <c r="D7" s="128"/>
      <c r="E7" s="128"/>
      <c r="F7" s="129"/>
      <c r="G7" s="130"/>
      <c r="H7" s="131" t="s">
        <v>57</v>
      </c>
      <c r="I7" s="59" t="s">
        <v>57</v>
      </c>
      <c r="J7" s="59" t="s">
        <v>57</v>
      </c>
      <c r="K7" s="59" t="s">
        <v>57</v>
      </c>
      <c r="L7" s="59" t="s">
        <v>57</v>
      </c>
      <c r="M7" s="59" t="s">
        <v>57</v>
      </c>
      <c r="N7" s="80" t="s">
        <v>57</v>
      </c>
      <c r="O7" s="131" t="s">
        <v>57</v>
      </c>
      <c r="P7" s="59" t="s">
        <v>90</v>
      </c>
      <c r="Q7" s="59" t="s">
        <v>57</v>
      </c>
      <c r="R7" s="132" t="s">
        <v>57</v>
      </c>
      <c r="S7" s="132" t="s">
        <v>57</v>
      </c>
      <c r="T7" s="59" t="s">
        <v>57</v>
      </c>
      <c r="U7" s="80" t="s">
        <v>57</v>
      </c>
      <c r="V7" s="108" t="s">
        <v>57</v>
      </c>
      <c r="W7" s="59" t="s">
        <v>90</v>
      </c>
      <c r="X7" s="59" t="s">
        <v>57</v>
      </c>
      <c r="Y7" s="59" t="s">
        <v>57</v>
      </c>
      <c r="Z7" s="59" t="s">
        <v>57</v>
      </c>
      <c r="AA7" s="59" t="s">
        <v>57</v>
      </c>
      <c r="AB7" s="80" t="s">
        <v>57</v>
      </c>
      <c r="AC7" s="108" t="s">
        <v>57</v>
      </c>
      <c r="AD7" s="59" t="s">
        <v>57</v>
      </c>
      <c r="AE7" s="59" t="s">
        <v>57</v>
      </c>
      <c r="AF7" s="59" t="s">
        <v>57</v>
      </c>
      <c r="AG7" s="59" t="s">
        <v>57</v>
      </c>
      <c r="AH7" s="59" t="s">
        <v>57</v>
      </c>
      <c r="AI7" s="80" t="s">
        <v>57</v>
      </c>
      <c r="AJ7" s="108" t="s">
        <v>57</v>
      </c>
      <c r="AK7" s="59" t="s">
        <v>90</v>
      </c>
      <c r="AL7" s="59" t="s">
        <v>57</v>
      </c>
      <c r="AM7" s="59" t="s">
        <v>57</v>
      </c>
      <c r="AN7" s="59" t="s">
        <v>57</v>
      </c>
      <c r="AO7" s="59" t="s">
        <v>57</v>
      </c>
      <c r="AP7" s="80" t="s">
        <v>57</v>
      </c>
      <c r="AQ7" s="108" t="s">
        <v>57</v>
      </c>
      <c r="AR7" s="59" t="s">
        <v>57</v>
      </c>
      <c r="AS7" s="59" t="s">
        <v>57</v>
      </c>
      <c r="AT7" s="59" t="s">
        <v>57</v>
      </c>
      <c r="AU7" s="59" t="s">
        <v>57</v>
      </c>
      <c r="AV7" s="59" t="s">
        <v>57</v>
      </c>
      <c r="AW7" s="131" t="s">
        <v>57</v>
      </c>
      <c r="AX7" s="133">
        <v>30</v>
      </c>
    </row>
    <row r="8" spans="1:50" ht="18" customHeight="1" x14ac:dyDescent="0.3">
      <c r="A8" s="55">
        <v>3</v>
      </c>
      <c r="B8" s="119" t="str">
        <f>'เวลาเรียน (2)'!B8</f>
        <v>4836</v>
      </c>
      <c r="C8" s="127" t="str">
        <f>'เวลาเรียน (2)'!C8</f>
        <v>เด็กชายรพีภัทร แสดคง</v>
      </c>
      <c r="D8" s="128"/>
      <c r="E8" s="128"/>
      <c r="F8" s="129"/>
      <c r="G8" s="130"/>
      <c r="H8" s="131" t="s">
        <v>57</v>
      </c>
      <c r="I8" s="59" t="s">
        <v>57</v>
      </c>
      <c r="J8" s="59" t="s">
        <v>57</v>
      </c>
      <c r="K8" s="59" t="s">
        <v>57</v>
      </c>
      <c r="L8" s="59" t="s">
        <v>57</v>
      </c>
      <c r="M8" s="59" t="s">
        <v>57</v>
      </c>
      <c r="N8" s="80" t="s">
        <v>57</v>
      </c>
      <c r="O8" s="131" t="s">
        <v>57</v>
      </c>
      <c r="P8" s="59" t="s">
        <v>57</v>
      </c>
      <c r="Q8" s="59" t="s">
        <v>57</v>
      </c>
      <c r="R8" s="132" t="s">
        <v>57</v>
      </c>
      <c r="S8" s="132" t="s">
        <v>57</v>
      </c>
      <c r="T8" s="59" t="s">
        <v>57</v>
      </c>
      <c r="U8" s="80" t="s">
        <v>57</v>
      </c>
      <c r="V8" s="108" t="s">
        <v>57</v>
      </c>
      <c r="W8" s="59" t="s">
        <v>90</v>
      </c>
      <c r="X8" s="59" t="s">
        <v>57</v>
      </c>
      <c r="Y8" s="59" t="s">
        <v>57</v>
      </c>
      <c r="Z8" s="59" t="s">
        <v>57</v>
      </c>
      <c r="AA8" s="59" t="s">
        <v>57</v>
      </c>
      <c r="AB8" s="80" t="s">
        <v>57</v>
      </c>
      <c r="AC8" s="108" t="s">
        <v>57</v>
      </c>
      <c r="AD8" s="59" t="s">
        <v>57</v>
      </c>
      <c r="AE8" s="59" t="s">
        <v>57</v>
      </c>
      <c r="AF8" s="59" t="s">
        <v>57</v>
      </c>
      <c r="AG8" s="59" t="s">
        <v>57</v>
      </c>
      <c r="AH8" s="59" t="s">
        <v>57</v>
      </c>
      <c r="AI8" s="80" t="s">
        <v>57</v>
      </c>
      <c r="AJ8" s="108" t="s">
        <v>57</v>
      </c>
      <c r="AK8" s="59" t="s">
        <v>57</v>
      </c>
      <c r="AL8" s="59" t="s">
        <v>57</v>
      </c>
      <c r="AM8" s="59" t="s">
        <v>57</v>
      </c>
      <c r="AN8" s="59" t="s">
        <v>57</v>
      </c>
      <c r="AO8" s="59" t="s">
        <v>57</v>
      </c>
      <c r="AP8" s="80" t="s">
        <v>57</v>
      </c>
      <c r="AQ8" s="108" t="s">
        <v>57</v>
      </c>
      <c r="AR8" s="59" t="s">
        <v>57</v>
      </c>
      <c r="AS8" s="59" t="s">
        <v>57</v>
      </c>
      <c r="AT8" s="59" t="s">
        <v>57</v>
      </c>
      <c r="AU8" s="59" t="s">
        <v>57</v>
      </c>
      <c r="AV8" s="59" t="s">
        <v>57</v>
      </c>
      <c r="AW8" s="131" t="s">
        <v>57</v>
      </c>
      <c r="AX8" s="133">
        <v>38</v>
      </c>
    </row>
    <row r="9" spans="1:50" ht="18" customHeight="1" x14ac:dyDescent="0.3">
      <c r="A9" s="55">
        <v>4</v>
      </c>
      <c r="B9" s="119" t="str">
        <f>'เวลาเรียน (2)'!B9</f>
        <v>4837</v>
      </c>
      <c r="C9" s="127" t="str">
        <f>'เวลาเรียน (2)'!C9</f>
        <v>เด็กชายวัชรากร โพธิ์ศรี</v>
      </c>
      <c r="D9" s="128"/>
      <c r="E9" s="128"/>
      <c r="F9" s="129"/>
      <c r="G9" s="130"/>
      <c r="H9" s="131" t="s">
        <v>57</v>
      </c>
      <c r="I9" s="59" t="s">
        <v>57</v>
      </c>
      <c r="J9" s="59" t="s">
        <v>57</v>
      </c>
      <c r="K9" s="59" t="s">
        <v>57</v>
      </c>
      <c r="L9" s="59" t="s">
        <v>57</v>
      </c>
      <c r="M9" s="59" t="s">
        <v>57</v>
      </c>
      <c r="N9" s="80" t="s">
        <v>57</v>
      </c>
      <c r="O9" s="131" t="s">
        <v>57</v>
      </c>
      <c r="P9" s="59" t="s">
        <v>57</v>
      </c>
      <c r="Q9" s="59" t="s">
        <v>57</v>
      </c>
      <c r="R9" s="132" t="s">
        <v>57</v>
      </c>
      <c r="S9" s="132" t="s">
        <v>57</v>
      </c>
      <c r="T9" s="59" t="s">
        <v>57</v>
      </c>
      <c r="U9" s="80" t="s">
        <v>57</v>
      </c>
      <c r="V9" s="108" t="s">
        <v>57</v>
      </c>
      <c r="W9" s="59" t="s">
        <v>90</v>
      </c>
      <c r="X9" s="59" t="s">
        <v>57</v>
      </c>
      <c r="Y9" s="59" t="s">
        <v>57</v>
      </c>
      <c r="Z9" s="59" t="s">
        <v>57</v>
      </c>
      <c r="AA9" s="59" t="s">
        <v>57</v>
      </c>
      <c r="AB9" s="80" t="s">
        <v>57</v>
      </c>
      <c r="AC9" s="108" t="s">
        <v>57</v>
      </c>
      <c r="AD9" s="59" t="s">
        <v>57</v>
      </c>
      <c r="AE9" s="59" t="s">
        <v>57</v>
      </c>
      <c r="AF9" s="59" t="s">
        <v>57</v>
      </c>
      <c r="AG9" s="59" t="s">
        <v>57</v>
      </c>
      <c r="AH9" s="59" t="s">
        <v>57</v>
      </c>
      <c r="AI9" s="80" t="s">
        <v>57</v>
      </c>
      <c r="AJ9" s="108" t="s">
        <v>57</v>
      </c>
      <c r="AK9" s="59" t="s">
        <v>57</v>
      </c>
      <c r="AL9" s="59" t="s">
        <v>57</v>
      </c>
      <c r="AM9" s="59" t="s">
        <v>57</v>
      </c>
      <c r="AN9" s="59" t="s">
        <v>57</v>
      </c>
      <c r="AO9" s="59" t="s">
        <v>57</v>
      </c>
      <c r="AP9" s="80" t="s">
        <v>57</v>
      </c>
      <c r="AQ9" s="108" t="s">
        <v>57</v>
      </c>
      <c r="AR9" s="59" t="s">
        <v>57</v>
      </c>
      <c r="AS9" s="59" t="s">
        <v>57</v>
      </c>
      <c r="AT9" s="59" t="s">
        <v>57</v>
      </c>
      <c r="AU9" s="59" t="s">
        <v>57</v>
      </c>
      <c r="AV9" s="59" t="s">
        <v>57</v>
      </c>
      <c r="AW9" s="131" t="s">
        <v>57</v>
      </c>
      <c r="AX9" s="133">
        <v>38</v>
      </c>
    </row>
    <row r="10" spans="1:50" ht="18" customHeight="1" x14ac:dyDescent="0.3">
      <c r="A10" s="55">
        <v>5</v>
      </c>
      <c r="B10" s="119" t="str">
        <f>'เวลาเรียน (2)'!B10</f>
        <v>4897</v>
      </c>
      <c r="C10" s="127" t="str">
        <f>'เวลาเรียน (2)'!C10</f>
        <v>เด็กชายธนกฤต ดกเอียร์</v>
      </c>
      <c r="D10" s="128"/>
      <c r="E10" s="134"/>
      <c r="F10" s="129"/>
      <c r="G10" s="130"/>
      <c r="H10" s="131" t="s">
        <v>57</v>
      </c>
      <c r="I10" s="59" t="s">
        <v>57</v>
      </c>
      <c r="J10" s="59" t="s">
        <v>57</v>
      </c>
      <c r="K10" s="59" t="s">
        <v>57</v>
      </c>
      <c r="L10" s="59" t="s">
        <v>57</v>
      </c>
      <c r="M10" s="59" t="s">
        <v>57</v>
      </c>
      <c r="N10" s="80" t="s">
        <v>57</v>
      </c>
      <c r="O10" s="131" t="s">
        <v>57</v>
      </c>
      <c r="P10" s="59" t="s">
        <v>90</v>
      </c>
      <c r="Q10" s="59" t="s">
        <v>57</v>
      </c>
      <c r="R10" s="132" t="s">
        <v>57</v>
      </c>
      <c r="S10" s="132" t="s">
        <v>57</v>
      </c>
      <c r="T10" s="59" t="s">
        <v>57</v>
      </c>
      <c r="U10" s="80" t="s">
        <v>57</v>
      </c>
      <c r="V10" s="108" t="s">
        <v>57</v>
      </c>
      <c r="W10" s="59" t="s">
        <v>90</v>
      </c>
      <c r="X10" s="59" t="s">
        <v>57</v>
      </c>
      <c r="Y10" s="59" t="s">
        <v>57</v>
      </c>
      <c r="Z10" s="59" t="s">
        <v>57</v>
      </c>
      <c r="AA10" s="59" t="s">
        <v>57</v>
      </c>
      <c r="AB10" s="80" t="s">
        <v>57</v>
      </c>
      <c r="AC10" s="108" t="s">
        <v>57</v>
      </c>
      <c r="AD10" s="59" t="s">
        <v>57</v>
      </c>
      <c r="AE10" s="59" t="s">
        <v>57</v>
      </c>
      <c r="AF10" s="59" t="s">
        <v>57</v>
      </c>
      <c r="AG10" s="59" t="s">
        <v>57</v>
      </c>
      <c r="AH10" s="59" t="s">
        <v>57</v>
      </c>
      <c r="AI10" s="80" t="s">
        <v>57</v>
      </c>
      <c r="AJ10" s="108" t="s">
        <v>57</v>
      </c>
      <c r="AK10" s="59" t="s">
        <v>57</v>
      </c>
      <c r="AL10" s="59" t="s">
        <v>57</v>
      </c>
      <c r="AM10" s="59" t="s">
        <v>57</v>
      </c>
      <c r="AN10" s="59" t="s">
        <v>57</v>
      </c>
      <c r="AO10" s="59" t="s">
        <v>57</v>
      </c>
      <c r="AP10" s="80" t="s">
        <v>57</v>
      </c>
      <c r="AQ10" s="108" t="s">
        <v>57</v>
      </c>
      <c r="AR10" s="59" t="s">
        <v>57</v>
      </c>
      <c r="AS10" s="59" t="s">
        <v>57</v>
      </c>
      <c r="AT10" s="59" t="s">
        <v>57</v>
      </c>
      <c r="AU10" s="59" t="s">
        <v>57</v>
      </c>
      <c r="AV10" s="59" t="s">
        <v>57</v>
      </c>
      <c r="AW10" s="131" t="s">
        <v>57</v>
      </c>
      <c r="AX10" s="133">
        <v>34</v>
      </c>
    </row>
    <row r="11" spans="1:50" ht="18" customHeight="1" x14ac:dyDescent="0.3">
      <c r="A11" s="55">
        <v>6</v>
      </c>
      <c r="B11" s="119" t="str">
        <f>'เวลาเรียน (2)'!B11</f>
        <v>4927</v>
      </c>
      <c r="C11" s="127" t="str">
        <f>'เวลาเรียน (2)'!C11</f>
        <v>เด็กชายขัตติยะ ไตรวงค์ย้อย</v>
      </c>
      <c r="D11" s="128"/>
      <c r="E11" s="128"/>
      <c r="F11" s="129"/>
      <c r="G11" s="130"/>
      <c r="H11" s="131" t="s">
        <v>57</v>
      </c>
      <c r="I11" s="59" t="s">
        <v>57</v>
      </c>
      <c r="J11" s="59" t="s">
        <v>57</v>
      </c>
      <c r="K11" s="59" t="s">
        <v>57</v>
      </c>
      <c r="L11" s="59" t="s">
        <v>57</v>
      </c>
      <c r="M11" s="59" t="s">
        <v>57</v>
      </c>
      <c r="N11" s="80" t="s">
        <v>57</v>
      </c>
      <c r="O11" s="131" t="s">
        <v>57</v>
      </c>
      <c r="P11" s="59" t="s">
        <v>90</v>
      </c>
      <c r="Q11" s="59" t="s">
        <v>57</v>
      </c>
      <c r="R11" s="132" t="s">
        <v>57</v>
      </c>
      <c r="S11" s="132" t="s">
        <v>57</v>
      </c>
      <c r="T11" s="59" t="s">
        <v>57</v>
      </c>
      <c r="U11" s="80" t="s">
        <v>57</v>
      </c>
      <c r="V11" s="108" t="s">
        <v>57</v>
      </c>
      <c r="W11" s="59" t="s">
        <v>90</v>
      </c>
      <c r="X11" s="59" t="s">
        <v>57</v>
      </c>
      <c r="Y11" s="59" t="s">
        <v>57</v>
      </c>
      <c r="Z11" s="59" t="s">
        <v>57</v>
      </c>
      <c r="AA11" s="59" t="s">
        <v>57</v>
      </c>
      <c r="AB11" s="80" t="s">
        <v>57</v>
      </c>
      <c r="AC11" s="108" t="s">
        <v>57</v>
      </c>
      <c r="AD11" s="59" t="s">
        <v>57</v>
      </c>
      <c r="AE11" s="59" t="s">
        <v>57</v>
      </c>
      <c r="AF11" s="59" t="s">
        <v>57</v>
      </c>
      <c r="AG11" s="59" t="s">
        <v>57</v>
      </c>
      <c r="AH11" s="59" t="s">
        <v>57</v>
      </c>
      <c r="AI11" s="80" t="s">
        <v>57</v>
      </c>
      <c r="AJ11" s="108" t="s">
        <v>57</v>
      </c>
      <c r="AK11" s="59" t="s">
        <v>90</v>
      </c>
      <c r="AL11" s="59" t="s">
        <v>57</v>
      </c>
      <c r="AM11" s="59" t="s">
        <v>57</v>
      </c>
      <c r="AN11" s="59" t="s">
        <v>57</v>
      </c>
      <c r="AO11" s="59" t="s">
        <v>57</v>
      </c>
      <c r="AP11" s="80" t="s">
        <v>57</v>
      </c>
      <c r="AQ11" s="108" t="s">
        <v>57</v>
      </c>
      <c r="AR11" s="59" t="s">
        <v>57</v>
      </c>
      <c r="AS11" s="59" t="s">
        <v>57</v>
      </c>
      <c r="AT11" s="59" t="s">
        <v>57</v>
      </c>
      <c r="AU11" s="59" t="s">
        <v>57</v>
      </c>
      <c r="AV11" s="59" t="s">
        <v>57</v>
      </c>
      <c r="AW11" s="131" t="s">
        <v>57</v>
      </c>
      <c r="AX11" s="133">
        <v>30</v>
      </c>
    </row>
    <row r="12" spans="1:50" ht="18" customHeight="1" x14ac:dyDescent="0.3">
      <c r="A12" s="55">
        <v>7</v>
      </c>
      <c r="B12" s="119" t="str">
        <f>'เวลาเรียน (2)'!B12</f>
        <v>4835</v>
      </c>
      <c r="C12" s="127" t="str">
        <f>'เวลาเรียน (2)'!C12</f>
        <v>เด็กชายภูวนัตถ์ บุญมาก</v>
      </c>
      <c r="D12" s="128"/>
      <c r="E12" s="128"/>
      <c r="F12" s="129"/>
      <c r="G12" s="130"/>
      <c r="H12" s="131" t="s">
        <v>57</v>
      </c>
      <c r="I12" s="59" t="s">
        <v>57</v>
      </c>
      <c r="J12" s="59" t="s">
        <v>57</v>
      </c>
      <c r="K12" s="59" t="s">
        <v>57</v>
      </c>
      <c r="L12" s="59" t="s">
        <v>57</v>
      </c>
      <c r="M12" s="59" t="s">
        <v>57</v>
      </c>
      <c r="N12" s="80" t="s">
        <v>57</v>
      </c>
      <c r="O12" s="131" t="s">
        <v>57</v>
      </c>
      <c r="P12" s="59" t="s">
        <v>57</v>
      </c>
      <c r="Q12" s="59" t="s">
        <v>57</v>
      </c>
      <c r="R12" s="132" t="s">
        <v>57</v>
      </c>
      <c r="S12" s="132" t="s">
        <v>57</v>
      </c>
      <c r="T12" s="59" t="s">
        <v>57</v>
      </c>
      <c r="U12" s="80" t="s">
        <v>57</v>
      </c>
      <c r="V12" s="108" t="s">
        <v>57</v>
      </c>
      <c r="W12" s="59" t="s">
        <v>90</v>
      </c>
      <c r="X12" s="59" t="s">
        <v>57</v>
      </c>
      <c r="Y12" s="59" t="s">
        <v>57</v>
      </c>
      <c r="Z12" s="59" t="s">
        <v>57</v>
      </c>
      <c r="AA12" s="59" t="s">
        <v>57</v>
      </c>
      <c r="AB12" s="80" t="s">
        <v>57</v>
      </c>
      <c r="AC12" s="108" t="s">
        <v>57</v>
      </c>
      <c r="AD12" s="59" t="s">
        <v>57</v>
      </c>
      <c r="AE12" s="59" t="s">
        <v>57</v>
      </c>
      <c r="AF12" s="59" t="s">
        <v>57</v>
      </c>
      <c r="AG12" s="59" t="s">
        <v>57</v>
      </c>
      <c r="AH12" s="59" t="s">
        <v>57</v>
      </c>
      <c r="AI12" s="80" t="s">
        <v>57</v>
      </c>
      <c r="AJ12" s="108" t="s">
        <v>57</v>
      </c>
      <c r="AK12" s="59" t="s">
        <v>90</v>
      </c>
      <c r="AL12" s="59" t="s">
        <v>57</v>
      </c>
      <c r="AM12" s="59" t="s">
        <v>57</v>
      </c>
      <c r="AN12" s="59" t="s">
        <v>57</v>
      </c>
      <c r="AO12" s="59" t="s">
        <v>57</v>
      </c>
      <c r="AP12" s="80" t="s">
        <v>57</v>
      </c>
      <c r="AQ12" s="108" t="s">
        <v>57</v>
      </c>
      <c r="AR12" s="59" t="s">
        <v>57</v>
      </c>
      <c r="AS12" s="59" t="s">
        <v>57</v>
      </c>
      <c r="AT12" s="59" t="s">
        <v>57</v>
      </c>
      <c r="AU12" s="59" t="s">
        <v>57</v>
      </c>
      <c r="AV12" s="59" t="s">
        <v>57</v>
      </c>
      <c r="AW12" s="131" t="s">
        <v>57</v>
      </c>
      <c r="AX12" s="133">
        <v>32</v>
      </c>
    </row>
    <row r="13" spans="1:50" ht="18" customHeight="1" x14ac:dyDescent="0.3">
      <c r="A13" s="55">
        <v>8</v>
      </c>
      <c r="B13" s="119" t="str">
        <f>'เวลาเรียน (2)'!B13</f>
        <v>4842</v>
      </c>
      <c r="C13" s="127" t="str">
        <f>'เวลาเรียน (2)'!C13</f>
        <v>เด็กหญิงบงกช แสงนนท์</v>
      </c>
      <c r="D13" s="128"/>
      <c r="E13" s="128"/>
      <c r="F13" s="129"/>
      <c r="G13" s="130"/>
      <c r="H13" s="131" t="s">
        <v>57</v>
      </c>
      <c r="I13" s="59" t="s">
        <v>57</v>
      </c>
      <c r="J13" s="59" t="s">
        <v>57</v>
      </c>
      <c r="K13" s="59" t="s">
        <v>57</v>
      </c>
      <c r="L13" s="59" t="s">
        <v>57</v>
      </c>
      <c r="M13" s="59" t="s">
        <v>57</v>
      </c>
      <c r="N13" s="80" t="s">
        <v>57</v>
      </c>
      <c r="O13" s="131" t="s">
        <v>57</v>
      </c>
      <c r="P13" s="59" t="s">
        <v>57</v>
      </c>
      <c r="Q13" s="59" t="s">
        <v>57</v>
      </c>
      <c r="R13" s="132" t="s">
        <v>57</v>
      </c>
      <c r="S13" s="132" t="s">
        <v>57</v>
      </c>
      <c r="T13" s="59" t="s">
        <v>57</v>
      </c>
      <c r="U13" s="80" t="s">
        <v>57</v>
      </c>
      <c r="V13" s="108" t="s">
        <v>57</v>
      </c>
      <c r="W13" s="59" t="s">
        <v>90</v>
      </c>
      <c r="X13" s="59" t="s">
        <v>57</v>
      </c>
      <c r="Y13" s="59" t="s">
        <v>57</v>
      </c>
      <c r="Z13" s="59" t="s">
        <v>57</v>
      </c>
      <c r="AA13" s="59" t="s">
        <v>57</v>
      </c>
      <c r="AB13" s="80" t="s">
        <v>57</v>
      </c>
      <c r="AC13" s="108" t="s">
        <v>57</v>
      </c>
      <c r="AD13" s="59" t="s">
        <v>57</v>
      </c>
      <c r="AE13" s="59" t="s">
        <v>57</v>
      </c>
      <c r="AF13" s="59" t="s">
        <v>57</v>
      </c>
      <c r="AG13" s="59" t="s">
        <v>57</v>
      </c>
      <c r="AH13" s="59" t="s">
        <v>57</v>
      </c>
      <c r="AI13" s="80" t="s">
        <v>57</v>
      </c>
      <c r="AJ13" s="108" t="s">
        <v>57</v>
      </c>
      <c r="AK13" s="59" t="s">
        <v>57</v>
      </c>
      <c r="AL13" s="59" t="s">
        <v>57</v>
      </c>
      <c r="AM13" s="59" t="s">
        <v>57</v>
      </c>
      <c r="AN13" s="59" t="s">
        <v>57</v>
      </c>
      <c r="AO13" s="59" t="s">
        <v>57</v>
      </c>
      <c r="AP13" s="80" t="s">
        <v>57</v>
      </c>
      <c r="AQ13" s="108" t="s">
        <v>57</v>
      </c>
      <c r="AR13" s="59" t="s">
        <v>57</v>
      </c>
      <c r="AS13" s="59" t="s">
        <v>57</v>
      </c>
      <c r="AT13" s="59" t="s">
        <v>57</v>
      </c>
      <c r="AU13" s="59" t="s">
        <v>57</v>
      </c>
      <c r="AV13" s="59" t="s">
        <v>57</v>
      </c>
      <c r="AW13" s="131" t="s">
        <v>57</v>
      </c>
      <c r="AX13" s="133">
        <v>36</v>
      </c>
    </row>
    <row r="14" spans="1:50" ht="18" customHeight="1" x14ac:dyDescent="0.3">
      <c r="A14" s="55">
        <v>9</v>
      </c>
      <c r="B14" s="119" t="str">
        <f>'เวลาเรียน (2)'!B14</f>
        <v>4838</v>
      </c>
      <c r="C14" s="127" t="str">
        <f>'เวลาเรียน (2)'!C14</f>
        <v>เด็กหญิงกุลฑีรา มังฉกรรจ์</v>
      </c>
      <c r="D14" s="128"/>
      <c r="E14" s="128"/>
      <c r="F14" s="135"/>
      <c r="G14" s="136"/>
      <c r="H14" s="131" t="s">
        <v>57</v>
      </c>
      <c r="I14" s="59" t="s">
        <v>57</v>
      </c>
      <c r="J14" s="59" t="s">
        <v>57</v>
      </c>
      <c r="K14" s="59" t="s">
        <v>57</v>
      </c>
      <c r="L14" s="59" t="s">
        <v>57</v>
      </c>
      <c r="M14" s="59" t="s">
        <v>57</v>
      </c>
      <c r="N14" s="80" t="s">
        <v>57</v>
      </c>
      <c r="O14" s="131" t="s">
        <v>57</v>
      </c>
      <c r="P14" s="59" t="s">
        <v>57</v>
      </c>
      <c r="Q14" s="59" t="s">
        <v>57</v>
      </c>
      <c r="R14" s="132" t="s">
        <v>57</v>
      </c>
      <c r="S14" s="132" t="s">
        <v>57</v>
      </c>
      <c r="T14" s="59" t="s">
        <v>57</v>
      </c>
      <c r="U14" s="80" t="s">
        <v>57</v>
      </c>
      <c r="V14" s="108" t="s">
        <v>57</v>
      </c>
      <c r="W14" s="59" t="s">
        <v>90</v>
      </c>
      <c r="X14" s="59" t="s">
        <v>57</v>
      </c>
      <c r="Y14" s="59" t="s">
        <v>57</v>
      </c>
      <c r="Z14" s="59" t="s">
        <v>57</v>
      </c>
      <c r="AA14" s="59" t="s">
        <v>57</v>
      </c>
      <c r="AB14" s="80" t="s">
        <v>57</v>
      </c>
      <c r="AC14" s="108" t="s">
        <v>57</v>
      </c>
      <c r="AD14" s="59" t="s">
        <v>57</v>
      </c>
      <c r="AE14" s="59" t="s">
        <v>57</v>
      </c>
      <c r="AF14" s="59" t="s">
        <v>57</v>
      </c>
      <c r="AG14" s="59" t="s">
        <v>57</v>
      </c>
      <c r="AH14" s="59" t="s">
        <v>57</v>
      </c>
      <c r="AI14" s="80" t="s">
        <v>57</v>
      </c>
      <c r="AJ14" s="108" t="s">
        <v>57</v>
      </c>
      <c r="AK14" s="59" t="s">
        <v>57</v>
      </c>
      <c r="AL14" s="59" t="s">
        <v>57</v>
      </c>
      <c r="AM14" s="59" t="s">
        <v>57</v>
      </c>
      <c r="AN14" s="59" t="s">
        <v>57</v>
      </c>
      <c r="AO14" s="59" t="s">
        <v>57</v>
      </c>
      <c r="AP14" s="80" t="s">
        <v>57</v>
      </c>
      <c r="AQ14" s="108" t="s">
        <v>57</v>
      </c>
      <c r="AR14" s="59" t="s">
        <v>57</v>
      </c>
      <c r="AS14" s="59" t="s">
        <v>57</v>
      </c>
      <c r="AT14" s="59" t="s">
        <v>57</v>
      </c>
      <c r="AU14" s="59" t="s">
        <v>57</v>
      </c>
      <c r="AV14" s="59" t="s">
        <v>57</v>
      </c>
      <c r="AW14" s="131" t="s">
        <v>57</v>
      </c>
      <c r="AX14" s="133">
        <v>38</v>
      </c>
    </row>
    <row r="15" spans="1:50" ht="18" customHeight="1" x14ac:dyDescent="0.3">
      <c r="A15" s="55">
        <v>10</v>
      </c>
      <c r="B15" s="119" t="str">
        <f>'เวลาเรียน (2)'!B15</f>
        <v>4845</v>
      </c>
      <c r="C15" s="127" t="str">
        <f>'เวลาเรียน (2)'!C15</f>
        <v>เด็กหญิงสุชาวดี ไฮวัง</v>
      </c>
      <c r="D15" s="128"/>
      <c r="E15" s="128"/>
      <c r="F15" s="129"/>
      <c r="G15" s="130"/>
      <c r="H15" s="131" t="s">
        <v>57</v>
      </c>
      <c r="I15" s="59" t="s">
        <v>57</v>
      </c>
      <c r="J15" s="59" t="s">
        <v>57</v>
      </c>
      <c r="K15" s="59" t="s">
        <v>57</v>
      </c>
      <c r="L15" s="59" t="s">
        <v>57</v>
      </c>
      <c r="M15" s="59" t="s">
        <v>57</v>
      </c>
      <c r="N15" s="80" t="s">
        <v>57</v>
      </c>
      <c r="O15" s="131" t="s">
        <v>57</v>
      </c>
      <c r="P15" s="59" t="s">
        <v>57</v>
      </c>
      <c r="Q15" s="59" t="s">
        <v>57</v>
      </c>
      <c r="R15" s="132" t="s">
        <v>57</v>
      </c>
      <c r="S15" s="132" t="s">
        <v>57</v>
      </c>
      <c r="T15" s="59" t="s">
        <v>57</v>
      </c>
      <c r="U15" s="80" t="s">
        <v>57</v>
      </c>
      <c r="V15" s="108" t="s">
        <v>57</v>
      </c>
      <c r="W15" s="59" t="s">
        <v>90</v>
      </c>
      <c r="X15" s="59" t="s">
        <v>57</v>
      </c>
      <c r="Y15" s="59" t="s">
        <v>57</v>
      </c>
      <c r="Z15" s="59" t="s">
        <v>57</v>
      </c>
      <c r="AA15" s="59" t="s">
        <v>57</v>
      </c>
      <c r="AB15" s="80" t="s">
        <v>57</v>
      </c>
      <c r="AC15" s="108" t="s">
        <v>57</v>
      </c>
      <c r="AD15" s="59" t="s">
        <v>57</v>
      </c>
      <c r="AE15" s="59" t="s">
        <v>57</v>
      </c>
      <c r="AF15" s="59" t="s">
        <v>57</v>
      </c>
      <c r="AG15" s="59" t="s">
        <v>57</v>
      </c>
      <c r="AH15" s="59" t="s">
        <v>57</v>
      </c>
      <c r="AI15" s="80" t="s">
        <v>57</v>
      </c>
      <c r="AJ15" s="108" t="s">
        <v>57</v>
      </c>
      <c r="AK15" s="59" t="s">
        <v>57</v>
      </c>
      <c r="AL15" s="59" t="s">
        <v>57</v>
      </c>
      <c r="AM15" s="59" t="s">
        <v>57</v>
      </c>
      <c r="AN15" s="59" t="s">
        <v>57</v>
      </c>
      <c r="AO15" s="59" t="s">
        <v>57</v>
      </c>
      <c r="AP15" s="80" t="s">
        <v>57</v>
      </c>
      <c r="AQ15" s="108" t="s">
        <v>57</v>
      </c>
      <c r="AR15" s="59" t="s">
        <v>57</v>
      </c>
      <c r="AS15" s="59" t="s">
        <v>57</v>
      </c>
      <c r="AT15" s="59" t="s">
        <v>57</v>
      </c>
      <c r="AU15" s="59" t="s">
        <v>57</v>
      </c>
      <c r="AV15" s="59" t="s">
        <v>57</v>
      </c>
      <c r="AW15" s="131" t="s">
        <v>57</v>
      </c>
      <c r="AX15" s="133">
        <v>38</v>
      </c>
    </row>
    <row r="16" spans="1:50" ht="18" customHeight="1" x14ac:dyDescent="0.3">
      <c r="A16" s="55">
        <v>11</v>
      </c>
      <c r="B16" s="119" t="str">
        <f>'เวลาเรียน (2)'!B16</f>
        <v>4846</v>
      </c>
      <c r="C16" s="127" t="str">
        <f>'เวลาเรียน (2)'!C16</f>
        <v>เด็กหญิงธนิดา แก้วมุงคุณ</v>
      </c>
      <c r="D16" s="128"/>
      <c r="E16" s="128"/>
      <c r="F16" s="129"/>
      <c r="G16" s="130"/>
      <c r="H16" s="131" t="s">
        <v>57</v>
      </c>
      <c r="I16" s="59" t="s">
        <v>57</v>
      </c>
      <c r="J16" s="59" t="s">
        <v>57</v>
      </c>
      <c r="K16" s="59" t="s">
        <v>57</v>
      </c>
      <c r="L16" s="59" t="s">
        <v>57</v>
      </c>
      <c r="M16" s="59" t="s">
        <v>57</v>
      </c>
      <c r="N16" s="80" t="s">
        <v>57</v>
      </c>
      <c r="O16" s="131" t="s">
        <v>57</v>
      </c>
      <c r="P16" s="59" t="s">
        <v>57</v>
      </c>
      <c r="Q16" s="59" t="s">
        <v>57</v>
      </c>
      <c r="R16" s="132" t="s">
        <v>57</v>
      </c>
      <c r="S16" s="132" t="s">
        <v>57</v>
      </c>
      <c r="T16" s="59" t="s">
        <v>57</v>
      </c>
      <c r="U16" s="80" t="s">
        <v>57</v>
      </c>
      <c r="V16" s="108" t="s">
        <v>57</v>
      </c>
      <c r="W16" s="59" t="s">
        <v>90</v>
      </c>
      <c r="X16" s="59" t="s">
        <v>57</v>
      </c>
      <c r="Y16" s="59" t="s">
        <v>57</v>
      </c>
      <c r="Z16" s="59" t="s">
        <v>57</v>
      </c>
      <c r="AA16" s="59" t="s">
        <v>57</v>
      </c>
      <c r="AB16" s="80" t="s">
        <v>57</v>
      </c>
      <c r="AC16" s="108" t="s">
        <v>57</v>
      </c>
      <c r="AD16" s="59" t="s">
        <v>57</v>
      </c>
      <c r="AE16" s="59" t="s">
        <v>57</v>
      </c>
      <c r="AF16" s="59" t="s">
        <v>57</v>
      </c>
      <c r="AG16" s="59" t="s">
        <v>57</v>
      </c>
      <c r="AH16" s="59" t="s">
        <v>57</v>
      </c>
      <c r="AI16" s="80" t="s">
        <v>57</v>
      </c>
      <c r="AJ16" s="108" t="s">
        <v>57</v>
      </c>
      <c r="AK16" s="59" t="s">
        <v>57</v>
      </c>
      <c r="AL16" s="59" t="s">
        <v>57</v>
      </c>
      <c r="AM16" s="59" t="s">
        <v>57</v>
      </c>
      <c r="AN16" s="59" t="s">
        <v>57</v>
      </c>
      <c r="AO16" s="59" t="s">
        <v>57</v>
      </c>
      <c r="AP16" s="80" t="s">
        <v>57</v>
      </c>
      <c r="AQ16" s="108" t="s">
        <v>57</v>
      </c>
      <c r="AR16" s="59" t="s">
        <v>57</v>
      </c>
      <c r="AS16" s="59" t="s">
        <v>57</v>
      </c>
      <c r="AT16" s="59" t="s">
        <v>57</v>
      </c>
      <c r="AU16" s="59" t="s">
        <v>57</v>
      </c>
      <c r="AV16" s="59" t="s">
        <v>57</v>
      </c>
      <c r="AW16" s="131" t="s">
        <v>57</v>
      </c>
      <c r="AX16" s="133">
        <v>38</v>
      </c>
    </row>
    <row r="17" spans="1:50" ht="18" customHeight="1" x14ac:dyDescent="0.3">
      <c r="A17" s="55">
        <v>12</v>
      </c>
      <c r="B17" s="119" t="str">
        <f>'เวลาเรียน (2)'!B17</f>
        <v>4840</v>
      </c>
      <c r="C17" s="127" t="str">
        <f>'เวลาเรียน (2)'!C17</f>
        <v>เด็กหญิงธัญญารัตน์ ไชยเทพ</v>
      </c>
      <c r="D17" s="128"/>
      <c r="E17" s="128"/>
      <c r="F17" s="129"/>
      <c r="G17" s="130"/>
      <c r="H17" s="131" t="s">
        <v>57</v>
      </c>
      <c r="I17" s="59" t="s">
        <v>57</v>
      </c>
      <c r="J17" s="59" t="s">
        <v>57</v>
      </c>
      <c r="K17" s="59" t="s">
        <v>57</v>
      </c>
      <c r="L17" s="59" t="s">
        <v>57</v>
      </c>
      <c r="M17" s="59" t="s">
        <v>57</v>
      </c>
      <c r="N17" s="80" t="s">
        <v>57</v>
      </c>
      <c r="O17" s="131" t="s">
        <v>57</v>
      </c>
      <c r="P17" s="59" t="s">
        <v>57</v>
      </c>
      <c r="Q17" s="59" t="s">
        <v>57</v>
      </c>
      <c r="R17" s="132" t="s">
        <v>57</v>
      </c>
      <c r="S17" s="132" t="s">
        <v>57</v>
      </c>
      <c r="T17" s="59" t="s">
        <v>57</v>
      </c>
      <c r="U17" s="80" t="s">
        <v>57</v>
      </c>
      <c r="V17" s="108" t="s">
        <v>57</v>
      </c>
      <c r="W17" s="59" t="s">
        <v>90</v>
      </c>
      <c r="X17" s="59" t="s">
        <v>57</v>
      </c>
      <c r="Y17" s="59" t="s">
        <v>57</v>
      </c>
      <c r="Z17" s="59" t="s">
        <v>57</v>
      </c>
      <c r="AA17" s="59" t="s">
        <v>57</v>
      </c>
      <c r="AB17" s="80" t="s">
        <v>57</v>
      </c>
      <c r="AC17" s="108" t="s">
        <v>57</v>
      </c>
      <c r="AD17" s="59" t="s">
        <v>57</v>
      </c>
      <c r="AE17" s="59" t="s">
        <v>57</v>
      </c>
      <c r="AF17" s="59" t="s">
        <v>57</v>
      </c>
      <c r="AG17" s="59" t="s">
        <v>57</v>
      </c>
      <c r="AH17" s="59" t="s">
        <v>57</v>
      </c>
      <c r="AI17" s="80" t="s">
        <v>57</v>
      </c>
      <c r="AJ17" s="108" t="s">
        <v>57</v>
      </c>
      <c r="AK17" s="59" t="s">
        <v>57</v>
      </c>
      <c r="AL17" s="59" t="s">
        <v>57</v>
      </c>
      <c r="AM17" s="59" t="s">
        <v>57</v>
      </c>
      <c r="AN17" s="59" t="s">
        <v>57</v>
      </c>
      <c r="AO17" s="59" t="s">
        <v>57</v>
      </c>
      <c r="AP17" s="80" t="s">
        <v>57</v>
      </c>
      <c r="AQ17" s="108" t="s">
        <v>57</v>
      </c>
      <c r="AR17" s="59" t="s">
        <v>57</v>
      </c>
      <c r="AS17" s="59" t="s">
        <v>57</v>
      </c>
      <c r="AT17" s="59" t="s">
        <v>57</v>
      </c>
      <c r="AU17" s="59" t="s">
        <v>57</v>
      </c>
      <c r="AV17" s="59" t="s">
        <v>57</v>
      </c>
      <c r="AW17" s="131" t="s">
        <v>57</v>
      </c>
      <c r="AX17" s="133">
        <v>38</v>
      </c>
    </row>
    <row r="18" spans="1:50" ht="18" customHeight="1" x14ac:dyDescent="0.3">
      <c r="A18" s="55">
        <v>13</v>
      </c>
      <c r="B18" s="119" t="str">
        <f>'เวลาเรียน (2)'!B18</f>
        <v>4841</v>
      </c>
      <c r="C18" s="127" t="str">
        <f>'เวลาเรียน (2)'!C18</f>
        <v>เด็กหญิงนภัสสร ประฮาดไชย</v>
      </c>
      <c r="D18" s="128"/>
      <c r="E18" s="128"/>
      <c r="F18" s="129"/>
      <c r="G18" s="130"/>
      <c r="H18" s="131" t="s">
        <v>57</v>
      </c>
      <c r="I18" s="59" t="s">
        <v>57</v>
      </c>
      <c r="J18" s="59" t="s">
        <v>57</v>
      </c>
      <c r="K18" s="59" t="s">
        <v>57</v>
      </c>
      <c r="L18" s="59" t="s">
        <v>57</v>
      </c>
      <c r="M18" s="59" t="s">
        <v>57</v>
      </c>
      <c r="N18" s="80" t="s">
        <v>57</v>
      </c>
      <c r="O18" s="131" t="s">
        <v>57</v>
      </c>
      <c r="P18" s="59" t="s">
        <v>57</v>
      </c>
      <c r="Q18" s="59" t="s">
        <v>57</v>
      </c>
      <c r="R18" s="132" t="s">
        <v>57</v>
      </c>
      <c r="S18" s="132" t="s">
        <v>57</v>
      </c>
      <c r="T18" s="59" t="s">
        <v>57</v>
      </c>
      <c r="U18" s="80" t="s">
        <v>57</v>
      </c>
      <c r="V18" s="108" t="s">
        <v>57</v>
      </c>
      <c r="W18" s="59" t="s">
        <v>90</v>
      </c>
      <c r="X18" s="59" t="s">
        <v>57</v>
      </c>
      <c r="Y18" s="59" t="s">
        <v>57</v>
      </c>
      <c r="Z18" s="59" t="s">
        <v>57</v>
      </c>
      <c r="AA18" s="59" t="s">
        <v>57</v>
      </c>
      <c r="AB18" s="80" t="s">
        <v>57</v>
      </c>
      <c r="AC18" s="108" t="s">
        <v>57</v>
      </c>
      <c r="AD18" s="59" t="s">
        <v>57</v>
      </c>
      <c r="AE18" s="59" t="s">
        <v>57</v>
      </c>
      <c r="AF18" s="59" t="s">
        <v>57</v>
      </c>
      <c r="AG18" s="59" t="s">
        <v>57</v>
      </c>
      <c r="AH18" s="59" t="s">
        <v>57</v>
      </c>
      <c r="AI18" s="80" t="s">
        <v>57</v>
      </c>
      <c r="AJ18" s="108" t="s">
        <v>57</v>
      </c>
      <c r="AK18" s="59" t="s">
        <v>57</v>
      </c>
      <c r="AL18" s="59" t="s">
        <v>57</v>
      </c>
      <c r="AM18" s="59" t="s">
        <v>57</v>
      </c>
      <c r="AN18" s="59" t="s">
        <v>57</v>
      </c>
      <c r="AO18" s="59" t="s">
        <v>57</v>
      </c>
      <c r="AP18" s="80" t="s">
        <v>57</v>
      </c>
      <c r="AQ18" s="108" t="s">
        <v>57</v>
      </c>
      <c r="AR18" s="59" t="s">
        <v>57</v>
      </c>
      <c r="AS18" s="59" t="s">
        <v>57</v>
      </c>
      <c r="AT18" s="59" t="s">
        <v>57</v>
      </c>
      <c r="AU18" s="59" t="s">
        <v>57</v>
      </c>
      <c r="AV18" s="59" t="s">
        <v>57</v>
      </c>
      <c r="AW18" s="131" t="s">
        <v>57</v>
      </c>
      <c r="AX18" s="133">
        <v>38</v>
      </c>
    </row>
    <row r="19" spans="1:50" ht="18" customHeight="1" x14ac:dyDescent="0.3">
      <c r="A19" s="55">
        <v>14</v>
      </c>
      <c r="B19" s="119" t="str">
        <f>'เวลาเรียน (2)'!B19</f>
        <v>4843</v>
      </c>
      <c r="C19" s="127" t="str">
        <f>'เวลาเรียน (2)'!C19</f>
        <v>เด็กหญิงมณีญานันท์ คำปัญโญ</v>
      </c>
      <c r="D19" s="128"/>
      <c r="E19" s="128"/>
      <c r="F19" s="129"/>
      <c r="G19" s="130"/>
      <c r="H19" s="131" t="s">
        <v>57</v>
      </c>
      <c r="I19" s="59" t="s">
        <v>57</v>
      </c>
      <c r="J19" s="59" t="s">
        <v>57</v>
      </c>
      <c r="K19" s="59" t="s">
        <v>57</v>
      </c>
      <c r="L19" s="59" t="s">
        <v>57</v>
      </c>
      <c r="M19" s="59" t="s">
        <v>57</v>
      </c>
      <c r="N19" s="80" t="s">
        <v>57</v>
      </c>
      <c r="O19" s="131" t="s">
        <v>57</v>
      </c>
      <c r="P19" s="59" t="s">
        <v>94</v>
      </c>
      <c r="Q19" s="59" t="s">
        <v>57</v>
      </c>
      <c r="R19" s="132" t="s">
        <v>57</v>
      </c>
      <c r="S19" s="132" t="s">
        <v>57</v>
      </c>
      <c r="T19" s="59" t="s">
        <v>57</v>
      </c>
      <c r="U19" s="80" t="s">
        <v>57</v>
      </c>
      <c r="V19" s="108" t="s">
        <v>57</v>
      </c>
      <c r="W19" s="59" t="s">
        <v>90</v>
      </c>
      <c r="X19" s="59" t="s">
        <v>57</v>
      </c>
      <c r="Y19" s="59" t="s">
        <v>57</v>
      </c>
      <c r="Z19" s="59" t="s">
        <v>57</v>
      </c>
      <c r="AA19" s="59" t="s">
        <v>57</v>
      </c>
      <c r="AB19" s="80" t="s">
        <v>57</v>
      </c>
      <c r="AC19" s="108" t="s">
        <v>57</v>
      </c>
      <c r="AD19" s="59" t="s">
        <v>57</v>
      </c>
      <c r="AE19" s="59" t="s">
        <v>57</v>
      </c>
      <c r="AF19" s="59" t="s">
        <v>57</v>
      </c>
      <c r="AG19" s="59" t="s">
        <v>57</v>
      </c>
      <c r="AH19" s="59" t="s">
        <v>57</v>
      </c>
      <c r="AI19" s="80" t="s">
        <v>57</v>
      </c>
      <c r="AJ19" s="108" t="s">
        <v>57</v>
      </c>
      <c r="AK19" s="59" t="s">
        <v>57</v>
      </c>
      <c r="AL19" s="59" t="s">
        <v>57</v>
      </c>
      <c r="AM19" s="59" t="s">
        <v>57</v>
      </c>
      <c r="AN19" s="59" t="s">
        <v>57</v>
      </c>
      <c r="AO19" s="59" t="s">
        <v>57</v>
      </c>
      <c r="AP19" s="80" t="s">
        <v>57</v>
      </c>
      <c r="AQ19" s="108" t="s">
        <v>57</v>
      </c>
      <c r="AR19" s="59" t="s">
        <v>57</v>
      </c>
      <c r="AS19" s="59" t="s">
        <v>57</v>
      </c>
      <c r="AT19" s="59" t="s">
        <v>57</v>
      </c>
      <c r="AU19" s="59" t="s">
        <v>57</v>
      </c>
      <c r="AV19" s="59" t="s">
        <v>57</v>
      </c>
      <c r="AW19" s="131" t="s">
        <v>57</v>
      </c>
      <c r="AX19" s="133">
        <v>36</v>
      </c>
    </row>
    <row r="20" spans="1:50" ht="18" customHeight="1" x14ac:dyDescent="0.3">
      <c r="A20" s="55">
        <v>15</v>
      </c>
      <c r="B20" s="119" t="str">
        <f>'เวลาเรียน (2)'!B20</f>
        <v>5012</v>
      </c>
      <c r="C20" s="127" t="str">
        <f>'เวลาเรียน (2)'!C20</f>
        <v>เด็กหญิงธัญชนก อินทรภูมิ</v>
      </c>
      <c r="D20" s="128"/>
      <c r="E20" s="128"/>
      <c r="F20" s="129"/>
      <c r="G20" s="130"/>
      <c r="H20" s="131" t="s">
        <v>57</v>
      </c>
      <c r="I20" s="59" t="s">
        <v>57</v>
      </c>
      <c r="J20" s="59" t="s">
        <v>57</v>
      </c>
      <c r="K20" s="59" t="s">
        <v>57</v>
      </c>
      <c r="L20" s="59" t="s">
        <v>57</v>
      </c>
      <c r="M20" s="59" t="s">
        <v>57</v>
      </c>
      <c r="N20" s="80" t="s">
        <v>57</v>
      </c>
      <c r="O20" s="131" t="s">
        <v>57</v>
      </c>
      <c r="P20" s="59" t="s">
        <v>57</v>
      </c>
      <c r="Q20" s="59" t="s">
        <v>57</v>
      </c>
      <c r="R20" s="132" t="s">
        <v>57</v>
      </c>
      <c r="S20" s="132" t="s">
        <v>57</v>
      </c>
      <c r="T20" s="59" t="s">
        <v>57</v>
      </c>
      <c r="U20" s="80" t="s">
        <v>57</v>
      </c>
      <c r="V20" s="108" t="s">
        <v>57</v>
      </c>
      <c r="W20" s="59" t="s">
        <v>90</v>
      </c>
      <c r="X20" s="59" t="s">
        <v>57</v>
      </c>
      <c r="Y20" s="59" t="s">
        <v>57</v>
      </c>
      <c r="Z20" s="59" t="s">
        <v>57</v>
      </c>
      <c r="AA20" s="59" t="s">
        <v>57</v>
      </c>
      <c r="AB20" s="80" t="s">
        <v>57</v>
      </c>
      <c r="AC20" s="108" t="s">
        <v>57</v>
      </c>
      <c r="AD20" s="59" t="s">
        <v>57</v>
      </c>
      <c r="AE20" s="59" t="s">
        <v>57</v>
      </c>
      <c r="AF20" s="59" t="s">
        <v>57</v>
      </c>
      <c r="AG20" s="59" t="s">
        <v>57</v>
      </c>
      <c r="AH20" s="59" t="s">
        <v>57</v>
      </c>
      <c r="AI20" s="80" t="s">
        <v>57</v>
      </c>
      <c r="AJ20" s="108" t="s">
        <v>57</v>
      </c>
      <c r="AK20" s="59" t="s">
        <v>57</v>
      </c>
      <c r="AL20" s="59" t="s">
        <v>57</v>
      </c>
      <c r="AM20" s="59" t="s">
        <v>57</v>
      </c>
      <c r="AN20" s="59" t="s">
        <v>57</v>
      </c>
      <c r="AO20" s="59" t="s">
        <v>57</v>
      </c>
      <c r="AP20" s="80" t="s">
        <v>57</v>
      </c>
      <c r="AQ20" s="108" t="s">
        <v>57</v>
      </c>
      <c r="AR20" s="59" t="s">
        <v>57</v>
      </c>
      <c r="AS20" s="59" t="s">
        <v>57</v>
      </c>
      <c r="AT20" s="59" t="s">
        <v>57</v>
      </c>
      <c r="AU20" s="59" t="s">
        <v>57</v>
      </c>
      <c r="AV20" s="59" t="s">
        <v>57</v>
      </c>
      <c r="AW20" s="131" t="s">
        <v>57</v>
      </c>
      <c r="AX20" s="133">
        <v>36</v>
      </c>
    </row>
    <row r="21" spans="1:50" ht="18" customHeight="1" x14ac:dyDescent="0.3">
      <c r="A21" s="55">
        <v>16</v>
      </c>
      <c r="B21" s="119" t="str">
        <f>'เวลาเรียน (2)'!B21</f>
        <v>5013</v>
      </c>
      <c r="C21" s="127" t="str">
        <f>'เวลาเรียน (2)'!C21</f>
        <v>เด็กชายนันทกร ปรางค์ทอง</v>
      </c>
      <c r="D21" s="128"/>
      <c r="E21" s="128"/>
      <c r="F21" s="129"/>
      <c r="G21" s="130"/>
      <c r="H21" s="131" t="s">
        <v>57</v>
      </c>
      <c r="I21" s="59" t="s">
        <v>57</v>
      </c>
      <c r="J21" s="59" t="s">
        <v>57</v>
      </c>
      <c r="K21" s="59" t="s">
        <v>57</v>
      </c>
      <c r="L21" s="59" t="s">
        <v>57</v>
      </c>
      <c r="M21" s="59" t="s">
        <v>57</v>
      </c>
      <c r="N21" s="80" t="s">
        <v>57</v>
      </c>
      <c r="O21" s="131" t="s">
        <v>57</v>
      </c>
      <c r="P21" s="59" t="s">
        <v>90</v>
      </c>
      <c r="Q21" s="59" t="s">
        <v>57</v>
      </c>
      <c r="R21" s="132" t="s">
        <v>57</v>
      </c>
      <c r="S21" s="132" t="s">
        <v>57</v>
      </c>
      <c r="T21" s="59" t="s">
        <v>57</v>
      </c>
      <c r="U21" s="80" t="s">
        <v>57</v>
      </c>
      <c r="V21" s="108" t="s">
        <v>57</v>
      </c>
      <c r="W21" s="59" t="s">
        <v>90</v>
      </c>
      <c r="X21" s="59" t="s">
        <v>57</v>
      </c>
      <c r="Y21" s="59" t="s">
        <v>57</v>
      </c>
      <c r="Z21" s="59" t="s">
        <v>57</v>
      </c>
      <c r="AA21" s="59" t="s">
        <v>57</v>
      </c>
      <c r="AB21" s="80" t="s">
        <v>57</v>
      </c>
      <c r="AC21" s="108" t="s">
        <v>57</v>
      </c>
      <c r="AD21" s="59" t="s">
        <v>57</v>
      </c>
      <c r="AE21" s="59" t="s">
        <v>57</v>
      </c>
      <c r="AF21" s="59" t="s">
        <v>57</v>
      </c>
      <c r="AG21" s="59" t="s">
        <v>57</v>
      </c>
      <c r="AH21" s="59" t="s">
        <v>57</v>
      </c>
      <c r="AI21" s="80" t="s">
        <v>57</v>
      </c>
      <c r="AJ21" s="108" t="s">
        <v>57</v>
      </c>
      <c r="AK21" s="59" t="s">
        <v>90</v>
      </c>
      <c r="AL21" s="59" t="s">
        <v>57</v>
      </c>
      <c r="AM21" s="59" t="s">
        <v>57</v>
      </c>
      <c r="AN21" s="59" t="s">
        <v>57</v>
      </c>
      <c r="AO21" s="59" t="s">
        <v>57</v>
      </c>
      <c r="AP21" s="80" t="s">
        <v>57</v>
      </c>
      <c r="AQ21" s="108" t="s">
        <v>57</v>
      </c>
      <c r="AR21" s="59" t="s">
        <v>57</v>
      </c>
      <c r="AS21" s="59" t="s">
        <v>57</v>
      </c>
      <c r="AT21" s="59" t="s">
        <v>57</v>
      </c>
      <c r="AU21" s="59" t="s">
        <v>57</v>
      </c>
      <c r="AV21" s="59" t="s">
        <v>57</v>
      </c>
      <c r="AW21" s="131" t="s">
        <v>57</v>
      </c>
      <c r="AX21" s="133">
        <v>34</v>
      </c>
    </row>
    <row r="22" spans="1:50" ht="18" customHeight="1" x14ac:dyDescent="0.3">
      <c r="A22" s="55"/>
      <c r="B22" s="119"/>
      <c r="C22" s="127"/>
      <c r="D22" s="128"/>
      <c r="E22" s="128"/>
      <c r="F22" s="129"/>
      <c r="G22" s="130"/>
      <c r="H22" s="131"/>
      <c r="I22" s="59"/>
      <c r="J22" s="59"/>
      <c r="K22" s="59"/>
      <c r="L22" s="77"/>
      <c r="M22" s="77"/>
      <c r="N22" s="80"/>
      <c r="O22" s="131"/>
      <c r="P22" s="59"/>
      <c r="Q22" s="59"/>
      <c r="R22" s="132"/>
      <c r="S22" s="77"/>
      <c r="T22" s="77"/>
      <c r="U22" s="80"/>
      <c r="V22" s="108"/>
      <c r="W22" s="110"/>
      <c r="X22" s="110"/>
      <c r="Y22" s="59"/>
      <c r="Z22" s="77"/>
      <c r="AA22" s="77"/>
      <c r="AB22" s="80"/>
      <c r="AC22" s="108"/>
      <c r="AD22" s="110"/>
      <c r="AE22" s="110"/>
      <c r="AF22" s="59"/>
      <c r="AG22" s="77"/>
      <c r="AH22" s="77"/>
      <c r="AI22" s="80"/>
      <c r="AJ22" s="108"/>
      <c r="AK22" s="110"/>
      <c r="AL22" s="110"/>
      <c r="AM22" s="59"/>
      <c r="AN22" s="77"/>
      <c r="AO22" s="77"/>
      <c r="AP22" s="80"/>
      <c r="AQ22" s="108"/>
      <c r="AR22" s="110"/>
      <c r="AS22" s="110"/>
      <c r="AT22" s="59"/>
      <c r="AU22" s="77"/>
      <c r="AV22" s="77"/>
      <c r="AW22" s="131"/>
      <c r="AX22" s="133"/>
    </row>
    <row r="23" spans="1:50" ht="18" customHeight="1" x14ac:dyDescent="0.3">
      <c r="A23" s="55"/>
      <c r="B23" s="119"/>
      <c r="C23" s="127"/>
      <c r="D23" s="128"/>
      <c r="E23" s="128"/>
      <c r="F23" s="129"/>
      <c r="G23" s="130"/>
      <c r="H23" s="131"/>
      <c r="I23" s="59"/>
      <c r="J23" s="59"/>
      <c r="K23" s="59"/>
      <c r="L23" s="77"/>
      <c r="M23" s="77"/>
      <c r="N23" s="80"/>
      <c r="O23" s="131"/>
      <c r="P23" s="59"/>
      <c r="Q23" s="59"/>
      <c r="R23" s="132"/>
      <c r="S23" s="77"/>
      <c r="T23" s="77"/>
      <c r="U23" s="80"/>
      <c r="V23" s="108"/>
      <c r="W23" s="110"/>
      <c r="X23" s="110"/>
      <c r="Y23" s="59"/>
      <c r="Z23" s="77"/>
      <c r="AA23" s="77"/>
      <c r="AB23" s="80"/>
      <c r="AC23" s="108"/>
      <c r="AD23" s="110"/>
      <c r="AE23" s="110"/>
      <c r="AF23" s="59"/>
      <c r="AG23" s="77"/>
      <c r="AH23" s="77"/>
      <c r="AI23" s="80"/>
      <c r="AJ23" s="108"/>
      <c r="AK23" s="110"/>
      <c r="AL23" s="110"/>
      <c r="AM23" s="59"/>
      <c r="AN23" s="77"/>
      <c r="AO23" s="77"/>
      <c r="AP23" s="80"/>
      <c r="AQ23" s="108"/>
      <c r="AR23" s="110"/>
      <c r="AS23" s="110"/>
      <c r="AT23" s="59"/>
      <c r="AU23" s="77"/>
      <c r="AV23" s="77"/>
      <c r="AW23" s="131"/>
      <c r="AX23" s="133"/>
    </row>
    <row r="24" spans="1:50" ht="18" customHeight="1" x14ac:dyDescent="0.3">
      <c r="A24" s="55"/>
      <c r="B24" s="119"/>
      <c r="C24" s="127"/>
      <c r="D24" s="128"/>
      <c r="E24" s="128"/>
      <c r="F24" s="129"/>
      <c r="G24" s="137"/>
      <c r="H24" s="131"/>
      <c r="I24" s="59"/>
      <c r="J24" s="59"/>
      <c r="K24" s="59"/>
      <c r="L24" s="77"/>
      <c r="M24" s="77"/>
      <c r="N24" s="80"/>
      <c r="O24" s="131"/>
      <c r="P24" s="59"/>
      <c r="Q24" s="59"/>
      <c r="R24" s="132"/>
      <c r="S24" s="77"/>
      <c r="T24" s="77"/>
      <c r="U24" s="80"/>
      <c r="V24" s="108"/>
      <c r="W24" s="110"/>
      <c r="X24" s="110"/>
      <c r="Y24" s="59"/>
      <c r="Z24" s="77"/>
      <c r="AA24" s="77"/>
      <c r="AB24" s="80"/>
      <c r="AC24" s="108"/>
      <c r="AD24" s="110"/>
      <c r="AE24" s="110"/>
      <c r="AF24" s="59"/>
      <c r="AG24" s="77"/>
      <c r="AH24" s="77"/>
      <c r="AI24" s="80"/>
      <c r="AJ24" s="108"/>
      <c r="AK24" s="110"/>
      <c r="AL24" s="110"/>
      <c r="AM24" s="59"/>
      <c r="AN24" s="77"/>
      <c r="AO24" s="77"/>
      <c r="AP24" s="80"/>
      <c r="AQ24" s="108"/>
      <c r="AR24" s="110"/>
      <c r="AS24" s="110"/>
      <c r="AT24" s="59"/>
      <c r="AU24" s="77"/>
      <c r="AV24" s="77"/>
      <c r="AW24" s="131"/>
      <c r="AX24" s="133"/>
    </row>
    <row r="25" spans="1:50" ht="18" customHeight="1" x14ac:dyDescent="0.3">
      <c r="A25" s="55"/>
      <c r="B25" s="119"/>
      <c r="C25" s="127"/>
      <c r="D25" s="128"/>
      <c r="E25" s="128"/>
      <c r="F25" s="129"/>
      <c r="G25" s="130"/>
      <c r="H25" s="131"/>
      <c r="I25" s="59"/>
      <c r="J25" s="59"/>
      <c r="K25" s="59"/>
      <c r="L25" s="77"/>
      <c r="M25" s="77"/>
      <c r="N25" s="80"/>
      <c r="O25" s="131"/>
      <c r="P25" s="59"/>
      <c r="Q25" s="59"/>
      <c r="R25" s="132"/>
      <c r="S25" s="77"/>
      <c r="T25" s="77"/>
      <c r="U25" s="80"/>
      <c r="V25" s="108"/>
      <c r="W25" s="110"/>
      <c r="X25" s="110"/>
      <c r="Y25" s="59"/>
      <c r="Z25" s="77"/>
      <c r="AA25" s="77"/>
      <c r="AB25" s="80"/>
      <c r="AC25" s="108"/>
      <c r="AD25" s="110"/>
      <c r="AE25" s="110"/>
      <c r="AF25" s="59"/>
      <c r="AG25" s="77"/>
      <c r="AH25" s="77"/>
      <c r="AI25" s="80"/>
      <c r="AJ25" s="108"/>
      <c r="AK25" s="110"/>
      <c r="AL25" s="110"/>
      <c r="AM25" s="59"/>
      <c r="AN25" s="77"/>
      <c r="AO25" s="77"/>
      <c r="AP25" s="80"/>
      <c r="AQ25" s="108"/>
      <c r="AR25" s="110"/>
      <c r="AS25" s="110"/>
      <c r="AT25" s="59"/>
      <c r="AU25" s="77"/>
      <c r="AV25" s="77"/>
      <c r="AW25" s="131"/>
      <c r="AX25" s="133"/>
    </row>
    <row r="26" spans="1:50" ht="18" customHeight="1" x14ac:dyDescent="0.3">
      <c r="A26" s="55"/>
      <c r="B26" s="119"/>
      <c r="C26" s="127"/>
      <c r="D26" s="128"/>
      <c r="E26" s="128"/>
      <c r="F26" s="129"/>
      <c r="G26" s="130"/>
      <c r="H26" s="131"/>
      <c r="I26" s="59"/>
      <c r="J26" s="59"/>
      <c r="K26" s="59"/>
      <c r="L26" s="77"/>
      <c r="M26" s="77"/>
      <c r="N26" s="80"/>
      <c r="O26" s="131"/>
      <c r="P26" s="59"/>
      <c r="Q26" s="59"/>
      <c r="R26" s="132"/>
      <c r="S26" s="77"/>
      <c r="T26" s="77"/>
      <c r="U26" s="80"/>
      <c r="V26" s="108"/>
      <c r="W26" s="110"/>
      <c r="X26" s="110"/>
      <c r="Y26" s="59"/>
      <c r="Z26" s="77"/>
      <c r="AA26" s="77"/>
      <c r="AB26" s="80"/>
      <c r="AC26" s="108"/>
      <c r="AD26" s="110"/>
      <c r="AE26" s="110"/>
      <c r="AF26" s="59"/>
      <c r="AG26" s="77"/>
      <c r="AH26" s="77"/>
      <c r="AI26" s="80"/>
      <c r="AJ26" s="108"/>
      <c r="AK26" s="110"/>
      <c r="AL26" s="110"/>
      <c r="AM26" s="59"/>
      <c r="AN26" s="77"/>
      <c r="AO26" s="77"/>
      <c r="AP26" s="80"/>
      <c r="AQ26" s="108"/>
      <c r="AR26" s="110"/>
      <c r="AS26" s="110"/>
      <c r="AT26" s="59"/>
      <c r="AU26" s="77"/>
      <c r="AV26" s="77"/>
      <c r="AW26" s="131"/>
      <c r="AX26" s="133"/>
    </row>
    <row r="27" spans="1:50" ht="18" customHeight="1" x14ac:dyDescent="0.3">
      <c r="A27" s="55"/>
      <c r="B27" s="119"/>
      <c r="C27" s="127"/>
      <c r="D27" s="128"/>
      <c r="E27" s="128"/>
      <c r="F27" s="129"/>
      <c r="G27" s="130"/>
      <c r="H27" s="131"/>
      <c r="I27" s="59"/>
      <c r="J27" s="59"/>
      <c r="K27" s="59"/>
      <c r="L27" s="77"/>
      <c r="M27" s="77"/>
      <c r="N27" s="80"/>
      <c r="O27" s="131"/>
      <c r="P27" s="59"/>
      <c r="Q27" s="59"/>
      <c r="R27" s="132"/>
      <c r="S27" s="77"/>
      <c r="T27" s="77"/>
      <c r="U27" s="80"/>
      <c r="V27" s="108"/>
      <c r="W27" s="110"/>
      <c r="X27" s="110"/>
      <c r="Y27" s="59"/>
      <c r="Z27" s="77"/>
      <c r="AA27" s="77"/>
      <c r="AB27" s="80"/>
      <c r="AC27" s="108"/>
      <c r="AD27" s="110"/>
      <c r="AE27" s="110"/>
      <c r="AF27" s="59"/>
      <c r="AG27" s="77"/>
      <c r="AH27" s="77"/>
      <c r="AI27" s="80"/>
      <c r="AJ27" s="108"/>
      <c r="AK27" s="110"/>
      <c r="AL27" s="110"/>
      <c r="AM27" s="59"/>
      <c r="AN27" s="77"/>
      <c r="AO27" s="77"/>
      <c r="AP27" s="80"/>
      <c r="AQ27" s="108"/>
      <c r="AR27" s="110"/>
      <c r="AS27" s="110"/>
      <c r="AT27" s="59"/>
      <c r="AU27" s="77"/>
      <c r="AV27" s="77"/>
      <c r="AW27" s="131"/>
      <c r="AX27" s="133"/>
    </row>
    <row r="28" spans="1:50" ht="18" customHeight="1" x14ac:dyDescent="0.3">
      <c r="A28" s="138"/>
      <c r="B28" s="119"/>
      <c r="C28" s="127"/>
      <c r="D28" s="128"/>
      <c r="E28" s="128"/>
      <c r="F28" s="129"/>
      <c r="G28" s="130"/>
      <c r="H28" s="131"/>
      <c r="I28" s="59"/>
      <c r="J28" s="59"/>
      <c r="K28" s="59"/>
      <c r="L28" s="77"/>
      <c r="M28" s="77"/>
      <c r="N28" s="80"/>
      <c r="O28" s="131"/>
      <c r="P28" s="59"/>
      <c r="Q28" s="59"/>
      <c r="R28" s="132"/>
      <c r="S28" s="77"/>
      <c r="T28" s="77"/>
      <c r="U28" s="80"/>
      <c r="V28" s="108"/>
      <c r="W28" s="110"/>
      <c r="X28" s="110"/>
      <c r="Y28" s="59"/>
      <c r="Z28" s="77"/>
      <c r="AA28" s="77"/>
      <c r="AB28" s="80"/>
      <c r="AC28" s="108"/>
      <c r="AD28" s="110"/>
      <c r="AE28" s="110"/>
      <c r="AF28" s="59"/>
      <c r="AG28" s="77"/>
      <c r="AH28" s="77"/>
      <c r="AI28" s="80"/>
      <c r="AJ28" s="108"/>
      <c r="AK28" s="110"/>
      <c r="AL28" s="110"/>
      <c r="AM28" s="59"/>
      <c r="AN28" s="77"/>
      <c r="AO28" s="77"/>
      <c r="AP28" s="80"/>
      <c r="AQ28" s="108"/>
      <c r="AR28" s="110"/>
      <c r="AS28" s="110"/>
      <c r="AT28" s="59"/>
      <c r="AU28" s="77"/>
      <c r="AV28" s="77"/>
      <c r="AW28" s="131"/>
      <c r="AX28" s="133"/>
    </row>
    <row r="29" spans="1:50" ht="18" customHeight="1" x14ac:dyDescent="0.3">
      <c r="A29" s="55"/>
      <c r="B29" s="119"/>
      <c r="C29" s="127"/>
      <c r="D29" s="128"/>
      <c r="E29" s="128"/>
      <c r="F29" s="129"/>
      <c r="G29" s="130"/>
      <c r="H29" s="131"/>
      <c r="I29" s="59"/>
      <c r="J29" s="59"/>
      <c r="K29" s="59"/>
      <c r="L29" s="77"/>
      <c r="M29" s="77"/>
      <c r="N29" s="80"/>
      <c r="O29" s="131"/>
      <c r="P29" s="59"/>
      <c r="Q29" s="59"/>
      <c r="R29" s="132"/>
      <c r="S29" s="77"/>
      <c r="T29" s="77"/>
      <c r="U29" s="80"/>
      <c r="V29" s="108"/>
      <c r="W29" s="110"/>
      <c r="X29" s="110"/>
      <c r="Y29" s="59"/>
      <c r="Z29" s="77"/>
      <c r="AA29" s="77"/>
      <c r="AB29" s="80"/>
      <c r="AC29" s="108"/>
      <c r="AD29" s="110"/>
      <c r="AE29" s="110"/>
      <c r="AF29" s="59"/>
      <c r="AG29" s="77"/>
      <c r="AH29" s="77"/>
      <c r="AI29" s="80"/>
      <c r="AJ29" s="108"/>
      <c r="AK29" s="110"/>
      <c r="AL29" s="110"/>
      <c r="AM29" s="59"/>
      <c r="AN29" s="77"/>
      <c r="AO29" s="77"/>
      <c r="AP29" s="80"/>
      <c r="AQ29" s="108"/>
      <c r="AR29" s="110"/>
      <c r="AS29" s="110"/>
      <c r="AT29" s="59"/>
      <c r="AU29" s="77"/>
      <c r="AV29" s="77"/>
      <c r="AW29" s="131"/>
      <c r="AX29" s="133"/>
    </row>
    <row r="30" spans="1:50" ht="18" customHeight="1" x14ac:dyDescent="0.3">
      <c r="A30" s="55"/>
      <c r="B30" s="119"/>
      <c r="C30" s="127"/>
      <c r="D30" s="128"/>
      <c r="E30" s="128"/>
      <c r="F30" s="129"/>
      <c r="G30" s="130"/>
      <c r="H30" s="131"/>
      <c r="I30" s="59"/>
      <c r="J30" s="59"/>
      <c r="K30" s="59"/>
      <c r="L30" s="77"/>
      <c r="M30" s="77"/>
      <c r="N30" s="80"/>
      <c r="O30" s="131"/>
      <c r="P30" s="59"/>
      <c r="Q30" s="59"/>
      <c r="R30" s="132"/>
      <c r="S30" s="77"/>
      <c r="T30" s="77"/>
      <c r="U30" s="80"/>
      <c r="V30" s="108"/>
      <c r="W30" s="110"/>
      <c r="X30" s="110"/>
      <c r="Y30" s="59"/>
      <c r="Z30" s="77"/>
      <c r="AA30" s="77"/>
      <c r="AB30" s="80"/>
      <c r="AC30" s="108"/>
      <c r="AD30" s="110"/>
      <c r="AE30" s="110"/>
      <c r="AF30" s="59"/>
      <c r="AG30" s="77"/>
      <c r="AH30" s="77"/>
      <c r="AI30" s="80"/>
      <c r="AJ30" s="108"/>
      <c r="AK30" s="110"/>
      <c r="AL30" s="110"/>
      <c r="AM30" s="59"/>
      <c r="AN30" s="77"/>
      <c r="AO30" s="77"/>
      <c r="AP30" s="80"/>
      <c r="AQ30" s="108"/>
      <c r="AR30" s="110"/>
      <c r="AS30" s="110"/>
      <c r="AT30" s="59"/>
      <c r="AU30" s="77"/>
      <c r="AV30" s="77"/>
      <c r="AW30" s="131"/>
      <c r="AX30" s="133"/>
    </row>
    <row r="31" spans="1:50" ht="18" customHeight="1" x14ac:dyDescent="0.3">
      <c r="A31" s="55"/>
      <c r="B31" s="119"/>
      <c r="C31" s="127"/>
      <c r="D31" s="128"/>
      <c r="E31" s="128"/>
      <c r="F31" s="129"/>
      <c r="G31" s="130"/>
      <c r="H31" s="131"/>
      <c r="I31" s="59"/>
      <c r="J31" s="59"/>
      <c r="K31" s="59"/>
      <c r="L31" s="77"/>
      <c r="M31" s="77"/>
      <c r="N31" s="80"/>
      <c r="O31" s="131"/>
      <c r="P31" s="59"/>
      <c r="Q31" s="59"/>
      <c r="R31" s="132"/>
      <c r="S31" s="77"/>
      <c r="T31" s="77"/>
      <c r="U31" s="80"/>
      <c r="V31" s="108"/>
      <c r="W31" s="110"/>
      <c r="X31" s="110"/>
      <c r="Y31" s="59"/>
      <c r="Z31" s="77"/>
      <c r="AA31" s="77"/>
      <c r="AB31" s="80"/>
      <c r="AC31" s="108"/>
      <c r="AD31" s="110"/>
      <c r="AE31" s="110"/>
      <c r="AF31" s="59"/>
      <c r="AG31" s="77"/>
      <c r="AH31" s="77"/>
      <c r="AI31" s="80"/>
      <c r="AJ31" s="108"/>
      <c r="AK31" s="110"/>
      <c r="AL31" s="110"/>
      <c r="AM31" s="59"/>
      <c r="AN31" s="77"/>
      <c r="AO31" s="77"/>
      <c r="AP31" s="80"/>
      <c r="AQ31" s="108"/>
      <c r="AR31" s="110"/>
      <c r="AS31" s="110"/>
      <c r="AT31" s="59"/>
      <c r="AU31" s="77"/>
      <c r="AV31" s="77"/>
      <c r="AW31" s="131"/>
      <c r="AX31" s="133"/>
    </row>
    <row r="32" spans="1:50" ht="18" customHeight="1" x14ac:dyDescent="0.3">
      <c r="A32" s="55"/>
      <c r="B32" s="119"/>
      <c r="C32" s="127"/>
      <c r="D32" s="128"/>
      <c r="E32" s="128"/>
      <c r="F32" s="129"/>
      <c r="G32" s="130"/>
      <c r="H32" s="131"/>
      <c r="I32" s="59"/>
      <c r="J32" s="59"/>
      <c r="K32" s="59"/>
      <c r="L32" s="77"/>
      <c r="M32" s="77"/>
      <c r="N32" s="80"/>
      <c r="O32" s="131"/>
      <c r="P32" s="59"/>
      <c r="Q32" s="59"/>
      <c r="R32" s="132"/>
      <c r="S32" s="77"/>
      <c r="T32" s="77"/>
      <c r="U32" s="80"/>
      <c r="V32" s="108"/>
      <c r="W32" s="110"/>
      <c r="X32" s="110"/>
      <c r="Y32" s="59"/>
      <c r="Z32" s="77"/>
      <c r="AA32" s="77"/>
      <c r="AB32" s="80"/>
      <c r="AC32" s="108"/>
      <c r="AD32" s="110"/>
      <c r="AE32" s="110"/>
      <c r="AF32" s="59"/>
      <c r="AG32" s="77"/>
      <c r="AH32" s="77"/>
      <c r="AI32" s="80"/>
      <c r="AJ32" s="108"/>
      <c r="AK32" s="110"/>
      <c r="AL32" s="110"/>
      <c r="AM32" s="59"/>
      <c r="AN32" s="77"/>
      <c r="AO32" s="77"/>
      <c r="AP32" s="80"/>
      <c r="AQ32" s="108"/>
      <c r="AR32" s="110"/>
      <c r="AS32" s="110"/>
      <c r="AT32" s="59"/>
      <c r="AU32" s="77"/>
      <c r="AV32" s="77"/>
      <c r="AW32" s="131"/>
      <c r="AX32" s="133"/>
    </row>
    <row r="33" spans="1:50" ht="18" customHeight="1" x14ac:dyDescent="0.3">
      <c r="A33" s="138"/>
      <c r="B33" s="119"/>
      <c r="C33" s="127"/>
      <c r="D33" s="128"/>
      <c r="E33" s="128"/>
      <c r="F33" s="129"/>
      <c r="G33" s="130"/>
      <c r="H33" s="131"/>
      <c r="I33" s="59"/>
      <c r="J33" s="59"/>
      <c r="K33" s="59"/>
      <c r="L33" s="77"/>
      <c r="M33" s="77"/>
      <c r="N33" s="80"/>
      <c r="O33" s="131"/>
      <c r="P33" s="59"/>
      <c r="Q33" s="59"/>
      <c r="R33" s="132"/>
      <c r="S33" s="77"/>
      <c r="T33" s="77"/>
      <c r="U33" s="80"/>
      <c r="V33" s="108"/>
      <c r="W33" s="110"/>
      <c r="X33" s="110"/>
      <c r="Y33" s="59"/>
      <c r="Z33" s="77"/>
      <c r="AA33" s="77"/>
      <c r="AB33" s="80"/>
      <c r="AC33" s="108"/>
      <c r="AD33" s="110"/>
      <c r="AE33" s="110"/>
      <c r="AF33" s="59"/>
      <c r="AG33" s="77"/>
      <c r="AH33" s="77"/>
      <c r="AI33" s="80"/>
      <c r="AJ33" s="108"/>
      <c r="AK33" s="110"/>
      <c r="AL33" s="110"/>
      <c r="AM33" s="59"/>
      <c r="AN33" s="77"/>
      <c r="AO33" s="77"/>
      <c r="AP33" s="80"/>
      <c r="AQ33" s="108"/>
      <c r="AR33" s="110"/>
      <c r="AS33" s="110"/>
      <c r="AT33" s="59"/>
      <c r="AU33" s="77"/>
      <c r="AV33" s="77"/>
      <c r="AW33" s="131"/>
      <c r="AX33" s="133"/>
    </row>
    <row r="34" spans="1:50" ht="18" customHeight="1" x14ac:dyDescent="0.3">
      <c r="A34" s="55"/>
      <c r="B34" s="119"/>
      <c r="C34" s="127"/>
      <c r="D34" s="128"/>
      <c r="E34" s="139"/>
      <c r="F34" s="129"/>
      <c r="G34" s="130"/>
      <c r="H34" s="131"/>
      <c r="I34" s="59"/>
      <c r="J34" s="59"/>
      <c r="K34" s="59"/>
      <c r="L34" s="77"/>
      <c r="M34" s="77"/>
      <c r="N34" s="80"/>
      <c r="O34" s="131"/>
      <c r="P34" s="59"/>
      <c r="Q34" s="59"/>
      <c r="R34" s="132"/>
      <c r="S34" s="77"/>
      <c r="T34" s="77"/>
      <c r="U34" s="80"/>
      <c r="V34" s="108"/>
      <c r="W34" s="110"/>
      <c r="X34" s="110"/>
      <c r="Y34" s="59"/>
      <c r="Z34" s="77"/>
      <c r="AA34" s="77"/>
      <c r="AB34" s="80"/>
      <c r="AC34" s="108"/>
      <c r="AD34" s="110"/>
      <c r="AE34" s="110"/>
      <c r="AF34" s="59"/>
      <c r="AG34" s="77"/>
      <c r="AH34" s="77"/>
      <c r="AI34" s="80"/>
      <c r="AJ34" s="108"/>
      <c r="AK34" s="110"/>
      <c r="AL34" s="110"/>
      <c r="AM34" s="59"/>
      <c r="AN34" s="77"/>
      <c r="AO34" s="77"/>
      <c r="AP34" s="80"/>
      <c r="AQ34" s="108"/>
      <c r="AR34" s="110"/>
      <c r="AS34" s="110"/>
      <c r="AT34" s="59"/>
      <c r="AU34" s="77"/>
      <c r="AV34" s="77"/>
      <c r="AW34" s="131"/>
      <c r="AX34" s="133"/>
    </row>
    <row r="35" spans="1:50" ht="18" customHeight="1" x14ac:dyDescent="0.3">
      <c r="A35" s="55"/>
      <c r="B35" s="119"/>
      <c r="C35" s="127"/>
      <c r="D35" s="128"/>
      <c r="E35" s="139"/>
      <c r="F35" s="129"/>
      <c r="G35" s="130"/>
      <c r="H35" s="131"/>
      <c r="I35" s="59"/>
      <c r="J35" s="59"/>
      <c r="K35" s="59"/>
      <c r="L35" s="77"/>
      <c r="M35" s="77"/>
      <c r="N35" s="80"/>
      <c r="O35" s="131"/>
      <c r="P35" s="59"/>
      <c r="Q35" s="59"/>
      <c r="R35" s="132"/>
      <c r="S35" s="77"/>
      <c r="T35" s="77"/>
      <c r="U35" s="80"/>
      <c r="V35" s="108"/>
      <c r="W35" s="110"/>
      <c r="X35" s="110"/>
      <c r="Y35" s="59"/>
      <c r="Z35" s="77"/>
      <c r="AA35" s="77"/>
      <c r="AB35" s="80"/>
      <c r="AC35" s="108"/>
      <c r="AD35" s="110"/>
      <c r="AE35" s="110"/>
      <c r="AF35" s="59"/>
      <c r="AG35" s="77"/>
      <c r="AH35" s="77"/>
      <c r="AI35" s="80"/>
      <c r="AJ35" s="108"/>
      <c r="AK35" s="110"/>
      <c r="AL35" s="110"/>
      <c r="AM35" s="59"/>
      <c r="AN35" s="77"/>
      <c r="AO35" s="77"/>
      <c r="AP35" s="80"/>
      <c r="AQ35" s="108"/>
      <c r="AR35" s="110"/>
      <c r="AS35" s="110"/>
      <c r="AT35" s="59"/>
      <c r="AU35" s="77"/>
      <c r="AV35" s="77"/>
      <c r="AW35" s="131"/>
      <c r="AX35" s="133"/>
    </row>
    <row r="36" spans="1:50" ht="18" customHeight="1" x14ac:dyDescent="0.3">
      <c r="A36" s="55"/>
      <c r="B36" s="119"/>
      <c r="C36" s="127"/>
      <c r="D36" s="139"/>
      <c r="E36" s="139"/>
      <c r="F36" s="129"/>
      <c r="G36" s="130"/>
      <c r="H36" s="131"/>
      <c r="I36" s="59"/>
      <c r="J36" s="59"/>
      <c r="K36" s="59"/>
      <c r="L36" s="77"/>
      <c r="M36" s="77"/>
      <c r="N36" s="80"/>
      <c r="O36" s="131"/>
      <c r="P36" s="59"/>
      <c r="Q36" s="59"/>
      <c r="R36" s="132"/>
      <c r="S36" s="77"/>
      <c r="T36" s="77"/>
      <c r="U36" s="80"/>
      <c r="V36" s="108"/>
      <c r="W36" s="110"/>
      <c r="X36" s="110"/>
      <c r="Y36" s="59"/>
      <c r="Z36" s="77"/>
      <c r="AA36" s="77"/>
      <c r="AB36" s="80"/>
      <c r="AC36" s="108"/>
      <c r="AD36" s="110"/>
      <c r="AE36" s="110"/>
      <c r="AF36" s="59"/>
      <c r="AG36" s="77"/>
      <c r="AH36" s="77"/>
      <c r="AI36" s="80"/>
      <c r="AJ36" s="108"/>
      <c r="AK36" s="110"/>
      <c r="AL36" s="110"/>
      <c r="AM36" s="59"/>
      <c r="AN36" s="77"/>
      <c r="AO36" s="77"/>
      <c r="AP36" s="80"/>
      <c r="AQ36" s="108"/>
      <c r="AR36" s="110"/>
      <c r="AS36" s="110"/>
      <c r="AT36" s="59"/>
      <c r="AU36" s="77"/>
      <c r="AV36" s="77"/>
      <c r="AW36" s="131"/>
      <c r="AX36" s="133"/>
    </row>
    <row r="37" spans="1:50" ht="18" customHeight="1" x14ac:dyDescent="0.3">
      <c r="A37" s="55"/>
      <c r="B37" s="119"/>
      <c r="C37" s="127"/>
      <c r="D37" s="139"/>
      <c r="E37" s="139"/>
      <c r="F37" s="129"/>
      <c r="G37" s="130"/>
      <c r="H37" s="131"/>
      <c r="I37" s="59"/>
      <c r="J37" s="59"/>
      <c r="K37" s="59"/>
      <c r="L37" s="77"/>
      <c r="M37" s="77"/>
      <c r="N37" s="80"/>
      <c r="O37" s="131"/>
      <c r="P37" s="59"/>
      <c r="Q37" s="59"/>
      <c r="R37" s="132"/>
      <c r="S37" s="77"/>
      <c r="T37" s="77"/>
      <c r="U37" s="80"/>
      <c r="V37" s="108"/>
      <c r="W37" s="110"/>
      <c r="X37" s="110"/>
      <c r="Y37" s="59"/>
      <c r="Z37" s="77"/>
      <c r="AA37" s="77"/>
      <c r="AB37" s="80"/>
      <c r="AC37" s="108"/>
      <c r="AD37" s="110"/>
      <c r="AE37" s="110"/>
      <c r="AF37" s="59"/>
      <c r="AG37" s="77"/>
      <c r="AH37" s="77"/>
      <c r="AI37" s="80"/>
      <c r="AJ37" s="108"/>
      <c r="AK37" s="110"/>
      <c r="AL37" s="110"/>
      <c r="AM37" s="59"/>
      <c r="AN37" s="77"/>
      <c r="AO37" s="77"/>
      <c r="AP37" s="80"/>
      <c r="AQ37" s="108"/>
      <c r="AR37" s="110"/>
      <c r="AS37" s="110"/>
      <c r="AT37" s="59"/>
      <c r="AU37" s="77"/>
      <c r="AV37" s="77"/>
      <c r="AW37" s="131"/>
      <c r="AX37" s="133"/>
    </row>
    <row r="38" spans="1:50" ht="18" customHeight="1" x14ac:dyDescent="0.3">
      <c r="A38" s="55"/>
      <c r="B38" s="119"/>
      <c r="C38" s="127"/>
      <c r="D38" s="139"/>
      <c r="E38" s="139"/>
      <c r="F38" s="129"/>
      <c r="G38" s="130"/>
      <c r="H38" s="131"/>
      <c r="I38" s="59"/>
      <c r="J38" s="59"/>
      <c r="K38" s="59"/>
      <c r="L38" s="77"/>
      <c r="M38" s="77"/>
      <c r="N38" s="80"/>
      <c r="O38" s="131"/>
      <c r="P38" s="59"/>
      <c r="Q38" s="59"/>
      <c r="R38" s="132"/>
      <c r="S38" s="77"/>
      <c r="T38" s="77"/>
      <c r="U38" s="80"/>
      <c r="V38" s="108"/>
      <c r="W38" s="110"/>
      <c r="X38" s="110"/>
      <c r="Y38" s="59"/>
      <c r="Z38" s="77"/>
      <c r="AA38" s="77"/>
      <c r="AB38" s="80"/>
      <c r="AC38" s="108"/>
      <c r="AD38" s="110"/>
      <c r="AE38" s="110"/>
      <c r="AF38" s="59"/>
      <c r="AG38" s="77"/>
      <c r="AH38" s="77"/>
      <c r="AI38" s="80"/>
      <c r="AJ38" s="108"/>
      <c r="AK38" s="110"/>
      <c r="AL38" s="110"/>
      <c r="AM38" s="59"/>
      <c r="AN38" s="77"/>
      <c r="AO38" s="77"/>
      <c r="AP38" s="80"/>
      <c r="AQ38" s="108"/>
      <c r="AR38" s="110"/>
      <c r="AS38" s="110"/>
      <c r="AT38" s="59"/>
      <c r="AU38" s="77"/>
      <c r="AV38" s="77"/>
      <c r="AW38" s="131"/>
      <c r="AX38" s="133"/>
    </row>
    <row r="39" spans="1:50" ht="18" customHeight="1" x14ac:dyDescent="0.3">
      <c r="A39" s="55"/>
      <c r="B39" s="119"/>
      <c r="C39" s="127"/>
      <c r="D39" s="139"/>
      <c r="E39" s="139"/>
      <c r="F39" s="129"/>
      <c r="G39" s="130"/>
      <c r="H39" s="131"/>
      <c r="I39" s="59"/>
      <c r="J39" s="59"/>
      <c r="K39" s="59"/>
      <c r="L39" s="77"/>
      <c r="M39" s="77"/>
      <c r="N39" s="80"/>
      <c r="O39" s="131"/>
      <c r="P39" s="59"/>
      <c r="Q39" s="59"/>
      <c r="R39" s="132"/>
      <c r="S39" s="77"/>
      <c r="T39" s="77"/>
      <c r="U39" s="80"/>
      <c r="V39" s="108"/>
      <c r="W39" s="110"/>
      <c r="X39" s="110"/>
      <c r="Y39" s="59"/>
      <c r="Z39" s="77"/>
      <c r="AA39" s="77"/>
      <c r="AB39" s="80"/>
      <c r="AC39" s="108"/>
      <c r="AD39" s="110"/>
      <c r="AE39" s="110"/>
      <c r="AF39" s="59"/>
      <c r="AG39" s="77"/>
      <c r="AH39" s="77"/>
      <c r="AI39" s="80"/>
      <c r="AJ39" s="108"/>
      <c r="AK39" s="110"/>
      <c r="AL39" s="110"/>
      <c r="AM39" s="59"/>
      <c r="AN39" s="77"/>
      <c r="AO39" s="77"/>
      <c r="AP39" s="80"/>
      <c r="AQ39" s="108"/>
      <c r="AR39" s="110"/>
      <c r="AS39" s="110"/>
      <c r="AT39" s="59"/>
      <c r="AU39" s="77"/>
      <c r="AV39" s="77"/>
      <c r="AW39" s="131"/>
      <c r="AX39" s="133"/>
    </row>
    <row r="40" spans="1:50" ht="18" customHeight="1" x14ac:dyDescent="0.3">
      <c r="A40" s="55"/>
      <c r="B40" s="119"/>
      <c r="C40" s="127"/>
      <c r="D40" s="139"/>
      <c r="E40" s="139"/>
      <c r="F40" s="129"/>
      <c r="G40" s="130"/>
      <c r="H40" s="131"/>
      <c r="I40" s="59"/>
      <c r="J40" s="59"/>
      <c r="K40" s="59"/>
      <c r="L40" s="77"/>
      <c r="M40" s="77"/>
      <c r="N40" s="80"/>
      <c r="O40" s="131"/>
      <c r="P40" s="59"/>
      <c r="Q40" s="59"/>
      <c r="R40" s="132"/>
      <c r="S40" s="77"/>
      <c r="T40" s="77"/>
      <c r="U40" s="80"/>
      <c r="V40" s="108"/>
      <c r="W40" s="110"/>
      <c r="X40" s="110"/>
      <c r="Y40" s="59"/>
      <c r="Z40" s="77"/>
      <c r="AA40" s="77"/>
      <c r="AB40" s="80"/>
      <c r="AC40" s="108"/>
      <c r="AD40" s="110"/>
      <c r="AE40" s="110"/>
      <c r="AF40" s="59"/>
      <c r="AG40" s="77"/>
      <c r="AH40" s="77"/>
      <c r="AI40" s="80"/>
      <c r="AJ40" s="108"/>
      <c r="AK40" s="110"/>
      <c r="AL40" s="110"/>
      <c r="AM40" s="59"/>
      <c r="AN40" s="77"/>
      <c r="AO40" s="77"/>
      <c r="AP40" s="80"/>
      <c r="AQ40" s="108"/>
      <c r="AR40" s="110"/>
      <c r="AS40" s="110"/>
      <c r="AT40" s="59"/>
      <c r="AU40" s="77"/>
      <c r="AV40" s="77"/>
      <c r="AW40" s="131"/>
      <c r="AX40" s="133"/>
    </row>
  </sheetData>
  <mergeCells count="19">
    <mergeCell ref="AC2:AI2"/>
    <mergeCell ref="AJ2:AP2"/>
    <mergeCell ref="AQ2:AW2"/>
    <mergeCell ref="A2:A5"/>
    <mergeCell ref="B2:B5"/>
    <mergeCell ref="E3:G3"/>
    <mergeCell ref="H3:N3"/>
    <mergeCell ref="O3:U3"/>
    <mergeCell ref="V3:AB3"/>
    <mergeCell ref="AC3:AI3"/>
    <mergeCell ref="AJ3:AP3"/>
    <mergeCell ref="AQ3:AW3"/>
    <mergeCell ref="E4:G4"/>
    <mergeCell ref="E5:G5"/>
    <mergeCell ref="C2:D5"/>
    <mergeCell ref="E2:G2"/>
    <mergeCell ref="H2:N2"/>
    <mergeCell ref="O2:U2"/>
    <mergeCell ref="V2:AB2"/>
  </mergeCells>
  <pageMargins left="0.96875" right="0" top="0.35433070866141736" bottom="0" header="0.31496062992125984" footer="0.31496062992125984"/>
  <pageSetup paperSize="9" fitToHeight="0" orientation="portrait" useFirstPageNumber="1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D55"/>
  <sheetViews>
    <sheetView view="pageBreakPreview" zoomScale="120" zoomScaleNormal="120" workbookViewId="0">
      <selection activeCell="R10" sqref="R10"/>
    </sheetView>
  </sheetViews>
  <sheetFormatPr defaultColWidth="9.125" defaultRowHeight="18.75" customHeight="1" x14ac:dyDescent="0.3"/>
  <cols>
    <col min="1" max="1" width="2.875" style="140" customWidth="1"/>
    <col min="2" max="2" width="15.875" style="140" customWidth="1"/>
    <col min="3" max="30" width="2.625" style="140" customWidth="1"/>
    <col min="31" max="31" width="9.125" style="140" customWidth="1"/>
    <col min="32" max="16384" width="9.125" style="140"/>
  </cols>
  <sheetData>
    <row r="1" spans="1:30" ht="18.75" customHeight="1" x14ac:dyDescent="0.3">
      <c r="A1" s="141"/>
      <c r="AD1" s="142">
        <v>5</v>
      </c>
    </row>
    <row r="2" spans="1:30" ht="18.75" customHeight="1" x14ac:dyDescent="0.3">
      <c r="A2" s="418" t="s">
        <v>95</v>
      </c>
      <c r="B2" s="419"/>
      <c r="C2" s="398">
        <v>1</v>
      </c>
      <c r="D2" s="399"/>
      <c r="E2" s="399"/>
      <c r="F2" s="399"/>
      <c r="G2" s="399"/>
      <c r="H2" s="399"/>
      <c r="I2" s="400"/>
      <c r="J2" s="398">
        <v>2</v>
      </c>
      <c r="K2" s="399"/>
      <c r="L2" s="399"/>
      <c r="M2" s="399"/>
      <c r="N2" s="399"/>
      <c r="O2" s="399"/>
      <c r="P2" s="400"/>
      <c r="Q2" s="398">
        <v>3</v>
      </c>
      <c r="R2" s="399"/>
      <c r="S2" s="399"/>
      <c r="T2" s="399"/>
      <c r="U2" s="399"/>
      <c r="V2" s="399"/>
      <c r="W2" s="400"/>
      <c r="X2" s="398">
        <v>4</v>
      </c>
      <c r="Y2" s="399"/>
      <c r="Z2" s="399"/>
      <c r="AA2" s="399"/>
      <c r="AB2" s="399"/>
      <c r="AC2" s="399"/>
      <c r="AD2" s="400"/>
    </row>
    <row r="3" spans="1:30" ht="20.100000000000001" customHeight="1" x14ac:dyDescent="0.3">
      <c r="A3" s="420"/>
      <c r="B3" s="421"/>
      <c r="C3" s="422" t="s">
        <v>96</v>
      </c>
      <c r="D3" s="423"/>
      <c r="E3" s="423"/>
      <c r="F3" s="423"/>
      <c r="G3" s="423"/>
      <c r="H3" s="424" t="s">
        <v>92</v>
      </c>
      <c r="I3" s="424" t="s">
        <v>97</v>
      </c>
      <c r="J3" s="422" t="s">
        <v>96</v>
      </c>
      <c r="K3" s="423"/>
      <c r="L3" s="423"/>
      <c r="M3" s="423"/>
      <c r="N3" s="423"/>
      <c r="O3" s="424" t="s">
        <v>92</v>
      </c>
      <c r="P3" s="424" t="s">
        <v>97</v>
      </c>
      <c r="Q3" s="422" t="s">
        <v>96</v>
      </c>
      <c r="R3" s="423"/>
      <c r="S3" s="423"/>
      <c r="T3" s="423"/>
      <c r="U3" s="423"/>
      <c r="V3" s="424" t="s">
        <v>92</v>
      </c>
      <c r="W3" s="424" t="s">
        <v>97</v>
      </c>
      <c r="X3" s="422" t="s">
        <v>96</v>
      </c>
      <c r="Y3" s="423"/>
      <c r="Z3" s="423"/>
      <c r="AA3" s="423"/>
      <c r="AB3" s="423"/>
      <c r="AC3" s="424" t="s">
        <v>92</v>
      </c>
      <c r="AD3" s="424" t="s">
        <v>97</v>
      </c>
    </row>
    <row r="4" spans="1:30" ht="20.100000000000001" customHeight="1" x14ac:dyDescent="0.3">
      <c r="A4" s="426"/>
      <c r="B4" s="143" t="s">
        <v>98</v>
      </c>
      <c r="C4" s="144">
        <v>1</v>
      </c>
      <c r="D4" s="145">
        <v>2</v>
      </c>
      <c r="E4" s="145">
        <v>3</v>
      </c>
      <c r="F4" s="145">
        <v>4</v>
      </c>
      <c r="G4" s="146">
        <v>5</v>
      </c>
      <c r="H4" s="425"/>
      <c r="I4" s="425"/>
      <c r="J4" s="144">
        <v>1</v>
      </c>
      <c r="K4" s="145">
        <v>2</v>
      </c>
      <c r="L4" s="145">
        <v>3</v>
      </c>
      <c r="M4" s="145">
        <v>4</v>
      </c>
      <c r="N4" s="146">
        <v>5</v>
      </c>
      <c r="O4" s="425"/>
      <c r="P4" s="425"/>
      <c r="Q4" s="144">
        <v>1</v>
      </c>
      <c r="R4" s="145">
        <v>2</v>
      </c>
      <c r="S4" s="145">
        <v>3</v>
      </c>
      <c r="T4" s="145">
        <v>4</v>
      </c>
      <c r="U4" s="146">
        <v>5</v>
      </c>
      <c r="V4" s="425"/>
      <c r="W4" s="425"/>
      <c r="X4" s="144">
        <v>1</v>
      </c>
      <c r="Y4" s="145">
        <v>2</v>
      </c>
      <c r="Z4" s="145">
        <v>3</v>
      </c>
      <c r="AA4" s="145">
        <v>4</v>
      </c>
      <c r="AB4" s="146">
        <v>5</v>
      </c>
      <c r="AC4" s="425"/>
      <c r="AD4" s="425"/>
    </row>
    <row r="5" spans="1:30" ht="18" customHeight="1" x14ac:dyDescent="0.3">
      <c r="A5" s="427"/>
      <c r="B5" s="147"/>
      <c r="C5" s="144">
        <v>20</v>
      </c>
      <c r="D5" s="145"/>
      <c r="E5" s="145"/>
      <c r="F5" s="145"/>
      <c r="G5" s="146"/>
      <c r="H5" s="148"/>
      <c r="I5" s="148"/>
      <c r="J5" s="144">
        <v>20</v>
      </c>
      <c r="K5" s="145"/>
      <c r="L5" s="145"/>
      <c r="M5" s="145"/>
      <c r="N5" s="146"/>
      <c r="O5" s="148"/>
      <c r="P5" s="148"/>
      <c r="Q5" s="144">
        <v>20</v>
      </c>
      <c r="R5" s="145"/>
      <c r="S5" s="145"/>
      <c r="T5" s="145"/>
      <c r="U5" s="146"/>
      <c r="V5" s="148"/>
      <c r="W5" s="148"/>
      <c r="X5" s="144">
        <v>0</v>
      </c>
      <c r="Y5" s="145"/>
      <c r="Z5" s="145"/>
      <c r="AA5" s="145"/>
      <c r="AB5" s="146"/>
      <c r="AC5" s="148"/>
      <c r="AD5" s="149"/>
    </row>
    <row r="6" spans="1:30" s="150" customFormat="1" ht="18" customHeight="1" x14ac:dyDescent="0.35">
      <c r="A6" s="151">
        <v>1</v>
      </c>
      <c r="B6" s="152" t="s">
        <v>56</v>
      </c>
      <c r="C6" s="153">
        <v>17</v>
      </c>
      <c r="D6" s="154" t="s">
        <v>57</v>
      </c>
      <c r="E6" s="155" t="s">
        <v>57</v>
      </c>
      <c r="F6" s="155" t="s">
        <v>57</v>
      </c>
      <c r="G6" s="156" t="s">
        <v>57</v>
      </c>
      <c r="H6" s="157">
        <v>17</v>
      </c>
      <c r="I6" s="158"/>
      <c r="J6" s="153">
        <v>4</v>
      </c>
      <c r="K6" s="154">
        <v>4</v>
      </c>
      <c r="L6" s="155">
        <v>9</v>
      </c>
      <c r="M6" s="155" t="s">
        <v>57</v>
      </c>
      <c r="N6" s="156" t="s">
        <v>57</v>
      </c>
      <c r="O6" s="157">
        <v>17</v>
      </c>
      <c r="P6" s="158"/>
      <c r="Q6" s="153">
        <v>18</v>
      </c>
      <c r="R6" s="154" t="s">
        <v>57</v>
      </c>
      <c r="S6" s="155" t="s">
        <v>57</v>
      </c>
      <c r="T6" s="155" t="s">
        <v>57</v>
      </c>
      <c r="U6" s="156" t="s">
        <v>57</v>
      </c>
      <c r="V6" s="157">
        <v>18</v>
      </c>
      <c r="W6" s="158"/>
      <c r="X6" s="153" t="s">
        <v>57</v>
      </c>
      <c r="Y6" s="154" t="s">
        <v>57</v>
      </c>
      <c r="Z6" s="155" t="s">
        <v>57</v>
      </c>
      <c r="AA6" s="155" t="s">
        <v>57</v>
      </c>
      <c r="AB6" s="156" t="s">
        <v>57</v>
      </c>
      <c r="AC6" s="157">
        <v>0</v>
      </c>
      <c r="AD6" s="158"/>
    </row>
    <row r="7" spans="1:30" s="150" customFormat="1" ht="18" customHeight="1" x14ac:dyDescent="0.35">
      <c r="A7" s="159">
        <v>2</v>
      </c>
      <c r="B7" s="160" t="s">
        <v>59</v>
      </c>
      <c r="C7" s="161">
        <v>13</v>
      </c>
      <c r="D7" s="162" t="s">
        <v>57</v>
      </c>
      <c r="E7" s="163" t="s">
        <v>57</v>
      </c>
      <c r="F7" s="163" t="s">
        <v>57</v>
      </c>
      <c r="G7" s="164" t="s">
        <v>57</v>
      </c>
      <c r="H7" s="157">
        <v>13</v>
      </c>
      <c r="I7" s="165"/>
      <c r="J7" s="161">
        <v>3</v>
      </c>
      <c r="K7" s="162">
        <v>3</v>
      </c>
      <c r="L7" s="163">
        <v>6</v>
      </c>
      <c r="M7" s="163" t="s">
        <v>57</v>
      </c>
      <c r="N7" s="164" t="s">
        <v>57</v>
      </c>
      <c r="O7" s="157">
        <v>12</v>
      </c>
      <c r="P7" s="165"/>
      <c r="Q7" s="161">
        <v>13</v>
      </c>
      <c r="R7" s="162" t="s">
        <v>57</v>
      </c>
      <c r="S7" s="163" t="s">
        <v>57</v>
      </c>
      <c r="T7" s="163" t="s">
        <v>57</v>
      </c>
      <c r="U7" s="164" t="s">
        <v>57</v>
      </c>
      <c r="V7" s="157">
        <v>13</v>
      </c>
      <c r="W7" s="165"/>
      <c r="X7" s="161" t="s">
        <v>57</v>
      </c>
      <c r="Y7" s="162" t="s">
        <v>57</v>
      </c>
      <c r="Z7" s="163" t="s">
        <v>57</v>
      </c>
      <c r="AA7" s="163" t="s">
        <v>57</v>
      </c>
      <c r="AB7" s="164" t="s">
        <v>57</v>
      </c>
      <c r="AC7" s="157">
        <v>0</v>
      </c>
      <c r="AD7" s="165"/>
    </row>
    <row r="8" spans="1:30" s="150" customFormat="1" ht="18" customHeight="1" x14ac:dyDescent="0.35">
      <c r="A8" s="159">
        <v>3</v>
      </c>
      <c r="B8" s="160" t="s">
        <v>61</v>
      </c>
      <c r="C8" s="161">
        <v>16</v>
      </c>
      <c r="D8" s="162" t="s">
        <v>57</v>
      </c>
      <c r="E8" s="163" t="s">
        <v>57</v>
      </c>
      <c r="F8" s="163" t="s">
        <v>57</v>
      </c>
      <c r="G8" s="164" t="s">
        <v>57</v>
      </c>
      <c r="H8" s="157">
        <v>16</v>
      </c>
      <c r="I8" s="165"/>
      <c r="J8" s="161">
        <v>5</v>
      </c>
      <c r="K8" s="162">
        <v>5</v>
      </c>
      <c r="L8" s="163">
        <v>10</v>
      </c>
      <c r="M8" s="163" t="s">
        <v>57</v>
      </c>
      <c r="N8" s="164" t="s">
        <v>57</v>
      </c>
      <c r="O8" s="157">
        <v>20</v>
      </c>
      <c r="P8" s="165"/>
      <c r="Q8" s="161">
        <v>18</v>
      </c>
      <c r="R8" s="162" t="s">
        <v>57</v>
      </c>
      <c r="S8" s="163" t="s">
        <v>57</v>
      </c>
      <c r="T8" s="163" t="s">
        <v>57</v>
      </c>
      <c r="U8" s="164" t="s">
        <v>57</v>
      </c>
      <c r="V8" s="157">
        <v>18</v>
      </c>
      <c r="W8" s="165"/>
      <c r="X8" s="161" t="s">
        <v>57</v>
      </c>
      <c r="Y8" s="162" t="s">
        <v>57</v>
      </c>
      <c r="Z8" s="163" t="s">
        <v>57</v>
      </c>
      <c r="AA8" s="163" t="s">
        <v>57</v>
      </c>
      <c r="AB8" s="164" t="s">
        <v>57</v>
      </c>
      <c r="AC8" s="157">
        <v>0</v>
      </c>
      <c r="AD8" s="165"/>
    </row>
    <row r="9" spans="1:30" s="150" customFormat="1" ht="18" customHeight="1" x14ac:dyDescent="0.35">
      <c r="A9" s="159">
        <v>4</v>
      </c>
      <c r="B9" s="160" t="s">
        <v>63</v>
      </c>
      <c r="C9" s="161">
        <v>10</v>
      </c>
      <c r="D9" s="162" t="s">
        <v>57</v>
      </c>
      <c r="E9" s="163" t="s">
        <v>57</v>
      </c>
      <c r="F9" s="163" t="s">
        <v>57</v>
      </c>
      <c r="G9" s="164" t="s">
        <v>57</v>
      </c>
      <c r="H9" s="157">
        <v>10</v>
      </c>
      <c r="I9" s="165"/>
      <c r="J9" s="161">
        <v>5</v>
      </c>
      <c r="K9" s="162">
        <v>5</v>
      </c>
      <c r="L9" s="163">
        <v>10</v>
      </c>
      <c r="M9" s="163" t="s">
        <v>57</v>
      </c>
      <c r="N9" s="164" t="s">
        <v>57</v>
      </c>
      <c r="O9" s="157">
        <v>20</v>
      </c>
      <c r="P9" s="165"/>
      <c r="Q9" s="161">
        <v>18</v>
      </c>
      <c r="R9" s="162" t="s">
        <v>57</v>
      </c>
      <c r="S9" s="163" t="s">
        <v>57</v>
      </c>
      <c r="T9" s="163" t="s">
        <v>57</v>
      </c>
      <c r="U9" s="164" t="s">
        <v>57</v>
      </c>
      <c r="V9" s="157">
        <v>18</v>
      </c>
      <c r="W9" s="165"/>
      <c r="X9" s="161" t="s">
        <v>57</v>
      </c>
      <c r="Y9" s="162" t="s">
        <v>57</v>
      </c>
      <c r="Z9" s="163" t="s">
        <v>57</v>
      </c>
      <c r="AA9" s="163" t="s">
        <v>57</v>
      </c>
      <c r="AB9" s="164" t="s">
        <v>57</v>
      </c>
      <c r="AC9" s="157">
        <v>0</v>
      </c>
      <c r="AD9" s="165"/>
    </row>
    <row r="10" spans="1:30" s="150" customFormat="1" ht="18" customHeight="1" x14ac:dyDescent="0.35">
      <c r="A10" s="159">
        <v>5</v>
      </c>
      <c r="B10" s="160" t="s">
        <v>65</v>
      </c>
      <c r="C10" s="161">
        <v>13</v>
      </c>
      <c r="D10" s="162" t="s">
        <v>57</v>
      </c>
      <c r="E10" s="163" t="s">
        <v>57</v>
      </c>
      <c r="F10" s="163" t="s">
        <v>57</v>
      </c>
      <c r="G10" s="164" t="s">
        <v>57</v>
      </c>
      <c r="H10" s="157">
        <v>13</v>
      </c>
      <c r="I10" s="165"/>
      <c r="J10" s="161">
        <v>5</v>
      </c>
      <c r="K10" s="162">
        <v>5</v>
      </c>
      <c r="L10" s="163">
        <v>10</v>
      </c>
      <c r="M10" s="163" t="s">
        <v>57</v>
      </c>
      <c r="N10" s="164" t="s">
        <v>57</v>
      </c>
      <c r="O10" s="157">
        <v>20</v>
      </c>
      <c r="P10" s="165"/>
      <c r="Q10" s="161">
        <v>16</v>
      </c>
      <c r="R10" s="162" t="s">
        <v>57</v>
      </c>
      <c r="S10" s="163" t="s">
        <v>57</v>
      </c>
      <c r="T10" s="163" t="s">
        <v>57</v>
      </c>
      <c r="U10" s="164" t="s">
        <v>57</v>
      </c>
      <c r="V10" s="157">
        <v>16</v>
      </c>
      <c r="W10" s="165"/>
      <c r="X10" s="161" t="s">
        <v>57</v>
      </c>
      <c r="Y10" s="162" t="s">
        <v>57</v>
      </c>
      <c r="Z10" s="163" t="s">
        <v>57</v>
      </c>
      <c r="AA10" s="163" t="s">
        <v>57</v>
      </c>
      <c r="AB10" s="164" t="s">
        <v>57</v>
      </c>
      <c r="AC10" s="157">
        <v>0</v>
      </c>
      <c r="AD10" s="165"/>
    </row>
    <row r="11" spans="1:30" s="150" customFormat="1" ht="18" customHeight="1" x14ac:dyDescent="0.35">
      <c r="A11" s="159">
        <v>6</v>
      </c>
      <c r="B11" s="160" t="s">
        <v>67</v>
      </c>
      <c r="C11" s="161">
        <v>13</v>
      </c>
      <c r="D11" s="162" t="s">
        <v>57</v>
      </c>
      <c r="E11" s="163" t="s">
        <v>57</v>
      </c>
      <c r="F11" s="163" t="s">
        <v>57</v>
      </c>
      <c r="G11" s="164" t="s">
        <v>57</v>
      </c>
      <c r="H11" s="157">
        <v>13</v>
      </c>
      <c r="I11" s="165"/>
      <c r="J11" s="161">
        <v>3</v>
      </c>
      <c r="K11" s="162">
        <v>3</v>
      </c>
      <c r="L11" s="163">
        <v>7</v>
      </c>
      <c r="M11" s="163" t="s">
        <v>57</v>
      </c>
      <c r="N11" s="164" t="s">
        <v>57</v>
      </c>
      <c r="O11" s="157">
        <v>13</v>
      </c>
      <c r="P11" s="165"/>
      <c r="Q11" s="161">
        <v>12</v>
      </c>
      <c r="R11" s="162" t="s">
        <v>57</v>
      </c>
      <c r="S11" s="163" t="s">
        <v>57</v>
      </c>
      <c r="T11" s="163" t="s">
        <v>57</v>
      </c>
      <c r="U11" s="164" t="s">
        <v>57</v>
      </c>
      <c r="V11" s="157">
        <v>12</v>
      </c>
      <c r="W11" s="165"/>
      <c r="X11" s="161" t="s">
        <v>57</v>
      </c>
      <c r="Y11" s="162" t="s">
        <v>57</v>
      </c>
      <c r="Z11" s="163" t="s">
        <v>57</v>
      </c>
      <c r="AA11" s="163" t="s">
        <v>57</v>
      </c>
      <c r="AB11" s="164" t="s">
        <v>57</v>
      </c>
      <c r="AC11" s="157">
        <v>0</v>
      </c>
      <c r="AD11" s="165"/>
    </row>
    <row r="12" spans="1:30" s="150" customFormat="1" ht="18" customHeight="1" x14ac:dyDescent="0.35">
      <c r="A12" s="159">
        <v>7</v>
      </c>
      <c r="B12" s="160" t="s">
        <v>69</v>
      </c>
      <c r="C12" s="161">
        <v>17</v>
      </c>
      <c r="D12" s="162" t="s">
        <v>57</v>
      </c>
      <c r="E12" s="163" t="s">
        <v>57</v>
      </c>
      <c r="F12" s="163" t="s">
        <v>57</v>
      </c>
      <c r="G12" s="164" t="s">
        <v>57</v>
      </c>
      <c r="H12" s="157">
        <v>17</v>
      </c>
      <c r="I12" s="165"/>
      <c r="J12" s="161">
        <v>5</v>
      </c>
      <c r="K12" s="162">
        <v>5</v>
      </c>
      <c r="L12" s="163">
        <v>10</v>
      </c>
      <c r="M12" s="163" t="s">
        <v>57</v>
      </c>
      <c r="N12" s="164" t="s">
        <v>57</v>
      </c>
      <c r="O12" s="157">
        <v>20</v>
      </c>
      <c r="P12" s="165"/>
      <c r="Q12" s="161">
        <v>13</v>
      </c>
      <c r="R12" s="162" t="s">
        <v>57</v>
      </c>
      <c r="S12" s="163" t="s">
        <v>57</v>
      </c>
      <c r="T12" s="163" t="s">
        <v>57</v>
      </c>
      <c r="U12" s="164" t="s">
        <v>57</v>
      </c>
      <c r="V12" s="157">
        <v>13</v>
      </c>
      <c r="W12" s="165"/>
      <c r="X12" s="161" t="s">
        <v>57</v>
      </c>
      <c r="Y12" s="162" t="s">
        <v>57</v>
      </c>
      <c r="Z12" s="163" t="s">
        <v>57</v>
      </c>
      <c r="AA12" s="163" t="s">
        <v>57</v>
      </c>
      <c r="AB12" s="164" t="s">
        <v>57</v>
      </c>
      <c r="AC12" s="157">
        <v>0</v>
      </c>
      <c r="AD12" s="165"/>
    </row>
    <row r="13" spans="1:30" s="150" customFormat="1" ht="18" customHeight="1" x14ac:dyDescent="0.35">
      <c r="A13" s="159">
        <v>8</v>
      </c>
      <c r="B13" s="160" t="s">
        <v>71</v>
      </c>
      <c r="C13" s="161">
        <v>18</v>
      </c>
      <c r="D13" s="162" t="s">
        <v>57</v>
      </c>
      <c r="E13" s="163" t="s">
        <v>57</v>
      </c>
      <c r="F13" s="163" t="s">
        <v>57</v>
      </c>
      <c r="G13" s="164" t="s">
        <v>57</v>
      </c>
      <c r="H13" s="157">
        <v>18</v>
      </c>
      <c r="I13" s="165"/>
      <c r="J13" s="161">
        <v>5</v>
      </c>
      <c r="K13" s="162">
        <v>5</v>
      </c>
      <c r="L13" s="163">
        <v>10</v>
      </c>
      <c r="M13" s="163" t="s">
        <v>57</v>
      </c>
      <c r="N13" s="164" t="s">
        <v>57</v>
      </c>
      <c r="O13" s="157">
        <v>20</v>
      </c>
      <c r="P13" s="165"/>
      <c r="Q13" s="161">
        <v>18</v>
      </c>
      <c r="R13" s="162" t="s">
        <v>57</v>
      </c>
      <c r="S13" s="163" t="s">
        <v>57</v>
      </c>
      <c r="T13" s="163" t="s">
        <v>57</v>
      </c>
      <c r="U13" s="164" t="s">
        <v>57</v>
      </c>
      <c r="V13" s="157">
        <v>18</v>
      </c>
      <c r="W13" s="165"/>
      <c r="X13" s="161" t="s">
        <v>57</v>
      </c>
      <c r="Y13" s="162" t="s">
        <v>57</v>
      </c>
      <c r="Z13" s="163" t="s">
        <v>57</v>
      </c>
      <c r="AA13" s="163" t="s">
        <v>57</v>
      </c>
      <c r="AB13" s="164" t="s">
        <v>57</v>
      </c>
      <c r="AC13" s="157">
        <v>0</v>
      </c>
      <c r="AD13" s="165"/>
    </row>
    <row r="14" spans="1:30" s="150" customFormat="1" ht="18" customHeight="1" x14ac:dyDescent="0.35">
      <c r="A14" s="159">
        <v>9</v>
      </c>
      <c r="B14" s="160" t="s">
        <v>73</v>
      </c>
      <c r="C14" s="161">
        <v>18</v>
      </c>
      <c r="D14" s="162" t="s">
        <v>57</v>
      </c>
      <c r="E14" s="163" t="s">
        <v>57</v>
      </c>
      <c r="F14" s="163" t="s">
        <v>57</v>
      </c>
      <c r="G14" s="164" t="s">
        <v>57</v>
      </c>
      <c r="H14" s="157">
        <v>18</v>
      </c>
      <c r="I14" s="165"/>
      <c r="J14" s="161">
        <v>5</v>
      </c>
      <c r="K14" s="162">
        <v>5</v>
      </c>
      <c r="L14" s="163">
        <v>10</v>
      </c>
      <c r="M14" s="163" t="s">
        <v>57</v>
      </c>
      <c r="N14" s="164" t="s">
        <v>57</v>
      </c>
      <c r="O14" s="157">
        <v>20</v>
      </c>
      <c r="P14" s="165"/>
      <c r="Q14" s="161">
        <v>18</v>
      </c>
      <c r="R14" s="162" t="s">
        <v>57</v>
      </c>
      <c r="S14" s="163" t="s">
        <v>57</v>
      </c>
      <c r="T14" s="163" t="s">
        <v>57</v>
      </c>
      <c r="U14" s="164" t="s">
        <v>57</v>
      </c>
      <c r="V14" s="157">
        <v>18</v>
      </c>
      <c r="W14" s="165"/>
      <c r="X14" s="161" t="s">
        <v>57</v>
      </c>
      <c r="Y14" s="162" t="s">
        <v>57</v>
      </c>
      <c r="Z14" s="163" t="s">
        <v>57</v>
      </c>
      <c r="AA14" s="163" t="s">
        <v>57</v>
      </c>
      <c r="AB14" s="164" t="s">
        <v>57</v>
      </c>
      <c r="AC14" s="157">
        <v>0</v>
      </c>
      <c r="AD14" s="165"/>
    </row>
    <row r="15" spans="1:30" s="150" customFormat="1" ht="18" customHeight="1" x14ac:dyDescent="0.35">
      <c r="A15" s="159">
        <v>10</v>
      </c>
      <c r="B15" s="160" t="s">
        <v>75</v>
      </c>
      <c r="C15" s="161">
        <v>17</v>
      </c>
      <c r="D15" s="162" t="s">
        <v>57</v>
      </c>
      <c r="E15" s="163" t="s">
        <v>57</v>
      </c>
      <c r="F15" s="163" t="s">
        <v>57</v>
      </c>
      <c r="G15" s="164" t="s">
        <v>57</v>
      </c>
      <c r="H15" s="157">
        <v>17</v>
      </c>
      <c r="I15" s="165"/>
      <c r="J15" s="161">
        <v>5</v>
      </c>
      <c r="K15" s="162">
        <v>5</v>
      </c>
      <c r="L15" s="163">
        <v>10</v>
      </c>
      <c r="M15" s="163" t="s">
        <v>57</v>
      </c>
      <c r="N15" s="164" t="s">
        <v>57</v>
      </c>
      <c r="O15" s="157">
        <v>20</v>
      </c>
      <c r="P15" s="165"/>
      <c r="Q15" s="161">
        <v>18</v>
      </c>
      <c r="R15" s="162" t="s">
        <v>57</v>
      </c>
      <c r="S15" s="163" t="s">
        <v>57</v>
      </c>
      <c r="T15" s="163" t="s">
        <v>57</v>
      </c>
      <c r="U15" s="164" t="s">
        <v>57</v>
      </c>
      <c r="V15" s="157">
        <v>18</v>
      </c>
      <c r="W15" s="165"/>
      <c r="X15" s="161" t="s">
        <v>57</v>
      </c>
      <c r="Y15" s="162" t="s">
        <v>57</v>
      </c>
      <c r="Z15" s="163" t="s">
        <v>57</v>
      </c>
      <c r="AA15" s="163" t="s">
        <v>57</v>
      </c>
      <c r="AB15" s="164" t="s">
        <v>57</v>
      </c>
      <c r="AC15" s="157">
        <v>0</v>
      </c>
      <c r="AD15" s="165"/>
    </row>
    <row r="16" spans="1:30" s="150" customFormat="1" ht="18" customHeight="1" x14ac:dyDescent="0.35">
      <c r="A16" s="159">
        <v>11</v>
      </c>
      <c r="B16" s="160" t="s">
        <v>77</v>
      </c>
      <c r="C16" s="161">
        <v>17</v>
      </c>
      <c r="D16" s="162" t="s">
        <v>57</v>
      </c>
      <c r="E16" s="163" t="s">
        <v>57</v>
      </c>
      <c r="F16" s="163" t="s">
        <v>57</v>
      </c>
      <c r="G16" s="164" t="s">
        <v>57</v>
      </c>
      <c r="H16" s="157">
        <v>17</v>
      </c>
      <c r="I16" s="165"/>
      <c r="J16" s="161">
        <v>5</v>
      </c>
      <c r="K16" s="162">
        <v>5</v>
      </c>
      <c r="L16" s="163">
        <v>10</v>
      </c>
      <c r="M16" s="163" t="s">
        <v>57</v>
      </c>
      <c r="N16" s="164" t="s">
        <v>57</v>
      </c>
      <c r="O16" s="157">
        <v>20</v>
      </c>
      <c r="P16" s="165"/>
      <c r="Q16" s="161">
        <v>18</v>
      </c>
      <c r="R16" s="162" t="s">
        <v>57</v>
      </c>
      <c r="S16" s="163" t="s">
        <v>57</v>
      </c>
      <c r="T16" s="163" t="s">
        <v>57</v>
      </c>
      <c r="U16" s="164" t="s">
        <v>57</v>
      </c>
      <c r="V16" s="157">
        <v>18</v>
      </c>
      <c r="W16" s="165"/>
      <c r="X16" s="161" t="s">
        <v>57</v>
      </c>
      <c r="Y16" s="162" t="s">
        <v>57</v>
      </c>
      <c r="Z16" s="163" t="s">
        <v>57</v>
      </c>
      <c r="AA16" s="163" t="s">
        <v>57</v>
      </c>
      <c r="AB16" s="164" t="s">
        <v>57</v>
      </c>
      <c r="AC16" s="157">
        <v>0</v>
      </c>
      <c r="AD16" s="165"/>
    </row>
    <row r="17" spans="1:30" s="150" customFormat="1" ht="18" customHeight="1" x14ac:dyDescent="0.35">
      <c r="A17" s="159">
        <v>12</v>
      </c>
      <c r="B17" s="160" t="s">
        <v>79</v>
      </c>
      <c r="C17" s="161">
        <v>15</v>
      </c>
      <c r="D17" s="162" t="s">
        <v>57</v>
      </c>
      <c r="E17" s="163" t="s">
        <v>57</v>
      </c>
      <c r="F17" s="163" t="s">
        <v>57</v>
      </c>
      <c r="G17" s="164" t="s">
        <v>57</v>
      </c>
      <c r="H17" s="157">
        <v>15</v>
      </c>
      <c r="I17" s="165"/>
      <c r="J17" s="161">
        <v>5</v>
      </c>
      <c r="K17" s="162">
        <v>5</v>
      </c>
      <c r="L17" s="163">
        <v>10</v>
      </c>
      <c r="M17" s="163" t="s">
        <v>57</v>
      </c>
      <c r="N17" s="164" t="s">
        <v>57</v>
      </c>
      <c r="O17" s="157">
        <v>20</v>
      </c>
      <c r="P17" s="165"/>
      <c r="Q17" s="161">
        <v>10</v>
      </c>
      <c r="R17" s="162" t="s">
        <v>57</v>
      </c>
      <c r="S17" s="163" t="s">
        <v>57</v>
      </c>
      <c r="T17" s="163" t="s">
        <v>57</v>
      </c>
      <c r="U17" s="164" t="s">
        <v>57</v>
      </c>
      <c r="V17" s="157">
        <v>10</v>
      </c>
      <c r="W17" s="165"/>
      <c r="X17" s="161" t="s">
        <v>57</v>
      </c>
      <c r="Y17" s="162" t="s">
        <v>57</v>
      </c>
      <c r="Z17" s="163" t="s">
        <v>57</v>
      </c>
      <c r="AA17" s="163" t="s">
        <v>57</v>
      </c>
      <c r="AB17" s="164" t="s">
        <v>57</v>
      </c>
      <c r="AC17" s="157">
        <v>0</v>
      </c>
      <c r="AD17" s="165"/>
    </row>
    <row r="18" spans="1:30" s="150" customFormat="1" ht="18" customHeight="1" x14ac:dyDescent="0.35">
      <c r="A18" s="159">
        <v>13</v>
      </c>
      <c r="B18" s="160" t="s">
        <v>81</v>
      </c>
      <c r="C18" s="161">
        <v>16</v>
      </c>
      <c r="D18" s="162" t="s">
        <v>57</v>
      </c>
      <c r="E18" s="163" t="s">
        <v>57</v>
      </c>
      <c r="F18" s="163" t="s">
        <v>57</v>
      </c>
      <c r="G18" s="164" t="s">
        <v>57</v>
      </c>
      <c r="H18" s="157">
        <v>16</v>
      </c>
      <c r="I18" s="165"/>
      <c r="J18" s="161">
        <v>5</v>
      </c>
      <c r="K18" s="162">
        <v>5</v>
      </c>
      <c r="L18" s="163">
        <v>10</v>
      </c>
      <c r="M18" s="163" t="s">
        <v>57</v>
      </c>
      <c r="N18" s="164" t="s">
        <v>57</v>
      </c>
      <c r="O18" s="157">
        <v>20</v>
      </c>
      <c r="P18" s="165"/>
      <c r="Q18" s="161">
        <v>18</v>
      </c>
      <c r="R18" s="162" t="s">
        <v>57</v>
      </c>
      <c r="S18" s="163" t="s">
        <v>57</v>
      </c>
      <c r="T18" s="163" t="s">
        <v>57</v>
      </c>
      <c r="U18" s="164" t="s">
        <v>57</v>
      </c>
      <c r="V18" s="157">
        <v>18</v>
      </c>
      <c r="W18" s="165"/>
      <c r="X18" s="161" t="s">
        <v>57</v>
      </c>
      <c r="Y18" s="162" t="s">
        <v>57</v>
      </c>
      <c r="Z18" s="163" t="s">
        <v>57</v>
      </c>
      <c r="AA18" s="163" t="s">
        <v>57</v>
      </c>
      <c r="AB18" s="164" t="s">
        <v>57</v>
      </c>
      <c r="AC18" s="157">
        <v>0</v>
      </c>
      <c r="AD18" s="165"/>
    </row>
    <row r="19" spans="1:30" s="150" customFormat="1" ht="18" customHeight="1" x14ac:dyDescent="0.35">
      <c r="A19" s="159">
        <v>14</v>
      </c>
      <c r="B19" s="160" t="s">
        <v>83</v>
      </c>
      <c r="C19" s="161">
        <v>17</v>
      </c>
      <c r="D19" s="162" t="s">
        <v>57</v>
      </c>
      <c r="E19" s="163" t="s">
        <v>57</v>
      </c>
      <c r="F19" s="163" t="s">
        <v>57</v>
      </c>
      <c r="G19" s="164" t="s">
        <v>57</v>
      </c>
      <c r="H19" s="157">
        <v>17</v>
      </c>
      <c r="I19" s="165"/>
      <c r="J19" s="161">
        <v>5</v>
      </c>
      <c r="K19" s="162">
        <v>5</v>
      </c>
      <c r="L19" s="163">
        <v>10</v>
      </c>
      <c r="M19" s="163" t="s">
        <v>57</v>
      </c>
      <c r="N19" s="164" t="s">
        <v>57</v>
      </c>
      <c r="O19" s="157">
        <v>20</v>
      </c>
      <c r="P19" s="165"/>
      <c r="Q19" s="161">
        <v>18</v>
      </c>
      <c r="R19" s="162" t="s">
        <v>57</v>
      </c>
      <c r="S19" s="163" t="s">
        <v>57</v>
      </c>
      <c r="T19" s="163" t="s">
        <v>57</v>
      </c>
      <c r="U19" s="164" t="s">
        <v>57</v>
      </c>
      <c r="V19" s="157">
        <v>18</v>
      </c>
      <c r="W19" s="165"/>
      <c r="X19" s="161" t="s">
        <v>57</v>
      </c>
      <c r="Y19" s="162" t="s">
        <v>57</v>
      </c>
      <c r="Z19" s="163" t="s">
        <v>57</v>
      </c>
      <c r="AA19" s="163" t="s">
        <v>57</v>
      </c>
      <c r="AB19" s="164" t="s">
        <v>57</v>
      </c>
      <c r="AC19" s="157">
        <v>0</v>
      </c>
      <c r="AD19" s="165"/>
    </row>
    <row r="20" spans="1:30" s="150" customFormat="1" ht="18" customHeight="1" x14ac:dyDescent="0.35">
      <c r="A20" s="159">
        <v>15</v>
      </c>
      <c r="B20" s="160" t="s">
        <v>85</v>
      </c>
      <c r="C20" s="161">
        <v>16</v>
      </c>
      <c r="D20" s="162" t="s">
        <v>57</v>
      </c>
      <c r="E20" s="163" t="s">
        <v>57</v>
      </c>
      <c r="F20" s="163" t="s">
        <v>57</v>
      </c>
      <c r="G20" s="164" t="s">
        <v>57</v>
      </c>
      <c r="H20" s="157">
        <v>16</v>
      </c>
      <c r="I20" s="165"/>
      <c r="J20" s="161">
        <v>4</v>
      </c>
      <c r="K20" s="162">
        <v>4</v>
      </c>
      <c r="L20" s="163">
        <v>8</v>
      </c>
      <c r="M20" s="163" t="s">
        <v>57</v>
      </c>
      <c r="N20" s="164" t="s">
        <v>57</v>
      </c>
      <c r="O20" s="157">
        <v>16</v>
      </c>
      <c r="P20" s="165"/>
      <c r="Q20" s="161">
        <v>10</v>
      </c>
      <c r="R20" s="162" t="s">
        <v>57</v>
      </c>
      <c r="S20" s="163" t="s">
        <v>57</v>
      </c>
      <c r="T20" s="163" t="s">
        <v>57</v>
      </c>
      <c r="U20" s="164" t="s">
        <v>57</v>
      </c>
      <c r="V20" s="157">
        <v>10</v>
      </c>
      <c r="W20" s="165"/>
      <c r="X20" s="161" t="s">
        <v>57</v>
      </c>
      <c r="Y20" s="162" t="s">
        <v>57</v>
      </c>
      <c r="Z20" s="163" t="s">
        <v>57</v>
      </c>
      <c r="AA20" s="163" t="s">
        <v>57</v>
      </c>
      <c r="AB20" s="164" t="s">
        <v>57</v>
      </c>
      <c r="AC20" s="157">
        <v>0</v>
      </c>
      <c r="AD20" s="165"/>
    </row>
    <row r="21" spans="1:30" s="150" customFormat="1" ht="18" customHeight="1" x14ac:dyDescent="0.35">
      <c r="A21" s="159">
        <v>16</v>
      </c>
      <c r="B21" s="160" t="s">
        <v>87</v>
      </c>
      <c r="C21" s="161">
        <v>14</v>
      </c>
      <c r="D21" s="162" t="s">
        <v>57</v>
      </c>
      <c r="E21" s="163" t="s">
        <v>57</v>
      </c>
      <c r="F21" s="163" t="s">
        <v>57</v>
      </c>
      <c r="G21" s="164" t="s">
        <v>57</v>
      </c>
      <c r="H21" s="157">
        <v>14</v>
      </c>
      <c r="I21" s="165"/>
      <c r="J21" s="161">
        <v>5</v>
      </c>
      <c r="K21" s="162">
        <v>5</v>
      </c>
      <c r="L21" s="163">
        <v>10</v>
      </c>
      <c r="M21" s="163" t="s">
        <v>57</v>
      </c>
      <c r="N21" s="164" t="s">
        <v>57</v>
      </c>
      <c r="O21" s="157">
        <v>20</v>
      </c>
      <c r="P21" s="165"/>
      <c r="Q21" s="161">
        <v>10</v>
      </c>
      <c r="R21" s="162" t="s">
        <v>57</v>
      </c>
      <c r="S21" s="163" t="s">
        <v>57</v>
      </c>
      <c r="T21" s="163" t="s">
        <v>57</v>
      </c>
      <c r="U21" s="164" t="s">
        <v>57</v>
      </c>
      <c r="V21" s="157">
        <v>10</v>
      </c>
      <c r="W21" s="165"/>
      <c r="X21" s="161" t="s">
        <v>57</v>
      </c>
      <c r="Y21" s="162" t="s">
        <v>57</v>
      </c>
      <c r="Z21" s="163" t="s">
        <v>57</v>
      </c>
      <c r="AA21" s="163" t="s">
        <v>57</v>
      </c>
      <c r="AB21" s="164" t="s">
        <v>57</v>
      </c>
      <c r="AC21" s="157">
        <v>0</v>
      </c>
      <c r="AD21" s="165"/>
    </row>
    <row r="22" spans="1:30" s="150" customFormat="1" ht="18" customHeight="1" x14ac:dyDescent="0.35">
      <c r="A22" s="159"/>
      <c r="B22" s="160"/>
      <c r="C22" s="161"/>
      <c r="D22" s="162"/>
      <c r="E22" s="163"/>
      <c r="F22" s="163"/>
      <c r="G22" s="164"/>
      <c r="H22" s="157"/>
      <c r="I22" s="165"/>
      <c r="J22" s="161"/>
      <c r="K22" s="162"/>
      <c r="L22" s="163"/>
      <c r="M22" s="163"/>
      <c r="N22" s="164"/>
      <c r="O22" s="157"/>
      <c r="P22" s="165"/>
      <c r="Q22" s="161"/>
      <c r="R22" s="162"/>
      <c r="S22" s="163"/>
      <c r="T22" s="163"/>
      <c r="U22" s="164"/>
      <c r="V22" s="157"/>
      <c r="W22" s="165"/>
      <c r="X22" s="162"/>
      <c r="Y22" s="162"/>
      <c r="Z22" s="163"/>
      <c r="AA22" s="163"/>
      <c r="AB22" s="164"/>
      <c r="AC22" s="157"/>
      <c r="AD22" s="165"/>
    </row>
    <row r="23" spans="1:30" s="150" customFormat="1" ht="18" customHeight="1" x14ac:dyDescent="0.35">
      <c r="A23" s="159"/>
      <c r="B23" s="160"/>
      <c r="C23" s="161"/>
      <c r="D23" s="162"/>
      <c r="E23" s="163"/>
      <c r="F23" s="163"/>
      <c r="G23" s="164"/>
      <c r="H23" s="157"/>
      <c r="I23" s="165"/>
      <c r="J23" s="161"/>
      <c r="K23" s="162"/>
      <c r="L23" s="163"/>
      <c r="M23" s="163"/>
      <c r="N23" s="164"/>
      <c r="O23" s="157"/>
      <c r="P23" s="165"/>
      <c r="Q23" s="161"/>
      <c r="R23" s="162"/>
      <c r="S23" s="163"/>
      <c r="T23" s="163"/>
      <c r="U23" s="164"/>
      <c r="V23" s="157"/>
      <c r="W23" s="165"/>
      <c r="X23" s="162"/>
      <c r="Y23" s="162"/>
      <c r="Z23" s="163"/>
      <c r="AA23" s="163"/>
      <c r="AB23" s="164"/>
      <c r="AC23" s="157"/>
      <c r="AD23" s="165"/>
    </row>
    <row r="24" spans="1:30" s="150" customFormat="1" ht="18" customHeight="1" x14ac:dyDescent="0.35">
      <c r="A24" s="159"/>
      <c r="B24" s="160"/>
      <c r="C24" s="161"/>
      <c r="D24" s="162"/>
      <c r="E24" s="163"/>
      <c r="F24" s="163"/>
      <c r="G24" s="164"/>
      <c r="H24" s="157"/>
      <c r="I24" s="165"/>
      <c r="J24" s="161"/>
      <c r="K24" s="162"/>
      <c r="L24" s="163"/>
      <c r="M24" s="163"/>
      <c r="N24" s="164"/>
      <c r="O24" s="157"/>
      <c r="P24" s="165"/>
      <c r="Q24" s="161"/>
      <c r="R24" s="162"/>
      <c r="S24" s="163"/>
      <c r="T24" s="163"/>
      <c r="U24" s="164"/>
      <c r="V24" s="157"/>
      <c r="W24" s="165"/>
      <c r="X24" s="162"/>
      <c r="Y24" s="162"/>
      <c r="Z24" s="163"/>
      <c r="AA24" s="163"/>
      <c r="AB24" s="164"/>
      <c r="AC24" s="157"/>
      <c r="AD24" s="165"/>
    </row>
    <row r="25" spans="1:30" s="150" customFormat="1" ht="18" customHeight="1" x14ac:dyDescent="0.35">
      <c r="A25" s="159"/>
      <c r="B25" s="160"/>
      <c r="C25" s="161"/>
      <c r="D25" s="162"/>
      <c r="E25" s="163"/>
      <c r="F25" s="163"/>
      <c r="G25" s="164"/>
      <c r="H25" s="157"/>
      <c r="I25" s="165"/>
      <c r="J25" s="161"/>
      <c r="K25" s="162"/>
      <c r="L25" s="163"/>
      <c r="M25" s="163"/>
      <c r="N25" s="164"/>
      <c r="O25" s="157"/>
      <c r="P25" s="165"/>
      <c r="Q25" s="161"/>
      <c r="R25" s="162"/>
      <c r="S25" s="163"/>
      <c r="T25" s="163"/>
      <c r="U25" s="164"/>
      <c r="V25" s="157"/>
      <c r="W25" s="165"/>
      <c r="X25" s="162"/>
      <c r="Y25" s="162"/>
      <c r="Z25" s="163"/>
      <c r="AA25" s="163"/>
      <c r="AB25" s="164"/>
      <c r="AC25" s="157"/>
      <c r="AD25" s="165"/>
    </row>
    <row r="26" spans="1:30" s="150" customFormat="1" ht="18" customHeight="1" x14ac:dyDescent="0.35">
      <c r="A26" s="159"/>
      <c r="B26" s="160"/>
      <c r="C26" s="161"/>
      <c r="D26" s="162"/>
      <c r="E26" s="163"/>
      <c r="F26" s="163"/>
      <c r="G26" s="164"/>
      <c r="H26" s="157"/>
      <c r="I26" s="165"/>
      <c r="J26" s="161"/>
      <c r="K26" s="162"/>
      <c r="L26" s="163"/>
      <c r="M26" s="163"/>
      <c r="N26" s="164"/>
      <c r="O26" s="157"/>
      <c r="P26" s="165"/>
      <c r="Q26" s="161"/>
      <c r="R26" s="162"/>
      <c r="S26" s="163"/>
      <c r="T26" s="163"/>
      <c r="U26" s="164"/>
      <c r="V26" s="157"/>
      <c r="W26" s="165"/>
      <c r="X26" s="162"/>
      <c r="Y26" s="162"/>
      <c r="Z26" s="163"/>
      <c r="AA26" s="163"/>
      <c r="AB26" s="164"/>
      <c r="AC26" s="157"/>
      <c r="AD26" s="165"/>
    </row>
    <row r="27" spans="1:30" s="150" customFormat="1" ht="18" customHeight="1" x14ac:dyDescent="0.35">
      <c r="A27" s="159"/>
      <c r="B27" s="160"/>
      <c r="C27" s="161"/>
      <c r="D27" s="162"/>
      <c r="E27" s="163"/>
      <c r="F27" s="163"/>
      <c r="G27" s="164"/>
      <c r="H27" s="157"/>
      <c r="I27" s="165"/>
      <c r="J27" s="161"/>
      <c r="K27" s="162"/>
      <c r="L27" s="163"/>
      <c r="M27" s="163"/>
      <c r="N27" s="164"/>
      <c r="O27" s="157"/>
      <c r="P27" s="165"/>
      <c r="Q27" s="161"/>
      <c r="R27" s="162"/>
      <c r="S27" s="163"/>
      <c r="T27" s="163"/>
      <c r="U27" s="164"/>
      <c r="V27" s="157"/>
      <c r="W27" s="165"/>
      <c r="X27" s="162"/>
      <c r="Y27" s="162"/>
      <c r="Z27" s="163"/>
      <c r="AA27" s="163"/>
      <c r="AB27" s="164"/>
      <c r="AC27" s="157"/>
      <c r="AD27" s="165"/>
    </row>
    <row r="28" spans="1:30" s="150" customFormat="1" ht="18" customHeight="1" x14ac:dyDescent="0.35">
      <c r="A28" s="166"/>
      <c r="B28" s="160"/>
      <c r="C28" s="161"/>
      <c r="D28" s="162"/>
      <c r="E28" s="163"/>
      <c r="F28" s="163"/>
      <c r="G28" s="167"/>
      <c r="H28" s="157"/>
      <c r="I28" s="157"/>
      <c r="J28" s="161"/>
      <c r="K28" s="162"/>
      <c r="L28" s="163"/>
      <c r="M28" s="163"/>
      <c r="N28" s="167"/>
      <c r="O28" s="157"/>
      <c r="P28" s="157"/>
      <c r="Q28" s="161"/>
      <c r="R28" s="162"/>
      <c r="S28" s="163"/>
      <c r="T28" s="163"/>
      <c r="U28" s="167"/>
      <c r="V28" s="157"/>
      <c r="W28" s="157"/>
      <c r="X28" s="162"/>
      <c r="Y28" s="162"/>
      <c r="Z28" s="163"/>
      <c r="AA28" s="163"/>
      <c r="AB28" s="167"/>
      <c r="AC28" s="157"/>
      <c r="AD28" s="157"/>
    </row>
    <row r="29" spans="1:30" s="150" customFormat="1" ht="18" customHeight="1" x14ac:dyDescent="0.35">
      <c r="A29" s="159"/>
      <c r="B29" s="160"/>
      <c r="C29" s="161"/>
      <c r="D29" s="162"/>
      <c r="E29" s="163"/>
      <c r="F29" s="163"/>
      <c r="G29" s="164"/>
      <c r="H29" s="157"/>
      <c r="I29" s="165"/>
      <c r="J29" s="161"/>
      <c r="K29" s="162"/>
      <c r="L29" s="163"/>
      <c r="M29" s="163"/>
      <c r="N29" s="164"/>
      <c r="O29" s="157"/>
      <c r="P29" s="165"/>
      <c r="Q29" s="161"/>
      <c r="R29" s="162"/>
      <c r="S29" s="163"/>
      <c r="T29" s="163"/>
      <c r="U29" s="164"/>
      <c r="V29" s="157"/>
      <c r="W29" s="165"/>
      <c r="X29" s="162"/>
      <c r="Y29" s="162"/>
      <c r="Z29" s="163"/>
      <c r="AA29" s="163"/>
      <c r="AB29" s="164"/>
      <c r="AC29" s="157"/>
      <c r="AD29" s="165"/>
    </row>
    <row r="30" spans="1:30" s="150" customFormat="1" ht="18" customHeight="1" x14ac:dyDescent="0.35">
      <c r="A30" s="159"/>
      <c r="B30" s="160"/>
      <c r="C30" s="161"/>
      <c r="D30" s="162"/>
      <c r="E30" s="163"/>
      <c r="F30" s="163"/>
      <c r="G30" s="164"/>
      <c r="H30" s="157"/>
      <c r="I30" s="165"/>
      <c r="J30" s="161"/>
      <c r="K30" s="162"/>
      <c r="L30" s="163"/>
      <c r="M30" s="163"/>
      <c r="N30" s="164"/>
      <c r="O30" s="157"/>
      <c r="P30" s="165"/>
      <c r="Q30" s="161"/>
      <c r="R30" s="162"/>
      <c r="S30" s="163"/>
      <c r="T30" s="163"/>
      <c r="U30" s="164"/>
      <c r="V30" s="157"/>
      <c r="W30" s="165"/>
      <c r="X30" s="162"/>
      <c r="Y30" s="162"/>
      <c r="Z30" s="163"/>
      <c r="AA30" s="163"/>
      <c r="AB30" s="164"/>
      <c r="AC30" s="157"/>
      <c r="AD30" s="165"/>
    </row>
    <row r="31" spans="1:30" s="150" customFormat="1" ht="18" customHeight="1" x14ac:dyDescent="0.35">
      <c r="A31" s="159"/>
      <c r="B31" s="160"/>
      <c r="C31" s="161"/>
      <c r="D31" s="162"/>
      <c r="E31" s="163"/>
      <c r="F31" s="163"/>
      <c r="G31" s="164"/>
      <c r="H31" s="157"/>
      <c r="I31" s="165"/>
      <c r="J31" s="161"/>
      <c r="K31" s="162"/>
      <c r="L31" s="163"/>
      <c r="M31" s="163"/>
      <c r="N31" s="164"/>
      <c r="O31" s="157"/>
      <c r="P31" s="165"/>
      <c r="Q31" s="161"/>
      <c r="R31" s="162"/>
      <c r="S31" s="163"/>
      <c r="T31" s="163"/>
      <c r="U31" s="164"/>
      <c r="V31" s="157"/>
      <c r="W31" s="165"/>
      <c r="X31" s="162"/>
      <c r="Y31" s="162"/>
      <c r="Z31" s="163"/>
      <c r="AA31" s="163"/>
      <c r="AB31" s="164"/>
      <c r="AC31" s="157"/>
      <c r="AD31" s="165"/>
    </row>
    <row r="32" spans="1:30" s="150" customFormat="1" ht="18" customHeight="1" x14ac:dyDescent="0.35">
      <c r="A32" s="159"/>
      <c r="B32" s="160"/>
      <c r="C32" s="161"/>
      <c r="D32" s="162"/>
      <c r="E32" s="163"/>
      <c r="F32" s="163"/>
      <c r="G32" s="164"/>
      <c r="H32" s="157"/>
      <c r="I32" s="165"/>
      <c r="J32" s="161"/>
      <c r="K32" s="162"/>
      <c r="L32" s="163"/>
      <c r="M32" s="163"/>
      <c r="N32" s="164"/>
      <c r="O32" s="157"/>
      <c r="P32" s="165"/>
      <c r="Q32" s="161"/>
      <c r="R32" s="162"/>
      <c r="S32" s="163"/>
      <c r="T32" s="163"/>
      <c r="U32" s="164"/>
      <c r="V32" s="157"/>
      <c r="W32" s="165"/>
      <c r="X32" s="162"/>
      <c r="Y32" s="162"/>
      <c r="Z32" s="163"/>
      <c r="AA32" s="163"/>
      <c r="AB32" s="164"/>
      <c r="AC32" s="157"/>
      <c r="AD32" s="165"/>
    </row>
    <row r="33" spans="1:30" s="150" customFormat="1" ht="18" customHeight="1" x14ac:dyDescent="0.35">
      <c r="A33" s="166"/>
      <c r="B33" s="160"/>
      <c r="C33" s="161"/>
      <c r="D33" s="162"/>
      <c r="E33" s="163"/>
      <c r="F33" s="163"/>
      <c r="G33" s="167"/>
      <c r="H33" s="157"/>
      <c r="I33" s="157"/>
      <c r="J33" s="161"/>
      <c r="K33" s="162"/>
      <c r="L33" s="163"/>
      <c r="M33" s="163"/>
      <c r="N33" s="167"/>
      <c r="O33" s="157"/>
      <c r="P33" s="157"/>
      <c r="Q33" s="161"/>
      <c r="R33" s="162"/>
      <c r="S33" s="163"/>
      <c r="T33" s="163"/>
      <c r="U33" s="167"/>
      <c r="V33" s="157"/>
      <c r="W33" s="157"/>
      <c r="X33" s="162"/>
      <c r="Y33" s="162"/>
      <c r="Z33" s="163"/>
      <c r="AA33" s="163"/>
      <c r="AB33" s="167"/>
      <c r="AC33" s="157"/>
      <c r="AD33" s="157"/>
    </row>
    <row r="34" spans="1:30" s="150" customFormat="1" ht="18" customHeight="1" x14ac:dyDescent="0.35">
      <c r="A34" s="159"/>
      <c r="B34" s="160"/>
      <c r="C34" s="161"/>
      <c r="D34" s="162"/>
      <c r="E34" s="163"/>
      <c r="F34" s="163"/>
      <c r="G34" s="164"/>
      <c r="H34" s="157"/>
      <c r="I34" s="165"/>
      <c r="J34" s="161"/>
      <c r="K34" s="162"/>
      <c r="L34" s="163"/>
      <c r="M34" s="163"/>
      <c r="N34" s="164"/>
      <c r="O34" s="157"/>
      <c r="P34" s="165"/>
      <c r="Q34" s="161"/>
      <c r="R34" s="162"/>
      <c r="S34" s="163"/>
      <c r="T34" s="163"/>
      <c r="U34" s="164"/>
      <c r="V34" s="157"/>
      <c r="W34" s="165"/>
      <c r="X34" s="162"/>
      <c r="Y34" s="162"/>
      <c r="Z34" s="163"/>
      <c r="AA34" s="163"/>
      <c r="AB34" s="164"/>
      <c r="AC34" s="157"/>
      <c r="AD34" s="165"/>
    </row>
    <row r="35" spans="1:30" s="150" customFormat="1" ht="18" customHeight="1" x14ac:dyDescent="0.35">
      <c r="A35" s="159"/>
      <c r="B35" s="160"/>
      <c r="C35" s="161"/>
      <c r="D35" s="162"/>
      <c r="E35" s="163"/>
      <c r="F35" s="163"/>
      <c r="G35" s="164"/>
      <c r="H35" s="157"/>
      <c r="I35" s="165"/>
      <c r="J35" s="161"/>
      <c r="K35" s="162"/>
      <c r="L35" s="163"/>
      <c r="M35" s="163"/>
      <c r="N35" s="164"/>
      <c r="O35" s="157"/>
      <c r="P35" s="165"/>
      <c r="Q35" s="161"/>
      <c r="R35" s="162"/>
      <c r="S35" s="163"/>
      <c r="T35" s="163"/>
      <c r="U35" s="164"/>
      <c r="V35" s="157"/>
      <c r="W35" s="165"/>
      <c r="X35" s="162"/>
      <c r="Y35" s="162"/>
      <c r="Z35" s="163"/>
      <c r="AA35" s="163"/>
      <c r="AB35" s="164"/>
      <c r="AC35" s="157"/>
      <c r="AD35" s="165"/>
    </row>
    <row r="36" spans="1:30" s="150" customFormat="1" ht="18" customHeight="1" x14ac:dyDescent="0.35">
      <c r="A36" s="159"/>
      <c r="B36" s="160"/>
      <c r="C36" s="161"/>
      <c r="D36" s="162"/>
      <c r="E36" s="163"/>
      <c r="F36" s="163"/>
      <c r="G36" s="164"/>
      <c r="H36" s="157"/>
      <c r="I36" s="165"/>
      <c r="J36" s="161"/>
      <c r="K36" s="162"/>
      <c r="L36" s="163"/>
      <c r="M36" s="163"/>
      <c r="N36" s="164"/>
      <c r="O36" s="165"/>
      <c r="P36" s="165"/>
      <c r="Q36" s="161"/>
      <c r="R36" s="162"/>
      <c r="S36" s="163"/>
      <c r="T36" s="163"/>
      <c r="U36" s="164"/>
      <c r="V36" s="165"/>
      <c r="W36" s="165"/>
      <c r="X36" s="162"/>
      <c r="Y36" s="162"/>
      <c r="Z36" s="163"/>
      <c r="AA36" s="163"/>
      <c r="AB36" s="164"/>
      <c r="AC36" s="157"/>
      <c r="AD36" s="165"/>
    </row>
    <row r="37" spans="1:30" s="150" customFormat="1" ht="18" customHeight="1" x14ac:dyDescent="0.35">
      <c r="A37" s="159"/>
      <c r="B37" s="168"/>
      <c r="C37" s="169"/>
      <c r="D37" s="170"/>
      <c r="E37" s="171"/>
      <c r="F37" s="171"/>
      <c r="G37" s="167"/>
      <c r="H37" s="157"/>
      <c r="I37" s="157"/>
      <c r="J37" s="169"/>
      <c r="K37" s="170"/>
      <c r="L37" s="171"/>
      <c r="M37" s="171"/>
      <c r="N37" s="167"/>
      <c r="O37" s="157"/>
      <c r="P37" s="157"/>
      <c r="Q37" s="169"/>
      <c r="R37" s="170"/>
      <c r="S37" s="171"/>
      <c r="T37" s="171"/>
      <c r="U37" s="167"/>
      <c r="V37" s="157"/>
      <c r="W37" s="157"/>
      <c r="X37" s="170"/>
      <c r="Y37" s="170"/>
      <c r="Z37" s="163"/>
      <c r="AA37" s="171"/>
      <c r="AB37" s="167"/>
      <c r="AC37" s="157"/>
      <c r="AD37" s="157"/>
    </row>
    <row r="38" spans="1:30" s="150" customFormat="1" ht="18" customHeight="1" x14ac:dyDescent="0.35">
      <c r="A38" s="159"/>
      <c r="B38" s="172"/>
      <c r="C38" s="161"/>
      <c r="D38" s="162"/>
      <c r="E38" s="163"/>
      <c r="F38" s="163"/>
      <c r="G38" s="164"/>
      <c r="H38" s="157"/>
      <c r="I38" s="165"/>
      <c r="J38" s="161"/>
      <c r="K38" s="162"/>
      <c r="L38" s="163"/>
      <c r="M38" s="163"/>
      <c r="N38" s="164"/>
      <c r="O38" s="165"/>
      <c r="P38" s="165"/>
      <c r="Q38" s="161"/>
      <c r="R38" s="162"/>
      <c r="S38" s="163"/>
      <c r="T38" s="163"/>
      <c r="U38" s="164"/>
      <c r="V38" s="165"/>
      <c r="W38" s="165"/>
      <c r="X38" s="162"/>
      <c r="Y38" s="162"/>
      <c r="Z38" s="163"/>
      <c r="AA38" s="163"/>
      <c r="AB38" s="164"/>
      <c r="AC38" s="157"/>
      <c r="AD38" s="165"/>
    </row>
    <row r="39" spans="1:30" s="150" customFormat="1" ht="18" customHeight="1" x14ac:dyDescent="0.35">
      <c r="A39" s="159"/>
      <c r="B39" s="172"/>
      <c r="C39" s="169"/>
      <c r="D39" s="170"/>
      <c r="E39" s="171"/>
      <c r="F39" s="173"/>
      <c r="G39" s="167"/>
      <c r="H39" s="157"/>
      <c r="I39" s="157"/>
      <c r="J39" s="169"/>
      <c r="K39" s="170"/>
      <c r="L39" s="171"/>
      <c r="M39" s="173"/>
      <c r="N39" s="167"/>
      <c r="O39" s="157"/>
      <c r="P39" s="157"/>
      <c r="Q39" s="169"/>
      <c r="R39" s="170"/>
      <c r="S39" s="171"/>
      <c r="T39" s="173"/>
      <c r="U39" s="167"/>
      <c r="V39" s="157"/>
      <c r="W39" s="157"/>
      <c r="X39" s="170"/>
      <c r="Y39" s="170"/>
      <c r="Z39" s="163"/>
      <c r="AA39" s="173"/>
      <c r="AB39" s="167"/>
      <c r="AC39" s="157"/>
      <c r="AD39" s="157"/>
    </row>
    <row r="40" spans="1:30" s="150" customFormat="1" ht="18" customHeight="1" x14ac:dyDescent="0.35">
      <c r="A40" s="159"/>
      <c r="B40" s="160"/>
      <c r="C40" s="161"/>
      <c r="D40" s="162"/>
      <c r="E40" s="163"/>
      <c r="F40" s="174"/>
      <c r="G40" s="164"/>
      <c r="H40" s="165"/>
      <c r="I40" s="165"/>
      <c r="J40" s="161"/>
      <c r="K40" s="162"/>
      <c r="L40" s="163"/>
      <c r="M40" s="174"/>
      <c r="N40" s="164"/>
      <c r="O40" s="165"/>
      <c r="P40" s="165"/>
      <c r="Q40" s="161"/>
      <c r="R40" s="162"/>
      <c r="S40" s="163"/>
      <c r="T40" s="174"/>
      <c r="U40" s="164"/>
      <c r="V40" s="165"/>
      <c r="W40" s="165"/>
      <c r="X40" s="162"/>
      <c r="Y40" s="162"/>
      <c r="Z40" s="163"/>
      <c r="AA40" s="174"/>
      <c r="AB40" s="164"/>
      <c r="AC40" s="165"/>
      <c r="AD40" s="165"/>
    </row>
    <row r="41" spans="1:30" x14ac:dyDescent="0.3"/>
    <row r="42" spans="1:30" x14ac:dyDescent="0.3"/>
    <row r="43" spans="1:30" x14ac:dyDescent="0.3"/>
    <row r="44" spans="1:30" x14ac:dyDescent="0.3"/>
    <row r="45" spans="1:30" x14ac:dyDescent="0.3"/>
    <row r="46" spans="1:30" x14ac:dyDescent="0.3"/>
    <row r="47" spans="1:30" x14ac:dyDescent="0.3"/>
    <row r="48" spans="1:30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</sheetData>
  <mergeCells count="18">
    <mergeCell ref="AD3:AD4"/>
    <mergeCell ref="A4:A5"/>
    <mergeCell ref="A2:B3"/>
    <mergeCell ref="C2:I2"/>
    <mergeCell ref="J2:P2"/>
    <mergeCell ref="Q2:W2"/>
    <mergeCell ref="X2:AD2"/>
    <mergeCell ref="C3:G3"/>
    <mergeCell ref="J3:N3"/>
    <mergeCell ref="Q3:U3"/>
    <mergeCell ref="X3:AB3"/>
    <mergeCell ref="H3:H4"/>
    <mergeCell ref="I3:I4"/>
    <mergeCell ref="O3:O4"/>
    <mergeCell ref="P3:P4"/>
    <mergeCell ref="V3:V4"/>
    <mergeCell ref="W3:W4"/>
    <mergeCell ref="AC3:AC4"/>
  </mergeCells>
  <pageMargins left="0.38541666666666669" right="0.17708333333333334" top="0.15748031496062992" bottom="0.15748031496062992" header="0.31496062992125984" footer="0.31496062992125984"/>
  <pageSetup paperSize="9" scale="99" fitToHeight="0" orientation="portrait" useFirstPageNumber="1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D55"/>
  <sheetViews>
    <sheetView view="pageBreakPreview" zoomScale="120" zoomScaleNormal="120" workbookViewId="0">
      <selection activeCell="F10" sqref="F10"/>
    </sheetView>
  </sheetViews>
  <sheetFormatPr defaultColWidth="9.125" defaultRowHeight="18.75" customHeight="1" x14ac:dyDescent="0.3"/>
  <cols>
    <col min="1" max="1" width="2.875" style="140" customWidth="1"/>
    <col min="2" max="2" width="15.875" style="140" customWidth="1"/>
    <col min="3" max="30" width="2.625" style="140" customWidth="1"/>
    <col min="31" max="31" width="9.125" style="140" customWidth="1"/>
    <col min="32" max="16384" width="9.125" style="140"/>
  </cols>
  <sheetData>
    <row r="1" spans="1:30" ht="18.75" customHeight="1" x14ac:dyDescent="0.3">
      <c r="AD1" s="142">
        <v>6</v>
      </c>
    </row>
    <row r="2" spans="1:30" ht="18.75" customHeight="1" x14ac:dyDescent="0.3">
      <c r="A2" s="418" t="s">
        <v>95</v>
      </c>
      <c r="B2" s="419"/>
      <c r="C2" s="398">
        <v>5</v>
      </c>
      <c r="D2" s="399"/>
      <c r="E2" s="399"/>
      <c r="F2" s="399"/>
      <c r="G2" s="399"/>
      <c r="H2" s="399"/>
      <c r="I2" s="400"/>
      <c r="J2" s="398">
        <v>6</v>
      </c>
      <c r="K2" s="399"/>
      <c r="L2" s="399"/>
      <c r="M2" s="399"/>
      <c r="N2" s="399"/>
      <c r="O2" s="399"/>
      <c r="P2" s="400"/>
      <c r="Q2" s="398">
        <v>7</v>
      </c>
      <c r="R2" s="399"/>
      <c r="S2" s="399"/>
      <c r="T2" s="399"/>
      <c r="U2" s="399"/>
      <c r="V2" s="399"/>
      <c r="W2" s="400"/>
      <c r="X2" s="398">
        <v>8</v>
      </c>
      <c r="Y2" s="399"/>
      <c r="Z2" s="399"/>
      <c r="AA2" s="399"/>
      <c r="AB2" s="399"/>
      <c r="AC2" s="399"/>
      <c r="AD2" s="400"/>
    </row>
    <row r="3" spans="1:30" ht="20.100000000000001" customHeight="1" x14ac:dyDescent="0.3">
      <c r="A3" s="420"/>
      <c r="B3" s="421"/>
      <c r="C3" s="422" t="s">
        <v>96</v>
      </c>
      <c r="D3" s="423"/>
      <c r="E3" s="423"/>
      <c r="F3" s="423"/>
      <c r="G3" s="423"/>
      <c r="H3" s="424" t="s">
        <v>92</v>
      </c>
      <c r="I3" s="424" t="s">
        <v>97</v>
      </c>
      <c r="J3" s="422" t="s">
        <v>96</v>
      </c>
      <c r="K3" s="423"/>
      <c r="L3" s="423"/>
      <c r="M3" s="423"/>
      <c r="N3" s="423"/>
      <c r="O3" s="424" t="s">
        <v>92</v>
      </c>
      <c r="P3" s="424" t="s">
        <v>97</v>
      </c>
      <c r="Q3" s="422" t="s">
        <v>96</v>
      </c>
      <c r="R3" s="423"/>
      <c r="S3" s="423"/>
      <c r="T3" s="423"/>
      <c r="U3" s="423"/>
      <c r="V3" s="424" t="s">
        <v>92</v>
      </c>
      <c r="W3" s="424" t="s">
        <v>97</v>
      </c>
      <c r="X3" s="422" t="s">
        <v>96</v>
      </c>
      <c r="Y3" s="423"/>
      <c r="Z3" s="423"/>
      <c r="AA3" s="423"/>
      <c r="AB3" s="423"/>
      <c r="AC3" s="424" t="s">
        <v>92</v>
      </c>
      <c r="AD3" s="424" t="s">
        <v>97</v>
      </c>
    </row>
    <row r="4" spans="1:30" ht="20.100000000000001" customHeight="1" x14ac:dyDescent="0.3">
      <c r="A4" s="426"/>
      <c r="B4" s="143" t="s">
        <v>98</v>
      </c>
      <c r="C4" s="144">
        <v>1</v>
      </c>
      <c r="D4" s="145">
        <v>2</v>
      </c>
      <c r="E4" s="145">
        <v>3</v>
      </c>
      <c r="F4" s="145">
        <v>4</v>
      </c>
      <c r="G4" s="146">
        <v>5</v>
      </c>
      <c r="H4" s="425"/>
      <c r="I4" s="425"/>
      <c r="J4" s="144">
        <v>1</v>
      </c>
      <c r="K4" s="145">
        <v>2</v>
      </c>
      <c r="L4" s="145">
        <v>3</v>
      </c>
      <c r="M4" s="145">
        <v>4</v>
      </c>
      <c r="N4" s="146">
        <v>5</v>
      </c>
      <c r="O4" s="425"/>
      <c r="P4" s="425"/>
      <c r="Q4" s="144">
        <v>1</v>
      </c>
      <c r="R4" s="145">
        <v>2</v>
      </c>
      <c r="S4" s="145">
        <v>3</v>
      </c>
      <c r="T4" s="145">
        <v>4</v>
      </c>
      <c r="U4" s="146">
        <v>5</v>
      </c>
      <c r="V4" s="425"/>
      <c r="W4" s="425"/>
      <c r="X4" s="144">
        <v>1</v>
      </c>
      <c r="Y4" s="145">
        <v>2</v>
      </c>
      <c r="Z4" s="145">
        <v>3</v>
      </c>
      <c r="AA4" s="145">
        <v>4</v>
      </c>
      <c r="AB4" s="146">
        <v>5</v>
      </c>
      <c r="AC4" s="425"/>
      <c r="AD4" s="425"/>
    </row>
    <row r="5" spans="1:30" ht="18" customHeight="1" x14ac:dyDescent="0.3">
      <c r="A5" s="427"/>
      <c r="B5" s="147"/>
      <c r="C5" s="144">
        <v>0</v>
      </c>
      <c r="D5" s="145"/>
      <c r="E5" s="145"/>
      <c r="F5" s="145"/>
      <c r="G5" s="146"/>
      <c r="H5" s="148"/>
      <c r="I5" s="148"/>
      <c r="J5" s="144">
        <v>0</v>
      </c>
      <c r="K5" s="145"/>
      <c r="L5" s="145"/>
      <c r="M5" s="145"/>
      <c r="N5" s="146"/>
      <c r="O5" s="148"/>
      <c r="P5" s="149"/>
      <c r="Q5" s="175">
        <v>0</v>
      </c>
      <c r="R5" s="176"/>
      <c r="S5" s="176"/>
      <c r="T5" s="176"/>
      <c r="U5" s="177"/>
      <c r="V5" s="149"/>
      <c r="W5" s="149"/>
      <c r="X5" s="175">
        <v>0</v>
      </c>
      <c r="Y5" s="176"/>
      <c r="Z5" s="176"/>
      <c r="AA5" s="176"/>
      <c r="AB5" s="177"/>
      <c r="AC5" s="149"/>
      <c r="AD5" s="149"/>
    </row>
    <row r="6" spans="1:30" s="150" customFormat="1" ht="18" customHeight="1" x14ac:dyDescent="0.35">
      <c r="A6" s="151">
        <v>1</v>
      </c>
      <c r="B6" s="152" t="s">
        <v>56</v>
      </c>
      <c r="C6" s="153" t="s">
        <v>57</v>
      </c>
      <c r="D6" s="154" t="s">
        <v>57</v>
      </c>
      <c r="E6" s="155" t="s">
        <v>57</v>
      </c>
      <c r="F6" s="155" t="s">
        <v>57</v>
      </c>
      <c r="G6" s="156" t="s">
        <v>57</v>
      </c>
      <c r="H6" s="157">
        <v>0</v>
      </c>
      <c r="I6" s="158"/>
      <c r="J6" s="153" t="s">
        <v>57</v>
      </c>
      <c r="K6" s="154" t="s">
        <v>57</v>
      </c>
      <c r="L6" s="155" t="s">
        <v>57</v>
      </c>
      <c r="M6" s="155" t="s">
        <v>57</v>
      </c>
      <c r="N6" s="156" t="s">
        <v>57</v>
      </c>
      <c r="O6" s="157">
        <v>0</v>
      </c>
      <c r="P6" s="158"/>
      <c r="Q6" s="153" t="s">
        <v>57</v>
      </c>
      <c r="R6" s="154" t="s">
        <v>57</v>
      </c>
      <c r="S6" s="155" t="s">
        <v>57</v>
      </c>
      <c r="T6" s="155" t="s">
        <v>57</v>
      </c>
      <c r="U6" s="156" t="s">
        <v>57</v>
      </c>
      <c r="V6" s="157">
        <v>0</v>
      </c>
      <c r="W6" s="158"/>
      <c r="X6" s="153" t="s">
        <v>57</v>
      </c>
      <c r="Y6" s="154" t="s">
        <v>57</v>
      </c>
      <c r="Z6" s="155" t="s">
        <v>57</v>
      </c>
      <c r="AA6" s="155" t="s">
        <v>57</v>
      </c>
      <c r="AB6" s="156" t="s">
        <v>57</v>
      </c>
      <c r="AC6" s="157">
        <v>0</v>
      </c>
      <c r="AD6" s="158"/>
    </row>
    <row r="7" spans="1:30" s="150" customFormat="1" ht="18" customHeight="1" x14ac:dyDescent="0.35">
      <c r="A7" s="159">
        <v>2</v>
      </c>
      <c r="B7" s="160" t="s">
        <v>59</v>
      </c>
      <c r="C7" s="161" t="s">
        <v>57</v>
      </c>
      <c r="D7" s="162" t="s">
        <v>57</v>
      </c>
      <c r="E7" s="163" t="s">
        <v>57</v>
      </c>
      <c r="F7" s="163" t="s">
        <v>57</v>
      </c>
      <c r="G7" s="164" t="s">
        <v>57</v>
      </c>
      <c r="H7" s="157">
        <v>0</v>
      </c>
      <c r="I7" s="165"/>
      <c r="J7" s="161" t="s">
        <v>57</v>
      </c>
      <c r="K7" s="162" t="s">
        <v>57</v>
      </c>
      <c r="L7" s="163" t="s">
        <v>57</v>
      </c>
      <c r="M7" s="163" t="s">
        <v>57</v>
      </c>
      <c r="N7" s="164" t="s">
        <v>57</v>
      </c>
      <c r="O7" s="157">
        <v>0</v>
      </c>
      <c r="P7" s="165"/>
      <c r="Q7" s="161" t="s">
        <v>57</v>
      </c>
      <c r="R7" s="162" t="s">
        <v>57</v>
      </c>
      <c r="S7" s="163" t="s">
        <v>57</v>
      </c>
      <c r="T7" s="163" t="s">
        <v>57</v>
      </c>
      <c r="U7" s="164" t="s">
        <v>57</v>
      </c>
      <c r="V7" s="157">
        <v>0</v>
      </c>
      <c r="W7" s="165"/>
      <c r="X7" s="161" t="s">
        <v>57</v>
      </c>
      <c r="Y7" s="162" t="s">
        <v>57</v>
      </c>
      <c r="Z7" s="163" t="s">
        <v>57</v>
      </c>
      <c r="AA7" s="163" t="s">
        <v>57</v>
      </c>
      <c r="AB7" s="164" t="s">
        <v>57</v>
      </c>
      <c r="AC7" s="157">
        <v>0</v>
      </c>
      <c r="AD7" s="165"/>
    </row>
    <row r="8" spans="1:30" s="150" customFormat="1" ht="18" customHeight="1" x14ac:dyDescent="0.35">
      <c r="A8" s="159">
        <v>3</v>
      </c>
      <c r="B8" s="160" t="s">
        <v>61</v>
      </c>
      <c r="C8" s="161" t="s">
        <v>57</v>
      </c>
      <c r="D8" s="162" t="s">
        <v>57</v>
      </c>
      <c r="E8" s="163" t="s">
        <v>57</v>
      </c>
      <c r="F8" s="163" t="s">
        <v>57</v>
      </c>
      <c r="G8" s="164" t="s">
        <v>57</v>
      </c>
      <c r="H8" s="157">
        <v>0</v>
      </c>
      <c r="I8" s="165"/>
      <c r="J8" s="161" t="s">
        <v>57</v>
      </c>
      <c r="K8" s="162" t="s">
        <v>57</v>
      </c>
      <c r="L8" s="163" t="s">
        <v>57</v>
      </c>
      <c r="M8" s="163" t="s">
        <v>57</v>
      </c>
      <c r="N8" s="164" t="s">
        <v>57</v>
      </c>
      <c r="O8" s="157">
        <v>0</v>
      </c>
      <c r="P8" s="165"/>
      <c r="Q8" s="161" t="s">
        <v>57</v>
      </c>
      <c r="R8" s="162" t="s">
        <v>57</v>
      </c>
      <c r="S8" s="163" t="s">
        <v>57</v>
      </c>
      <c r="T8" s="163" t="s">
        <v>57</v>
      </c>
      <c r="U8" s="164" t="s">
        <v>57</v>
      </c>
      <c r="V8" s="157">
        <v>0</v>
      </c>
      <c r="W8" s="165"/>
      <c r="X8" s="161" t="s">
        <v>57</v>
      </c>
      <c r="Y8" s="162" t="s">
        <v>57</v>
      </c>
      <c r="Z8" s="163" t="s">
        <v>57</v>
      </c>
      <c r="AA8" s="163" t="s">
        <v>57</v>
      </c>
      <c r="AB8" s="164" t="s">
        <v>57</v>
      </c>
      <c r="AC8" s="157">
        <v>0</v>
      </c>
      <c r="AD8" s="165"/>
    </row>
    <row r="9" spans="1:30" s="150" customFormat="1" ht="18" customHeight="1" x14ac:dyDescent="0.35">
      <c r="A9" s="159">
        <v>4</v>
      </c>
      <c r="B9" s="160" t="s">
        <v>63</v>
      </c>
      <c r="C9" s="161" t="s">
        <v>57</v>
      </c>
      <c r="D9" s="162" t="s">
        <v>57</v>
      </c>
      <c r="E9" s="163" t="s">
        <v>57</v>
      </c>
      <c r="F9" s="163" t="s">
        <v>57</v>
      </c>
      <c r="G9" s="164" t="s">
        <v>57</v>
      </c>
      <c r="H9" s="157">
        <v>0</v>
      </c>
      <c r="I9" s="165"/>
      <c r="J9" s="161" t="s">
        <v>57</v>
      </c>
      <c r="K9" s="162" t="s">
        <v>57</v>
      </c>
      <c r="L9" s="163" t="s">
        <v>57</v>
      </c>
      <c r="M9" s="163" t="s">
        <v>57</v>
      </c>
      <c r="N9" s="164" t="s">
        <v>57</v>
      </c>
      <c r="O9" s="157">
        <v>0</v>
      </c>
      <c r="P9" s="165"/>
      <c r="Q9" s="161" t="s">
        <v>57</v>
      </c>
      <c r="R9" s="162" t="s">
        <v>57</v>
      </c>
      <c r="S9" s="163" t="s">
        <v>57</v>
      </c>
      <c r="T9" s="163" t="s">
        <v>57</v>
      </c>
      <c r="U9" s="164" t="s">
        <v>57</v>
      </c>
      <c r="V9" s="157">
        <v>0</v>
      </c>
      <c r="W9" s="165"/>
      <c r="X9" s="161" t="s">
        <v>57</v>
      </c>
      <c r="Y9" s="162" t="s">
        <v>57</v>
      </c>
      <c r="Z9" s="163" t="s">
        <v>57</v>
      </c>
      <c r="AA9" s="163" t="s">
        <v>57</v>
      </c>
      <c r="AB9" s="164" t="s">
        <v>57</v>
      </c>
      <c r="AC9" s="157">
        <v>0</v>
      </c>
      <c r="AD9" s="165"/>
    </row>
    <row r="10" spans="1:30" s="150" customFormat="1" ht="18" customHeight="1" x14ac:dyDescent="0.35">
      <c r="A10" s="159">
        <v>5</v>
      </c>
      <c r="B10" s="160" t="s">
        <v>65</v>
      </c>
      <c r="C10" s="161" t="s">
        <v>57</v>
      </c>
      <c r="D10" s="162" t="s">
        <v>57</v>
      </c>
      <c r="E10" s="163" t="s">
        <v>57</v>
      </c>
      <c r="F10" s="163" t="s">
        <v>57</v>
      </c>
      <c r="G10" s="164" t="s">
        <v>57</v>
      </c>
      <c r="H10" s="157">
        <v>0</v>
      </c>
      <c r="I10" s="165"/>
      <c r="J10" s="161" t="s">
        <v>57</v>
      </c>
      <c r="K10" s="162" t="s">
        <v>57</v>
      </c>
      <c r="L10" s="163" t="s">
        <v>57</v>
      </c>
      <c r="M10" s="163" t="s">
        <v>57</v>
      </c>
      <c r="N10" s="164" t="s">
        <v>57</v>
      </c>
      <c r="O10" s="157">
        <v>0</v>
      </c>
      <c r="P10" s="165"/>
      <c r="Q10" s="161" t="s">
        <v>57</v>
      </c>
      <c r="R10" s="162" t="s">
        <v>57</v>
      </c>
      <c r="S10" s="163" t="s">
        <v>57</v>
      </c>
      <c r="T10" s="163" t="s">
        <v>57</v>
      </c>
      <c r="U10" s="164" t="s">
        <v>57</v>
      </c>
      <c r="V10" s="157">
        <v>0</v>
      </c>
      <c r="W10" s="165"/>
      <c r="X10" s="161" t="s">
        <v>57</v>
      </c>
      <c r="Y10" s="162" t="s">
        <v>57</v>
      </c>
      <c r="Z10" s="163" t="s">
        <v>57</v>
      </c>
      <c r="AA10" s="163" t="s">
        <v>57</v>
      </c>
      <c r="AB10" s="164" t="s">
        <v>57</v>
      </c>
      <c r="AC10" s="157">
        <v>0</v>
      </c>
      <c r="AD10" s="165"/>
    </row>
    <row r="11" spans="1:30" s="150" customFormat="1" ht="18" customHeight="1" x14ac:dyDescent="0.35">
      <c r="A11" s="159">
        <v>6</v>
      </c>
      <c r="B11" s="160" t="s">
        <v>67</v>
      </c>
      <c r="C11" s="161" t="s">
        <v>57</v>
      </c>
      <c r="D11" s="162" t="s">
        <v>57</v>
      </c>
      <c r="E11" s="163" t="s">
        <v>57</v>
      </c>
      <c r="F11" s="163" t="s">
        <v>57</v>
      </c>
      <c r="G11" s="164" t="s">
        <v>57</v>
      </c>
      <c r="H11" s="157">
        <v>0</v>
      </c>
      <c r="I11" s="165"/>
      <c r="J11" s="161" t="s">
        <v>57</v>
      </c>
      <c r="K11" s="162" t="s">
        <v>57</v>
      </c>
      <c r="L11" s="163" t="s">
        <v>57</v>
      </c>
      <c r="M11" s="163" t="s">
        <v>57</v>
      </c>
      <c r="N11" s="164" t="s">
        <v>57</v>
      </c>
      <c r="O11" s="157">
        <v>0</v>
      </c>
      <c r="P11" s="165"/>
      <c r="Q11" s="161" t="s">
        <v>57</v>
      </c>
      <c r="R11" s="162" t="s">
        <v>57</v>
      </c>
      <c r="S11" s="163" t="s">
        <v>57</v>
      </c>
      <c r="T11" s="163" t="s">
        <v>57</v>
      </c>
      <c r="U11" s="164" t="s">
        <v>57</v>
      </c>
      <c r="V11" s="157">
        <v>0</v>
      </c>
      <c r="W11" s="165"/>
      <c r="X11" s="161" t="s">
        <v>57</v>
      </c>
      <c r="Y11" s="162" t="s">
        <v>57</v>
      </c>
      <c r="Z11" s="163" t="s">
        <v>57</v>
      </c>
      <c r="AA11" s="163" t="s">
        <v>57</v>
      </c>
      <c r="AB11" s="164" t="s">
        <v>57</v>
      </c>
      <c r="AC11" s="157">
        <v>0</v>
      </c>
      <c r="AD11" s="165"/>
    </row>
    <row r="12" spans="1:30" s="150" customFormat="1" ht="18" customHeight="1" x14ac:dyDescent="0.35">
      <c r="A12" s="159">
        <v>7</v>
      </c>
      <c r="B12" s="160" t="s">
        <v>69</v>
      </c>
      <c r="C12" s="161" t="s">
        <v>57</v>
      </c>
      <c r="D12" s="162" t="s">
        <v>57</v>
      </c>
      <c r="E12" s="163" t="s">
        <v>57</v>
      </c>
      <c r="F12" s="163" t="s">
        <v>57</v>
      </c>
      <c r="G12" s="164" t="s">
        <v>57</v>
      </c>
      <c r="H12" s="157">
        <v>0</v>
      </c>
      <c r="I12" s="165"/>
      <c r="J12" s="161" t="s">
        <v>57</v>
      </c>
      <c r="K12" s="162" t="s">
        <v>57</v>
      </c>
      <c r="L12" s="163" t="s">
        <v>57</v>
      </c>
      <c r="M12" s="163" t="s">
        <v>57</v>
      </c>
      <c r="N12" s="164" t="s">
        <v>57</v>
      </c>
      <c r="O12" s="157">
        <v>0</v>
      </c>
      <c r="P12" s="165"/>
      <c r="Q12" s="161" t="s">
        <v>57</v>
      </c>
      <c r="R12" s="162" t="s">
        <v>57</v>
      </c>
      <c r="S12" s="163" t="s">
        <v>57</v>
      </c>
      <c r="T12" s="163" t="s">
        <v>57</v>
      </c>
      <c r="U12" s="164" t="s">
        <v>57</v>
      </c>
      <c r="V12" s="157">
        <v>0</v>
      </c>
      <c r="W12" s="165"/>
      <c r="X12" s="161" t="s">
        <v>57</v>
      </c>
      <c r="Y12" s="162" t="s">
        <v>57</v>
      </c>
      <c r="Z12" s="163" t="s">
        <v>57</v>
      </c>
      <c r="AA12" s="163" t="s">
        <v>57</v>
      </c>
      <c r="AB12" s="164" t="s">
        <v>57</v>
      </c>
      <c r="AC12" s="157">
        <v>0</v>
      </c>
      <c r="AD12" s="165"/>
    </row>
    <row r="13" spans="1:30" s="150" customFormat="1" ht="18" customHeight="1" x14ac:dyDescent="0.35">
      <c r="A13" s="159">
        <v>8</v>
      </c>
      <c r="B13" s="160" t="s">
        <v>71</v>
      </c>
      <c r="C13" s="161" t="s">
        <v>57</v>
      </c>
      <c r="D13" s="162" t="s">
        <v>57</v>
      </c>
      <c r="E13" s="163" t="s">
        <v>57</v>
      </c>
      <c r="F13" s="163" t="s">
        <v>57</v>
      </c>
      <c r="G13" s="164" t="s">
        <v>57</v>
      </c>
      <c r="H13" s="157">
        <v>0</v>
      </c>
      <c r="I13" s="165"/>
      <c r="J13" s="161" t="s">
        <v>57</v>
      </c>
      <c r="K13" s="162" t="s">
        <v>57</v>
      </c>
      <c r="L13" s="163" t="s">
        <v>57</v>
      </c>
      <c r="M13" s="163" t="s">
        <v>57</v>
      </c>
      <c r="N13" s="164" t="s">
        <v>57</v>
      </c>
      <c r="O13" s="157">
        <v>0</v>
      </c>
      <c r="P13" s="165"/>
      <c r="Q13" s="161" t="s">
        <v>57</v>
      </c>
      <c r="R13" s="162" t="s">
        <v>57</v>
      </c>
      <c r="S13" s="163" t="s">
        <v>57</v>
      </c>
      <c r="T13" s="163" t="s">
        <v>57</v>
      </c>
      <c r="U13" s="164" t="s">
        <v>57</v>
      </c>
      <c r="V13" s="157">
        <v>0</v>
      </c>
      <c r="W13" s="165"/>
      <c r="X13" s="161" t="s">
        <v>57</v>
      </c>
      <c r="Y13" s="162" t="s">
        <v>57</v>
      </c>
      <c r="Z13" s="163" t="s">
        <v>57</v>
      </c>
      <c r="AA13" s="163" t="s">
        <v>57</v>
      </c>
      <c r="AB13" s="164" t="s">
        <v>57</v>
      </c>
      <c r="AC13" s="157">
        <v>0</v>
      </c>
      <c r="AD13" s="165"/>
    </row>
    <row r="14" spans="1:30" s="150" customFormat="1" ht="18" customHeight="1" x14ac:dyDescent="0.35">
      <c r="A14" s="159">
        <v>9</v>
      </c>
      <c r="B14" s="160" t="s">
        <v>73</v>
      </c>
      <c r="C14" s="161" t="s">
        <v>57</v>
      </c>
      <c r="D14" s="162" t="s">
        <v>57</v>
      </c>
      <c r="E14" s="163" t="s">
        <v>57</v>
      </c>
      <c r="F14" s="163" t="s">
        <v>57</v>
      </c>
      <c r="G14" s="164" t="s">
        <v>57</v>
      </c>
      <c r="H14" s="157">
        <v>0</v>
      </c>
      <c r="I14" s="165"/>
      <c r="J14" s="161" t="s">
        <v>57</v>
      </c>
      <c r="K14" s="162" t="s">
        <v>57</v>
      </c>
      <c r="L14" s="163" t="s">
        <v>57</v>
      </c>
      <c r="M14" s="163" t="s">
        <v>57</v>
      </c>
      <c r="N14" s="164" t="s">
        <v>57</v>
      </c>
      <c r="O14" s="157">
        <v>0</v>
      </c>
      <c r="P14" s="165"/>
      <c r="Q14" s="161" t="s">
        <v>57</v>
      </c>
      <c r="R14" s="162" t="s">
        <v>57</v>
      </c>
      <c r="S14" s="163" t="s">
        <v>57</v>
      </c>
      <c r="T14" s="163" t="s">
        <v>57</v>
      </c>
      <c r="U14" s="164" t="s">
        <v>57</v>
      </c>
      <c r="V14" s="157">
        <v>0</v>
      </c>
      <c r="W14" s="165"/>
      <c r="X14" s="161" t="s">
        <v>57</v>
      </c>
      <c r="Y14" s="162" t="s">
        <v>57</v>
      </c>
      <c r="Z14" s="163" t="s">
        <v>57</v>
      </c>
      <c r="AA14" s="163" t="s">
        <v>57</v>
      </c>
      <c r="AB14" s="164" t="s">
        <v>57</v>
      </c>
      <c r="AC14" s="157">
        <v>0</v>
      </c>
      <c r="AD14" s="165"/>
    </row>
    <row r="15" spans="1:30" s="150" customFormat="1" ht="18" customHeight="1" x14ac:dyDescent="0.35">
      <c r="A15" s="159">
        <v>10</v>
      </c>
      <c r="B15" s="160" t="s">
        <v>75</v>
      </c>
      <c r="C15" s="161" t="s">
        <v>57</v>
      </c>
      <c r="D15" s="162" t="s">
        <v>57</v>
      </c>
      <c r="E15" s="163" t="s">
        <v>57</v>
      </c>
      <c r="F15" s="163" t="s">
        <v>57</v>
      </c>
      <c r="G15" s="164" t="s">
        <v>57</v>
      </c>
      <c r="H15" s="157">
        <v>0</v>
      </c>
      <c r="I15" s="165"/>
      <c r="J15" s="161" t="s">
        <v>57</v>
      </c>
      <c r="K15" s="162" t="s">
        <v>57</v>
      </c>
      <c r="L15" s="163" t="s">
        <v>57</v>
      </c>
      <c r="M15" s="163" t="s">
        <v>57</v>
      </c>
      <c r="N15" s="164" t="s">
        <v>57</v>
      </c>
      <c r="O15" s="157">
        <v>0</v>
      </c>
      <c r="P15" s="165"/>
      <c r="Q15" s="161" t="s">
        <v>57</v>
      </c>
      <c r="R15" s="162" t="s">
        <v>57</v>
      </c>
      <c r="S15" s="163" t="s">
        <v>57</v>
      </c>
      <c r="T15" s="163" t="s">
        <v>57</v>
      </c>
      <c r="U15" s="164" t="s">
        <v>57</v>
      </c>
      <c r="V15" s="157">
        <v>0</v>
      </c>
      <c r="W15" s="165"/>
      <c r="X15" s="161" t="s">
        <v>57</v>
      </c>
      <c r="Y15" s="162" t="s">
        <v>57</v>
      </c>
      <c r="Z15" s="163" t="s">
        <v>57</v>
      </c>
      <c r="AA15" s="163" t="s">
        <v>57</v>
      </c>
      <c r="AB15" s="164" t="s">
        <v>57</v>
      </c>
      <c r="AC15" s="157">
        <v>0</v>
      </c>
      <c r="AD15" s="165"/>
    </row>
    <row r="16" spans="1:30" s="150" customFormat="1" ht="18" customHeight="1" x14ac:dyDescent="0.35">
      <c r="A16" s="159">
        <v>11</v>
      </c>
      <c r="B16" s="160" t="s">
        <v>77</v>
      </c>
      <c r="C16" s="161" t="s">
        <v>57</v>
      </c>
      <c r="D16" s="162" t="s">
        <v>57</v>
      </c>
      <c r="E16" s="163" t="s">
        <v>57</v>
      </c>
      <c r="F16" s="163" t="s">
        <v>57</v>
      </c>
      <c r="G16" s="164" t="s">
        <v>57</v>
      </c>
      <c r="H16" s="157">
        <v>0</v>
      </c>
      <c r="I16" s="165"/>
      <c r="J16" s="161" t="s">
        <v>57</v>
      </c>
      <c r="K16" s="162" t="s">
        <v>57</v>
      </c>
      <c r="L16" s="163" t="s">
        <v>57</v>
      </c>
      <c r="M16" s="163" t="s">
        <v>57</v>
      </c>
      <c r="N16" s="164" t="s">
        <v>57</v>
      </c>
      <c r="O16" s="157">
        <v>0</v>
      </c>
      <c r="P16" s="165"/>
      <c r="Q16" s="161" t="s">
        <v>57</v>
      </c>
      <c r="R16" s="162" t="s">
        <v>57</v>
      </c>
      <c r="S16" s="163" t="s">
        <v>57</v>
      </c>
      <c r="T16" s="163" t="s">
        <v>57</v>
      </c>
      <c r="U16" s="164" t="s">
        <v>57</v>
      </c>
      <c r="V16" s="157">
        <v>0</v>
      </c>
      <c r="W16" s="165"/>
      <c r="X16" s="161" t="s">
        <v>57</v>
      </c>
      <c r="Y16" s="162" t="s">
        <v>57</v>
      </c>
      <c r="Z16" s="163" t="s">
        <v>57</v>
      </c>
      <c r="AA16" s="163" t="s">
        <v>57</v>
      </c>
      <c r="AB16" s="164" t="s">
        <v>57</v>
      </c>
      <c r="AC16" s="157">
        <v>0</v>
      </c>
      <c r="AD16" s="165"/>
    </row>
    <row r="17" spans="1:30" s="150" customFormat="1" ht="18" customHeight="1" x14ac:dyDescent="0.35">
      <c r="A17" s="159">
        <v>12</v>
      </c>
      <c r="B17" s="160" t="s">
        <v>79</v>
      </c>
      <c r="C17" s="161" t="s">
        <v>57</v>
      </c>
      <c r="D17" s="162" t="s">
        <v>57</v>
      </c>
      <c r="E17" s="163" t="s">
        <v>57</v>
      </c>
      <c r="F17" s="163" t="s">
        <v>57</v>
      </c>
      <c r="G17" s="164" t="s">
        <v>57</v>
      </c>
      <c r="H17" s="157">
        <v>0</v>
      </c>
      <c r="I17" s="165"/>
      <c r="J17" s="161" t="s">
        <v>57</v>
      </c>
      <c r="K17" s="162" t="s">
        <v>57</v>
      </c>
      <c r="L17" s="163" t="s">
        <v>57</v>
      </c>
      <c r="M17" s="163" t="s">
        <v>57</v>
      </c>
      <c r="N17" s="164" t="s">
        <v>57</v>
      </c>
      <c r="O17" s="157">
        <v>0</v>
      </c>
      <c r="P17" s="165"/>
      <c r="Q17" s="161" t="s">
        <v>57</v>
      </c>
      <c r="R17" s="162" t="s">
        <v>57</v>
      </c>
      <c r="S17" s="163" t="s">
        <v>57</v>
      </c>
      <c r="T17" s="163" t="s">
        <v>57</v>
      </c>
      <c r="U17" s="164" t="s">
        <v>57</v>
      </c>
      <c r="V17" s="157">
        <v>0</v>
      </c>
      <c r="W17" s="165"/>
      <c r="X17" s="161" t="s">
        <v>57</v>
      </c>
      <c r="Y17" s="162" t="s">
        <v>57</v>
      </c>
      <c r="Z17" s="163" t="s">
        <v>57</v>
      </c>
      <c r="AA17" s="163" t="s">
        <v>57</v>
      </c>
      <c r="AB17" s="164" t="s">
        <v>57</v>
      </c>
      <c r="AC17" s="157">
        <v>0</v>
      </c>
      <c r="AD17" s="165"/>
    </row>
    <row r="18" spans="1:30" s="150" customFormat="1" ht="18" customHeight="1" x14ac:dyDescent="0.35">
      <c r="A18" s="159">
        <v>13</v>
      </c>
      <c r="B18" s="160" t="s">
        <v>81</v>
      </c>
      <c r="C18" s="161" t="s">
        <v>57</v>
      </c>
      <c r="D18" s="162" t="s">
        <v>57</v>
      </c>
      <c r="E18" s="163" t="s">
        <v>57</v>
      </c>
      <c r="F18" s="163" t="s">
        <v>57</v>
      </c>
      <c r="G18" s="164" t="s">
        <v>57</v>
      </c>
      <c r="H18" s="157">
        <v>0</v>
      </c>
      <c r="I18" s="165"/>
      <c r="J18" s="161" t="s">
        <v>57</v>
      </c>
      <c r="K18" s="162" t="s">
        <v>57</v>
      </c>
      <c r="L18" s="163" t="s">
        <v>57</v>
      </c>
      <c r="M18" s="163" t="s">
        <v>57</v>
      </c>
      <c r="N18" s="164" t="s">
        <v>57</v>
      </c>
      <c r="O18" s="157">
        <v>0</v>
      </c>
      <c r="P18" s="165"/>
      <c r="Q18" s="161" t="s">
        <v>57</v>
      </c>
      <c r="R18" s="162" t="s">
        <v>57</v>
      </c>
      <c r="S18" s="163" t="s">
        <v>57</v>
      </c>
      <c r="T18" s="163" t="s">
        <v>57</v>
      </c>
      <c r="U18" s="164" t="s">
        <v>57</v>
      </c>
      <c r="V18" s="157">
        <v>0</v>
      </c>
      <c r="W18" s="165"/>
      <c r="X18" s="161" t="s">
        <v>57</v>
      </c>
      <c r="Y18" s="162" t="s">
        <v>57</v>
      </c>
      <c r="Z18" s="163" t="s">
        <v>57</v>
      </c>
      <c r="AA18" s="163" t="s">
        <v>57</v>
      </c>
      <c r="AB18" s="164" t="s">
        <v>57</v>
      </c>
      <c r="AC18" s="157">
        <v>0</v>
      </c>
      <c r="AD18" s="165"/>
    </row>
    <row r="19" spans="1:30" s="150" customFormat="1" ht="18" customHeight="1" x14ac:dyDescent="0.35">
      <c r="A19" s="159">
        <v>14</v>
      </c>
      <c r="B19" s="160" t="s">
        <v>83</v>
      </c>
      <c r="C19" s="161" t="s">
        <v>57</v>
      </c>
      <c r="D19" s="162" t="s">
        <v>57</v>
      </c>
      <c r="E19" s="163" t="s">
        <v>57</v>
      </c>
      <c r="F19" s="163" t="s">
        <v>57</v>
      </c>
      <c r="G19" s="164" t="s">
        <v>57</v>
      </c>
      <c r="H19" s="157">
        <v>0</v>
      </c>
      <c r="I19" s="165"/>
      <c r="J19" s="161" t="s">
        <v>57</v>
      </c>
      <c r="K19" s="162" t="s">
        <v>57</v>
      </c>
      <c r="L19" s="163" t="s">
        <v>57</v>
      </c>
      <c r="M19" s="163" t="s">
        <v>57</v>
      </c>
      <c r="N19" s="164" t="s">
        <v>57</v>
      </c>
      <c r="O19" s="157">
        <v>0</v>
      </c>
      <c r="P19" s="165"/>
      <c r="Q19" s="161" t="s">
        <v>57</v>
      </c>
      <c r="R19" s="162" t="s">
        <v>57</v>
      </c>
      <c r="S19" s="163" t="s">
        <v>57</v>
      </c>
      <c r="T19" s="163" t="s">
        <v>57</v>
      </c>
      <c r="U19" s="164" t="s">
        <v>57</v>
      </c>
      <c r="V19" s="157">
        <v>0</v>
      </c>
      <c r="W19" s="165"/>
      <c r="X19" s="161" t="s">
        <v>57</v>
      </c>
      <c r="Y19" s="162" t="s">
        <v>57</v>
      </c>
      <c r="Z19" s="163" t="s">
        <v>57</v>
      </c>
      <c r="AA19" s="163" t="s">
        <v>57</v>
      </c>
      <c r="AB19" s="164" t="s">
        <v>57</v>
      </c>
      <c r="AC19" s="157">
        <v>0</v>
      </c>
      <c r="AD19" s="165"/>
    </row>
    <row r="20" spans="1:30" s="150" customFormat="1" ht="18" customHeight="1" x14ac:dyDescent="0.35">
      <c r="A20" s="159">
        <v>15</v>
      </c>
      <c r="B20" s="160" t="s">
        <v>85</v>
      </c>
      <c r="C20" s="161" t="s">
        <v>57</v>
      </c>
      <c r="D20" s="162" t="s">
        <v>57</v>
      </c>
      <c r="E20" s="163" t="s">
        <v>57</v>
      </c>
      <c r="F20" s="163" t="s">
        <v>57</v>
      </c>
      <c r="G20" s="164" t="s">
        <v>57</v>
      </c>
      <c r="H20" s="157">
        <v>0</v>
      </c>
      <c r="I20" s="165"/>
      <c r="J20" s="161" t="s">
        <v>57</v>
      </c>
      <c r="K20" s="162" t="s">
        <v>57</v>
      </c>
      <c r="L20" s="163" t="s">
        <v>57</v>
      </c>
      <c r="M20" s="163" t="s">
        <v>57</v>
      </c>
      <c r="N20" s="164" t="s">
        <v>57</v>
      </c>
      <c r="O20" s="157">
        <v>0</v>
      </c>
      <c r="P20" s="165"/>
      <c r="Q20" s="161" t="s">
        <v>57</v>
      </c>
      <c r="R20" s="162" t="s">
        <v>57</v>
      </c>
      <c r="S20" s="163" t="s">
        <v>57</v>
      </c>
      <c r="T20" s="163" t="s">
        <v>57</v>
      </c>
      <c r="U20" s="164" t="s">
        <v>57</v>
      </c>
      <c r="V20" s="157">
        <v>0</v>
      </c>
      <c r="W20" s="165"/>
      <c r="X20" s="161" t="s">
        <v>57</v>
      </c>
      <c r="Y20" s="162" t="s">
        <v>57</v>
      </c>
      <c r="Z20" s="163" t="s">
        <v>57</v>
      </c>
      <c r="AA20" s="163" t="s">
        <v>57</v>
      </c>
      <c r="AB20" s="164" t="s">
        <v>57</v>
      </c>
      <c r="AC20" s="157">
        <v>0</v>
      </c>
      <c r="AD20" s="165"/>
    </row>
    <row r="21" spans="1:30" s="150" customFormat="1" ht="18" customHeight="1" x14ac:dyDescent="0.35">
      <c r="A21" s="159">
        <v>16</v>
      </c>
      <c r="B21" s="160" t="s">
        <v>87</v>
      </c>
      <c r="C21" s="161" t="s">
        <v>57</v>
      </c>
      <c r="D21" s="162" t="s">
        <v>57</v>
      </c>
      <c r="E21" s="163" t="s">
        <v>57</v>
      </c>
      <c r="F21" s="163" t="s">
        <v>57</v>
      </c>
      <c r="G21" s="164" t="s">
        <v>57</v>
      </c>
      <c r="H21" s="157">
        <v>0</v>
      </c>
      <c r="I21" s="165"/>
      <c r="J21" s="161" t="s">
        <v>57</v>
      </c>
      <c r="K21" s="162" t="s">
        <v>57</v>
      </c>
      <c r="L21" s="163" t="s">
        <v>57</v>
      </c>
      <c r="M21" s="163" t="s">
        <v>57</v>
      </c>
      <c r="N21" s="164" t="s">
        <v>57</v>
      </c>
      <c r="O21" s="157">
        <v>0</v>
      </c>
      <c r="P21" s="165"/>
      <c r="Q21" s="161" t="s">
        <v>57</v>
      </c>
      <c r="R21" s="162" t="s">
        <v>57</v>
      </c>
      <c r="S21" s="163" t="s">
        <v>57</v>
      </c>
      <c r="T21" s="163" t="s">
        <v>57</v>
      </c>
      <c r="U21" s="164" t="s">
        <v>57</v>
      </c>
      <c r="V21" s="157">
        <v>0</v>
      </c>
      <c r="W21" s="165"/>
      <c r="X21" s="161" t="s">
        <v>57</v>
      </c>
      <c r="Y21" s="162" t="s">
        <v>57</v>
      </c>
      <c r="Z21" s="163" t="s">
        <v>57</v>
      </c>
      <c r="AA21" s="163" t="s">
        <v>57</v>
      </c>
      <c r="AB21" s="164" t="s">
        <v>57</v>
      </c>
      <c r="AC21" s="157">
        <v>0</v>
      </c>
      <c r="AD21" s="165"/>
    </row>
    <row r="22" spans="1:30" s="150" customFormat="1" ht="18" customHeight="1" x14ac:dyDescent="0.35">
      <c r="A22" s="159"/>
      <c r="B22" s="160"/>
      <c r="C22" s="161"/>
      <c r="D22" s="162"/>
      <c r="E22" s="163"/>
      <c r="F22" s="163"/>
      <c r="G22" s="164"/>
      <c r="H22" s="157"/>
      <c r="I22" s="165"/>
      <c r="J22" s="161"/>
      <c r="K22" s="162"/>
      <c r="L22" s="163"/>
      <c r="M22" s="163"/>
      <c r="N22" s="164"/>
      <c r="O22" s="157"/>
      <c r="P22" s="165"/>
      <c r="Q22" s="161"/>
      <c r="R22" s="162"/>
      <c r="S22" s="163"/>
      <c r="T22" s="163"/>
      <c r="U22" s="164"/>
      <c r="V22" s="157"/>
      <c r="W22" s="165"/>
      <c r="X22" s="161"/>
      <c r="Y22" s="162"/>
      <c r="Z22" s="163"/>
      <c r="AA22" s="163"/>
      <c r="AB22" s="164"/>
      <c r="AC22" s="157"/>
      <c r="AD22" s="165"/>
    </row>
    <row r="23" spans="1:30" s="150" customFormat="1" ht="18" customHeight="1" x14ac:dyDescent="0.35">
      <c r="A23" s="159"/>
      <c r="B23" s="160"/>
      <c r="C23" s="161"/>
      <c r="D23" s="162"/>
      <c r="E23" s="163"/>
      <c r="F23" s="163"/>
      <c r="G23" s="164"/>
      <c r="H23" s="157"/>
      <c r="I23" s="165"/>
      <c r="J23" s="161"/>
      <c r="K23" s="162"/>
      <c r="L23" s="163"/>
      <c r="M23" s="163"/>
      <c r="N23" s="164"/>
      <c r="O23" s="157"/>
      <c r="P23" s="165"/>
      <c r="Q23" s="161"/>
      <c r="R23" s="162"/>
      <c r="S23" s="163"/>
      <c r="T23" s="163"/>
      <c r="U23" s="164"/>
      <c r="V23" s="157"/>
      <c r="W23" s="165"/>
      <c r="X23" s="161"/>
      <c r="Y23" s="162"/>
      <c r="Z23" s="163"/>
      <c r="AA23" s="163"/>
      <c r="AB23" s="164"/>
      <c r="AC23" s="157"/>
      <c r="AD23" s="165"/>
    </row>
    <row r="24" spans="1:30" s="150" customFormat="1" ht="18" customHeight="1" x14ac:dyDescent="0.35">
      <c r="A24" s="159"/>
      <c r="B24" s="160"/>
      <c r="C24" s="161"/>
      <c r="D24" s="162"/>
      <c r="E24" s="163"/>
      <c r="F24" s="163"/>
      <c r="G24" s="164"/>
      <c r="H24" s="157"/>
      <c r="I24" s="165"/>
      <c r="J24" s="161"/>
      <c r="K24" s="162"/>
      <c r="L24" s="163"/>
      <c r="M24" s="163"/>
      <c r="N24" s="164"/>
      <c r="O24" s="157"/>
      <c r="P24" s="165"/>
      <c r="Q24" s="161"/>
      <c r="R24" s="162"/>
      <c r="S24" s="163"/>
      <c r="T24" s="163"/>
      <c r="U24" s="164"/>
      <c r="V24" s="157"/>
      <c r="W24" s="165"/>
      <c r="X24" s="161"/>
      <c r="Y24" s="162"/>
      <c r="Z24" s="163"/>
      <c r="AA24" s="163"/>
      <c r="AB24" s="164"/>
      <c r="AC24" s="157"/>
      <c r="AD24" s="165"/>
    </row>
    <row r="25" spans="1:30" s="150" customFormat="1" ht="18" customHeight="1" x14ac:dyDescent="0.35">
      <c r="A25" s="159"/>
      <c r="B25" s="160"/>
      <c r="C25" s="161"/>
      <c r="D25" s="162"/>
      <c r="E25" s="163"/>
      <c r="F25" s="163"/>
      <c r="G25" s="164"/>
      <c r="H25" s="157"/>
      <c r="I25" s="165"/>
      <c r="J25" s="161"/>
      <c r="K25" s="162"/>
      <c r="L25" s="163"/>
      <c r="M25" s="163"/>
      <c r="N25" s="164"/>
      <c r="O25" s="157"/>
      <c r="P25" s="165"/>
      <c r="Q25" s="161"/>
      <c r="R25" s="162"/>
      <c r="S25" s="163"/>
      <c r="T25" s="163"/>
      <c r="U25" s="164"/>
      <c r="V25" s="157"/>
      <c r="W25" s="165"/>
      <c r="X25" s="161"/>
      <c r="Y25" s="162"/>
      <c r="Z25" s="163"/>
      <c r="AA25" s="163"/>
      <c r="AB25" s="164"/>
      <c r="AC25" s="157"/>
      <c r="AD25" s="165"/>
    </row>
    <row r="26" spans="1:30" s="150" customFormat="1" ht="18" customHeight="1" x14ac:dyDescent="0.35">
      <c r="A26" s="159"/>
      <c r="B26" s="160"/>
      <c r="C26" s="161"/>
      <c r="D26" s="162"/>
      <c r="E26" s="163"/>
      <c r="F26" s="163"/>
      <c r="G26" s="164"/>
      <c r="H26" s="157"/>
      <c r="I26" s="165"/>
      <c r="J26" s="161"/>
      <c r="K26" s="162"/>
      <c r="L26" s="163"/>
      <c r="M26" s="163"/>
      <c r="N26" s="164"/>
      <c r="O26" s="157"/>
      <c r="P26" s="165"/>
      <c r="Q26" s="161"/>
      <c r="R26" s="162"/>
      <c r="S26" s="163"/>
      <c r="T26" s="163"/>
      <c r="U26" s="164"/>
      <c r="V26" s="157"/>
      <c r="W26" s="165"/>
      <c r="X26" s="161"/>
      <c r="Y26" s="162"/>
      <c r="Z26" s="163"/>
      <c r="AA26" s="163"/>
      <c r="AB26" s="164"/>
      <c r="AC26" s="157"/>
      <c r="AD26" s="165"/>
    </row>
    <row r="27" spans="1:30" s="150" customFormat="1" ht="18" customHeight="1" x14ac:dyDescent="0.35">
      <c r="A27" s="159"/>
      <c r="B27" s="160"/>
      <c r="C27" s="161"/>
      <c r="D27" s="162"/>
      <c r="E27" s="163"/>
      <c r="F27" s="163"/>
      <c r="G27" s="164"/>
      <c r="H27" s="157"/>
      <c r="I27" s="165"/>
      <c r="J27" s="161"/>
      <c r="K27" s="162"/>
      <c r="L27" s="163"/>
      <c r="M27" s="163"/>
      <c r="N27" s="164"/>
      <c r="O27" s="157"/>
      <c r="P27" s="165"/>
      <c r="Q27" s="161"/>
      <c r="R27" s="162"/>
      <c r="S27" s="163"/>
      <c r="T27" s="163"/>
      <c r="U27" s="164"/>
      <c r="V27" s="157"/>
      <c r="W27" s="165"/>
      <c r="X27" s="161"/>
      <c r="Y27" s="162"/>
      <c r="Z27" s="163"/>
      <c r="AA27" s="163"/>
      <c r="AB27" s="164"/>
      <c r="AC27" s="157"/>
      <c r="AD27" s="165"/>
    </row>
    <row r="28" spans="1:30" s="150" customFormat="1" ht="18" customHeight="1" x14ac:dyDescent="0.35">
      <c r="A28" s="166"/>
      <c r="B28" s="160"/>
      <c r="C28" s="161"/>
      <c r="D28" s="162"/>
      <c r="E28" s="163"/>
      <c r="F28" s="163"/>
      <c r="G28" s="167"/>
      <c r="H28" s="157"/>
      <c r="I28" s="157"/>
      <c r="J28" s="161"/>
      <c r="K28" s="162"/>
      <c r="L28" s="163"/>
      <c r="M28" s="163"/>
      <c r="N28" s="167"/>
      <c r="O28" s="157"/>
      <c r="P28" s="157"/>
      <c r="Q28" s="161"/>
      <c r="R28" s="162"/>
      <c r="S28" s="163"/>
      <c r="T28" s="163"/>
      <c r="U28" s="167"/>
      <c r="V28" s="157"/>
      <c r="W28" s="157"/>
      <c r="X28" s="161"/>
      <c r="Y28" s="162"/>
      <c r="Z28" s="163"/>
      <c r="AA28" s="163"/>
      <c r="AB28" s="167"/>
      <c r="AC28" s="157"/>
      <c r="AD28" s="157"/>
    </row>
    <row r="29" spans="1:30" s="150" customFormat="1" ht="18" customHeight="1" x14ac:dyDescent="0.35">
      <c r="A29" s="159"/>
      <c r="B29" s="160"/>
      <c r="C29" s="161"/>
      <c r="D29" s="162"/>
      <c r="E29" s="163"/>
      <c r="F29" s="163"/>
      <c r="G29" s="164"/>
      <c r="H29" s="157"/>
      <c r="I29" s="165"/>
      <c r="J29" s="161"/>
      <c r="K29" s="162"/>
      <c r="L29" s="163"/>
      <c r="M29" s="163"/>
      <c r="N29" s="164"/>
      <c r="O29" s="157"/>
      <c r="P29" s="165"/>
      <c r="Q29" s="161"/>
      <c r="R29" s="162"/>
      <c r="S29" s="163"/>
      <c r="T29" s="163"/>
      <c r="U29" s="164"/>
      <c r="V29" s="157"/>
      <c r="W29" s="165"/>
      <c r="X29" s="161"/>
      <c r="Y29" s="162"/>
      <c r="Z29" s="163"/>
      <c r="AA29" s="163"/>
      <c r="AB29" s="164"/>
      <c r="AC29" s="157"/>
      <c r="AD29" s="165"/>
    </row>
    <row r="30" spans="1:30" s="150" customFormat="1" ht="18" customHeight="1" x14ac:dyDescent="0.35">
      <c r="A30" s="159"/>
      <c r="B30" s="160"/>
      <c r="C30" s="161"/>
      <c r="D30" s="162"/>
      <c r="E30" s="163"/>
      <c r="F30" s="163"/>
      <c r="G30" s="164"/>
      <c r="H30" s="157"/>
      <c r="I30" s="165"/>
      <c r="J30" s="161"/>
      <c r="K30" s="162"/>
      <c r="L30" s="163"/>
      <c r="M30" s="163"/>
      <c r="N30" s="164"/>
      <c r="O30" s="157"/>
      <c r="P30" s="165"/>
      <c r="Q30" s="161"/>
      <c r="R30" s="162"/>
      <c r="S30" s="163"/>
      <c r="T30" s="163"/>
      <c r="U30" s="164"/>
      <c r="V30" s="157"/>
      <c r="W30" s="165"/>
      <c r="X30" s="161"/>
      <c r="Y30" s="162"/>
      <c r="Z30" s="163"/>
      <c r="AA30" s="163"/>
      <c r="AB30" s="164"/>
      <c r="AC30" s="157"/>
      <c r="AD30" s="165"/>
    </row>
    <row r="31" spans="1:30" s="150" customFormat="1" ht="18" customHeight="1" x14ac:dyDescent="0.35">
      <c r="A31" s="159"/>
      <c r="B31" s="160"/>
      <c r="C31" s="161"/>
      <c r="D31" s="162"/>
      <c r="E31" s="163"/>
      <c r="F31" s="163"/>
      <c r="G31" s="164"/>
      <c r="H31" s="157"/>
      <c r="I31" s="165"/>
      <c r="J31" s="161"/>
      <c r="K31" s="162"/>
      <c r="L31" s="163"/>
      <c r="M31" s="163"/>
      <c r="N31" s="164"/>
      <c r="O31" s="157"/>
      <c r="P31" s="165"/>
      <c r="Q31" s="161"/>
      <c r="R31" s="162"/>
      <c r="S31" s="163"/>
      <c r="T31" s="163"/>
      <c r="U31" s="164"/>
      <c r="V31" s="157"/>
      <c r="W31" s="165"/>
      <c r="X31" s="161"/>
      <c r="Y31" s="162"/>
      <c r="Z31" s="163"/>
      <c r="AA31" s="163"/>
      <c r="AB31" s="164"/>
      <c r="AC31" s="157"/>
      <c r="AD31" s="165"/>
    </row>
    <row r="32" spans="1:30" s="150" customFormat="1" ht="18" customHeight="1" x14ac:dyDescent="0.35">
      <c r="A32" s="159"/>
      <c r="B32" s="160"/>
      <c r="C32" s="161"/>
      <c r="D32" s="162"/>
      <c r="E32" s="163"/>
      <c r="F32" s="163"/>
      <c r="G32" s="164"/>
      <c r="H32" s="157"/>
      <c r="I32" s="165"/>
      <c r="J32" s="161"/>
      <c r="K32" s="162"/>
      <c r="L32" s="163"/>
      <c r="M32" s="163"/>
      <c r="N32" s="164"/>
      <c r="O32" s="157"/>
      <c r="P32" s="165"/>
      <c r="Q32" s="161"/>
      <c r="R32" s="162"/>
      <c r="S32" s="163"/>
      <c r="T32" s="163"/>
      <c r="U32" s="164"/>
      <c r="V32" s="157"/>
      <c r="W32" s="165"/>
      <c r="X32" s="161"/>
      <c r="Y32" s="162"/>
      <c r="Z32" s="163"/>
      <c r="AA32" s="163"/>
      <c r="AB32" s="164"/>
      <c r="AC32" s="157"/>
      <c r="AD32" s="165"/>
    </row>
    <row r="33" spans="1:30" s="150" customFormat="1" ht="18" customHeight="1" x14ac:dyDescent="0.35">
      <c r="A33" s="166"/>
      <c r="B33" s="160"/>
      <c r="C33" s="161"/>
      <c r="D33" s="162"/>
      <c r="E33" s="163"/>
      <c r="F33" s="163"/>
      <c r="G33" s="167"/>
      <c r="H33" s="157"/>
      <c r="I33" s="157"/>
      <c r="J33" s="161"/>
      <c r="K33" s="162"/>
      <c r="L33" s="163"/>
      <c r="M33" s="163"/>
      <c r="N33" s="167"/>
      <c r="O33" s="157"/>
      <c r="P33" s="157"/>
      <c r="Q33" s="161"/>
      <c r="R33" s="162"/>
      <c r="S33" s="163"/>
      <c r="T33" s="163"/>
      <c r="U33" s="167"/>
      <c r="V33" s="157"/>
      <c r="W33" s="157"/>
      <c r="X33" s="161"/>
      <c r="Y33" s="162"/>
      <c r="Z33" s="163"/>
      <c r="AA33" s="163"/>
      <c r="AB33" s="167"/>
      <c r="AC33" s="157"/>
      <c r="AD33" s="157"/>
    </row>
    <row r="34" spans="1:30" s="150" customFormat="1" ht="18" customHeight="1" x14ac:dyDescent="0.35">
      <c r="A34" s="159"/>
      <c r="B34" s="160"/>
      <c r="C34" s="161"/>
      <c r="D34" s="162"/>
      <c r="E34" s="163"/>
      <c r="F34" s="163"/>
      <c r="G34" s="164"/>
      <c r="H34" s="157"/>
      <c r="I34" s="165"/>
      <c r="J34" s="161"/>
      <c r="K34" s="162"/>
      <c r="L34" s="163"/>
      <c r="M34" s="163"/>
      <c r="N34" s="164"/>
      <c r="O34" s="157"/>
      <c r="P34" s="165"/>
      <c r="Q34" s="161"/>
      <c r="R34" s="162"/>
      <c r="S34" s="163"/>
      <c r="T34" s="163"/>
      <c r="U34" s="164"/>
      <c r="V34" s="157"/>
      <c r="W34" s="165"/>
      <c r="X34" s="161"/>
      <c r="Y34" s="162"/>
      <c r="Z34" s="163"/>
      <c r="AA34" s="163"/>
      <c r="AB34" s="164"/>
      <c r="AC34" s="157"/>
      <c r="AD34" s="165"/>
    </row>
    <row r="35" spans="1:30" s="150" customFormat="1" ht="18" customHeight="1" x14ac:dyDescent="0.35">
      <c r="A35" s="159"/>
      <c r="B35" s="160"/>
      <c r="C35" s="161"/>
      <c r="D35" s="162"/>
      <c r="E35" s="163"/>
      <c r="F35" s="163"/>
      <c r="G35" s="164"/>
      <c r="H35" s="157"/>
      <c r="I35" s="165"/>
      <c r="J35" s="161"/>
      <c r="K35" s="162"/>
      <c r="L35" s="163"/>
      <c r="M35" s="163"/>
      <c r="N35" s="164"/>
      <c r="O35" s="157"/>
      <c r="P35" s="165"/>
      <c r="Q35" s="161"/>
      <c r="R35" s="162"/>
      <c r="S35" s="163"/>
      <c r="T35" s="163"/>
      <c r="U35" s="164"/>
      <c r="V35" s="157"/>
      <c r="W35" s="165"/>
      <c r="X35" s="161"/>
      <c r="Y35" s="162"/>
      <c r="Z35" s="163"/>
      <c r="AA35" s="163"/>
      <c r="AB35" s="164"/>
      <c r="AC35" s="157"/>
      <c r="AD35" s="165"/>
    </row>
    <row r="36" spans="1:30" s="150" customFormat="1" ht="18" customHeight="1" x14ac:dyDescent="0.35">
      <c r="A36" s="159"/>
      <c r="B36" s="160"/>
      <c r="C36" s="161"/>
      <c r="D36" s="162"/>
      <c r="E36" s="163"/>
      <c r="F36" s="163"/>
      <c r="G36" s="164"/>
      <c r="H36" s="165"/>
      <c r="I36" s="165"/>
      <c r="J36" s="161"/>
      <c r="K36" s="162"/>
      <c r="L36" s="163"/>
      <c r="M36" s="163"/>
      <c r="N36" s="164"/>
      <c r="O36" s="165"/>
      <c r="P36" s="165"/>
      <c r="Q36" s="161"/>
      <c r="R36" s="162"/>
      <c r="S36" s="163"/>
      <c r="T36" s="163"/>
      <c r="U36" s="164"/>
      <c r="V36" s="165"/>
      <c r="W36" s="165"/>
      <c r="X36" s="161"/>
      <c r="Y36" s="162"/>
      <c r="Z36" s="163"/>
      <c r="AA36" s="163"/>
      <c r="AB36" s="164"/>
      <c r="AC36" s="165"/>
      <c r="AD36" s="165"/>
    </row>
    <row r="37" spans="1:30" s="150" customFormat="1" ht="18" customHeight="1" x14ac:dyDescent="0.35">
      <c r="A37" s="159"/>
      <c r="B37" s="168"/>
      <c r="C37" s="169"/>
      <c r="D37" s="170"/>
      <c r="E37" s="171"/>
      <c r="F37" s="171"/>
      <c r="G37" s="167"/>
      <c r="H37" s="157"/>
      <c r="I37" s="157"/>
      <c r="J37" s="169"/>
      <c r="K37" s="170"/>
      <c r="L37" s="171"/>
      <c r="M37" s="171"/>
      <c r="N37" s="167"/>
      <c r="O37" s="157"/>
      <c r="P37" s="157"/>
      <c r="Q37" s="169"/>
      <c r="R37" s="170"/>
      <c r="S37" s="171"/>
      <c r="T37" s="171"/>
      <c r="U37" s="167"/>
      <c r="V37" s="157"/>
      <c r="W37" s="157"/>
      <c r="X37" s="169"/>
      <c r="Y37" s="170"/>
      <c r="Z37" s="171"/>
      <c r="AA37" s="171"/>
      <c r="AB37" s="167"/>
      <c r="AC37" s="157"/>
      <c r="AD37" s="157"/>
    </row>
    <row r="38" spans="1:30" s="150" customFormat="1" ht="18" customHeight="1" x14ac:dyDescent="0.35">
      <c r="A38" s="159"/>
      <c r="B38" s="172"/>
      <c r="C38" s="161"/>
      <c r="D38" s="162"/>
      <c r="E38" s="163"/>
      <c r="F38" s="163"/>
      <c r="G38" s="164"/>
      <c r="H38" s="165"/>
      <c r="I38" s="165"/>
      <c r="J38" s="161"/>
      <c r="K38" s="162"/>
      <c r="L38" s="163"/>
      <c r="M38" s="163"/>
      <c r="N38" s="164"/>
      <c r="O38" s="165"/>
      <c r="P38" s="165"/>
      <c r="Q38" s="161"/>
      <c r="R38" s="162"/>
      <c r="S38" s="163"/>
      <c r="T38" s="163"/>
      <c r="U38" s="164"/>
      <c r="V38" s="165"/>
      <c r="W38" s="165"/>
      <c r="X38" s="161"/>
      <c r="Y38" s="162"/>
      <c r="Z38" s="163"/>
      <c r="AA38" s="163"/>
      <c r="AB38" s="164"/>
      <c r="AC38" s="165"/>
      <c r="AD38" s="165"/>
    </row>
    <row r="39" spans="1:30" s="150" customFormat="1" ht="18" customHeight="1" x14ac:dyDescent="0.35">
      <c r="A39" s="159"/>
      <c r="B39" s="172"/>
      <c r="C39" s="169"/>
      <c r="D39" s="170"/>
      <c r="E39" s="171"/>
      <c r="F39" s="173"/>
      <c r="G39" s="167"/>
      <c r="H39" s="157"/>
      <c r="I39" s="157"/>
      <c r="J39" s="169"/>
      <c r="K39" s="170"/>
      <c r="L39" s="171"/>
      <c r="M39" s="173"/>
      <c r="N39" s="167"/>
      <c r="O39" s="157"/>
      <c r="P39" s="157"/>
      <c r="Q39" s="169"/>
      <c r="R39" s="170"/>
      <c r="S39" s="171"/>
      <c r="T39" s="173"/>
      <c r="U39" s="167"/>
      <c r="V39" s="157"/>
      <c r="W39" s="157"/>
      <c r="X39" s="169"/>
      <c r="Y39" s="170"/>
      <c r="Z39" s="171"/>
      <c r="AA39" s="173"/>
      <c r="AB39" s="167"/>
      <c r="AC39" s="157"/>
      <c r="AD39" s="157"/>
    </row>
    <row r="40" spans="1:30" s="150" customFormat="1" ht="18" customHeight="1" x14ac:dyDescent="0.35">
      <c r="A40" s="159"/>
      <c r="B40" s="160"/>
      <c r="C40" s="161"/>
      <c r="D40" s="162"/>
      <c r="E40" s="163"/>
      <c r="F40" s="174"/>
      <c r="G40" s="164"/>
      <c r="H40" s="165"/>
      <c r="I40" s="165"/>
      <c r="J40" s="161"/>
      <c r="K40" s="162"/>
      <c r="L40" s="163"/>
      <c r="M40" s="174"/>
      <c r="N40" s="164"/>
      <c r="O40" s="165"/>
      <c r="P40" s="165"/>
      <c r="Q40" s="161"/>
      <c r="R40" s="162"/>
      <c r="S40" s="163"/>
      <c r="T40" s="174"/>
      <c r="U40" s="164"/>
      <c r="V40" s="165"/>
      <c r="W40" s="165"/>
      <c r="X40" s="161"/>
      <c r="Y40" s="162"/>
      <c r="Z40" s="163"/>
      <c r="AA40" s="174"/>
      <c r="AB40" s="164"/>
      <c r="AC40" s="165"/>
      <c r="AD40" s="165"/>
    </row>
    <row r="41" spans="1:30" x14ac:dyDescent="0.3"/>
    <row r="42" spans="1:30" x14ac:dyDescent="0.3"/>
    <row r="43" spans="1:30" x14ac:dyDescent="0.3"/>
    <row r="44" spans="1:30" x14ac:dyDescent="0.3"/>
    <row r="45" spans="1:30" x14ac:dyDescent="0.3"/>
    <row r="46" spans="1:30" x14ac:dyDescent="0.3"/>
    <row r="47" spans="1:30" x14ac:dyDescent="0.3"/>
    <row r="48" spans="1:30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</sheetData>
  <mergeCells count="18">
    <mergeCell ref="AD3:AD4"/>
    <mergeCell ref="A4:A5"/>
    <mergeCell ref="A2:B3"/>
    <mergeCell ref="C2:I2"/>
    <mergeCell ref="J2:P2"/>
    <mergeCell ref="Q2:W2"/>
    <mergeCell ref="X2:AD2"/>
    <mergeCell ref="C3:G3"/>
    <mergeCell ref="J3:N3"/>
    <mergeCell ref="Q3:U3"/>
    <mergeCell ref="X3:AB3"/>
    <mergeCell ref="H3:H4"/>
    <mergeCell ref="I3:I4"/>
    <mergeCell ref="O3:O4"/>
    <mergeCell ref="P3:P4"/>
    <mergeCell ref="V3:V4"/>
    <mergeCell ref="W3:W4"/>
    <mergeCell ref="AC3:AC4"/>
  </mergeCells>
  <pageMargins left="0.34375" right="0" top="0.15748031496062992" bottom="0.15748031496062992" header="0.31496062992125984" footer="0.31496062992125984"/>
  <pageSetup paperSize="9" orientation="portrait" useFirstPageNumber="1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D55"/>
  <sheetViews>
    <sheetView view="pageBreakPreview" zoomScale="120" zoomScaleNormal="120" workbookViewId="0">
      <selection activeCell="B17" sqref="B17"/>
    </sheetView>
  </sheetViews>
  <sheetFormatPr defaultColWidth="9.125" defaultRowHeight="18.75" customHeight="1" x14ac:dyDescent="0.3"/>
  <cols>
    <col min="1" max="1" width="2.625" style="140" customWidth="1"/>
    <col min="2" max="2" width="15.875" style="140" customWidth="1"/>
    <col min="3" max="30" width="2.625" style="140" customWidth="1"/>
    <col min="31" max="31" width="9.125" style="140" customWidth="1"/>
    <col min="32" max="16384" width="9.125" style="140"/>
  </cols>
  <sheetData>
    <row r="1" spans="1:30" ht="18.75" customHeight="1" x14ac:dyDescent="0.3">
      <c r="A1" s="141"/>
      <c r="AD1" s="142">
        <v>7</v>
      </c>
    </row>
    <row r="2" spans="1:30" ht="18.75" customHeight="1" x14ac:dyDescent="0.3">
      <c r="A2" s="418" t="s">
        <v>95</v>
      </c>
      <c r="B2" s="419"/>
      <c r="C2" s="398">
        <v>9</v>
      </c>
      <c r="D2" s="399"/>
      <c r="E2" s="399"/>
      <c r="F2" s="399"/>
      <c r="G2" s="399"/>
      <c r="H2" s="399"/>
      <c r="I2" s="400"/>
      <c r="J2" s="398">
        <v>10</v>
      </c>
      <c r="K2" s="399"/>
      <c r="L2" s="399"/>
      <c r="M2" s="399"/>
      <c r="N2" s="399"/>
      <c r="O2" s="399"/>
      <c r="P2" s="400"/>
      <c r="Q2" s="398">
        <v>11</v>
      </c>
      <c r="R2" s="399"/>
      <c r="S2" s="399"/>
      <c r="T2" s="399"/>
      <c r="U2" s="399"/>
      <c r="V2" s="399"/>
      <c r="W2" s="400"/>
      <c r="X2" s="398">
        <v>12</v>
      </c>
      <c r="Y2" s="399"/>
      <c r="Z2" s="399"/>
      <c r="AA2" s="399"/>
      <c r="AB2" s="399"/>
      <c r="AC2" s="399"/>
      <c r="AD2" s="400"/>
    </row>
    <row r="3" spans="1:30" ht="20.100000000000001" customHeight="1" x14ac:dyDescent="0.3">
      <c r="A3" s="420"/>
      <c r="B3" s="421"/>
      <c r="C3" s="422" t="s">
        <v>96</v>
      </c>
      <c r="D3" s="423"/>
      <c r="E3" s="423"/>
      <c r="F3" s="423"/>
      <c r="G3" s="423"/>
      <c r="H3" s="424" t="s">
        <v>92</v>
      </c>
      <c r="I3" s="424" t="s">
        <v>97</v>
      </c>
      <c r="J3" s="422" t="s">
        <v>96</v>
      </c>
      <c r="K3" s="423"/>
      <c r="L3" s="423"/>
      <c r="M3" s="423"/>
      <c r="N3" s="423"/>
      <c r="O3" s="424" t="s">
        <v>92</v>
      </c>
      <c r="P3" s="424" t="s">
        <v>97</v>
      </c>
      <c r="Q3" s="422" t="s">
        <v>96</v>
      </c>
      <c r="R3" s="423"/>
      <c r="S3" s="423"/>
      <c r="T3" s="423"/>
      <c r="U3" s="423"/>
      <c r="V3" s="424" t="s">
        <v>92</v>
      </c>
      <c r="W3" s="424" t="s">
        <v>97</v>
      </c>
      <c r="X3" s="422" t="s">
        <v>96</v>
      </c>
      <c r="Y3" s="423"/>
      <c r="Z3" s="423"/>
      <c r="AA3" s="423"/>
      <c r="AB3" s="423"/>
      <c r="AC3" s="424" t="s">
        <v>92</v>
      </c>
      <c r="AD3" s="424" t="s">
        <v>97</v>
      </c>
    </row>
    <row r="4" spans="1:30" ht="20.100000000000001" customHeight="1" x14ac:dyDescent="0.3">
      <c r="A4" s="426"/>
      <c r="B4" s="143" t="s">
        <v>98</v>
      </c>
      <c r="C4" s="144">
        <v>1</v>
      </c>
      <c r="D4" s="145">
        <v>2</v>
      </c>
      <c r="E4" s="145">
        <v>3</v>
      </c>
      <c r="F4" s="145">
        <v>4</v>
      </c>
      <c r="G4" s="146">
        <v>5</v>
      </c>
      <c r="H4" s="425"/>
      <c r="I4" s="425"/>
      <c r="J4" s="144">
        <v>1</v>
      </c>
      <c r="K4" s="145">
        <v>2</v>
      </c>
      <c r="L4" s="145">
        <v>3</v>
      </c>
      <c r="M4" s="145">
        <v>4</v>
      </c>
      <c r="N4" s="146">
        <v>5</v>
      </c>
      <c r="O4" s="425"/>
      <c r="P4" s="425"/>
      <c r="Q4" s="144">
        <v>1</v>
      </c>
      <c r="R4" s="145">
        <v>2</v>
      </c>
      <c r="S4" s="145">
        <v>3</v>
      </c>
      <c r="T4" s="145">
        <v>4</v>
      </c>
      <c r="U4" s="146">
        <v>5</v>
      </c>
      <c r="V4" s="425"/>
      <c r="W4" s="425"/>
      <c r="X4" s="144">
        <v>1</v>
      </c>
      <c r="Y4" s="145">
        <v>2</v>
      </c>
      <c r="Z4" s="145">
        <v>3</v>
      </c>
      <c r="AA4" s="145">
        <v>4</v>
      </c>
      <c r="AB4" s="146">
        <v>5</v>
      </c>
      <c r="AC4" s="425"/>
      <c r="AD4" s="425"/>
    </row>
    <row r="5" spans="1:30" ht="18" customHeight="1" x14ac:dyDescent="0.3">
      <c r="A5" s="427"/>
      <c r="B5" s="147"/>
      <c r="C5" s="175">
        <v>0</v>
      </c>
      <c r="D5" s="176"/>
      <c r="E5" s="176"/>
      <c r="F5" s="176"/>
      <c r="G5" s="177"/>
      <c r="H5" s="149"/>
      <c r="I5" s="149"/>
      <c r="J5" s="175">
        <v>0</v>
      </c>
      <c r="K5" s="176"/>
      <c r="L5" s="176"/>
      <c r="M5" s="176"/>
      <c r="N5" s="177"/>
      <c r="O5" s="149"/>
      <c r="P5" s="149"/>
      <c r="Q5" s="175">
        <v>0</v>
      </c>
      <c r="R5" s="176"/>
      <c r="S5" s="176"/>
      <c r="T5" s="176"/>
      <c r="U5" s="177"/>
      <c r="V5" s="149"/>
      <c r="W5" s="149"/>
      <c r="X5" s="175">
        <v>0</v>
      </c>
      <c r="Y5" s="176"/>
      <c r="Z5" s="176"/>
      <c r="AA5" s="176"/>
      <c r="AB5" s="177"/>
      <c r="AC5" s="149"/>
      <c r="AD5" s="149"/>
    </row>
    <row r="6" spans="1:30" s="150" customFormat="1" ht="18" customHeight="1" x14ac:dyDescent="0.35">
      <c r="A6" s="151">
        <v>1</v>
      </c>
      <c r="B6" s="152" t="s">
        <v>56</v>
      </c>
      <c r="C6" s="153" t="s">
        <v>57</v>
      </c>
      <c r="D6" s="154" t="s">
        <v>57</v>
      </c>
      <c r="E6" s="155" t="s">
        <v>57</v>
      </c>
      <c r="F6" s="155" t="s">
        <v>57</v>
      </c>
      <c r="G6" s="156" t="s">
        <v>57</v>
      </c>
      <c r="H6" s="157">
        <v>0</v>
      </c>
      <c r="I6" s="158"/>
      <c r="J6" s="153" t="s">
        <v>57</v>
      </c>
      <c r="K6" s="154" t="s">
        <v>57</v>
      </c>
      <c r="L6" s="155" t="s">
        <v>57</v>
      </c>
      <c r="M6" s="155" t="s">
        <v>57</v>
      </c>
      <c r="N6" s="156" t="s">
        <v>57</v>
      </c>
      <c r="O6" s="157">
        <v>0</v>
      </c>
      <c r="P6" s="158"/>
      <c r="Q6" s="153" t="s">
        <v>57</v>
      </c>
      <c r="R6" s="154" t="s">
        <v>57</v>
      </c>
      <c r="S6" s="155" t="s">
        <v>57</v>
      </c>
      <c r="T6" s="155" t="s">
        <v>57</v>
      </c>
      <c r="U6" s="156" t="s">
        <v>57</v>
      </c>
      <c r="V6" s="157">
        <v>0</v>
      </c>
      <c r="W6" s="158"/>
      <c r="X6" s="154" t="s">
        <v>57</v>
      </c>
      <c r="Y6" s="154" t="s">
        <v>57</v>
      </c>
      <c r="Z6" s="155" t="s">
        <v>57</v>
      </c>
      <c r="AA6" s="155" t="s">
        <v>57</v>
      </c>
      <c r="AB6" s="156" t="s">
        <v>57</v>
      </c>
      <c r="AC6" s="157">
        <v>0</v>
      </c>
      <c r="AD6" s="158"/>
    </row>
    <row r="7" spans="1:30" s="150" customFormat="1" ht="18" customHeight="1" x14ac:dyDescent="0.35">
      <c r="A7" s="159">
        <v>2</v>
      </c>
      <c r="B7" s="160" t="s">
        <v>59</v>
      </c>
      <c r="C7" s="161" t="s">
        <v>57</v>
      </c>
      <c r="D7" s="162" t="s">
        <v>57</v>
      </c>
      <c r="E7" s="163" t="s">
        <v>57</v>
      </c>
      <c r="F7" s="163" t="s">
        <v>57</v>
      </c>
      <c r="G7" s="164" t="s">
        <v>57</v>
      </c>
      <c r="H7" s="157">
        <v>0</v>
      </c>
      <c r="I7" s="165"/>
      <c r="J7" s="161" t="s">
        <v>57</v>
      </c>
      <c r="K7" s="162" t="s">
        <v>57</v>
      </c>
      <c r="L7" s="163" t="s">
        <v>57</v>
      </c>
      <c r="M7" s="163" t="s">
        <v>57</v>
      </c>
      <c r="N7" s="164" t="s">
        <v>57</v>
      </c>
      <c r="O7" s="157">
        <v>0</v>
      </c>
      <c r="P7" s="165"/>
      <c r="Q7" s="161" t="s">
        <v>57</v>
      </c>
      <c r="R7" s="162" t="s">
        <v>57</v>
      </c>
      <c r="S7" s="163" t="s">
        <v>57</v>
      </c>
      <c r="T7" s="163" t="s">
        <v>57</v>
      </c>
      <c r="U7" s="164" t="s">
        <v>57</v>
      </c>
      <c r="V7" s="157">
        <v>0</v>
      </c>
      <c r="W7" s="165"/>
      <c r="X7" s="162" t="s">
        <v>57</v>
      </c>
      <c r="Y7" s="162" t="s">
        <v>57</v>
      </c>
      <c r="Z7" s="163" t="s">
        <v>57</v>
      </c>
      <c r="AA7" s="163" t="s">
        <v>57</v>
      </c>
      <c r="AB7" s="164" t="s">
        <v>57</v>
      </c>
      <c r="AC7" s="157">
        <v>0</v>
      </c>
      <c r="AD7" s="165"/>
    </row>
    <row r="8" spans="1:30" s="150" customFormat="1" ht="18" customHeight="1" x14ac:dyDescent="0.35">
      <c r="A8" s="159">
        <v>3</v>
      </c>
      <c r="B8" s="160" t="s">
        <v>61</v>
      </c>
      <c r="C8" s="161" t="s">
        <v>57</v>
      </c>
      <c r="D8" s="162" t="s">
        <v>57</v>
      </c>
      <c r="E8" s="163" t="s">
        <v>57</v>
      </c>
      <c r="F8" s="163" t="s">
        <v>57</v>
      </c>
      <c r="G8" s="164" t="s">
        <v>57</v>
      </c>
      <c r="H8" s="157">
        <v>0</v>
      </c>
      <c r="I8" s="165"/>
      <c r="J8" s="161" t="s">
        <v>57</v>
      </c>
      <c r="K8" s="162" t="s">
        <v>57</v>
      </c>
      <c r="L8" s="163" t="s">
        <v>57</v>
      </c>
      <c r="M8" s="163" t="s">
        <v>57</v>
      </c>
      <c r="N8" s="164" t="s">
        <v>57</v>
      </c>
      <c r="O8" s="157">
        <v>0</v>
      </c>
      <c r="P8" s="165"/>
      <c r="Q8" s="161" t="s">
        <v>57</v>
      </c>
      <c r="R8" s="162" t="s">
        <v>57</v>
      </c>
      <c r="S8" s="163" t="s">
        <v>57</v>
      </c>
      <c r="T8" s="163" t="s">
        <v>57</v>
      </c>
      <c r="U8" s="164" t="s">
        <v>57</v>
      </c>
      <c r="V8" s="157">
        <v>0</v>
      </c>
      <c r="W8" s="165"/>
      <c r="X8" s="162" t="s">
        <v>57</v>
      </c>
      <c r="Y8" s="162" t="s">
        <v>57</v>
      </c>
      <c r="Z8" s="163" t="s">
        <v>57</v>
      </c>
      <c r="AA8" s="163" t="s">
        <v>57</v>
      </c>
      <c r="AB8" s="164" t="s">
        <v>57</v>
      </c>
      <c r="AC8" s="157">
        <v>0</v>
      </c>
      <c r="AD8" s="165"/>
    </row>
    <row r="9" spans="1:30" s="150" customFormat="1" ht="18" customHeight="1" x14ac:dyDescent="0.35">
      <c r="A9" s="159">
        <v>4</v>
      </c>
      <c r="B9" s="160" t="s">
        <v>63</v>
      </c>
      <c r="C9" s="161" t="s">
        <v>57</v>
      </c>
      <c r="D9" s="162" t="s">
        <v>57</v>
      </c>
      <c r="E9" s="163" t="s">
        <v>57</v>
      </c>
      <c r="F9" s="163" t="s">
        <v>57</v>
      </c>
      <c r="G9" s="164" t="s">
        <v>57</v>
      </c>
      <c r="H9" s="157">
        <v>0</v>
      </c>
      <c r="I9" s="165"/>
      <c r="J9" s="161" t="s">
        <v>57</v>
      </c>
      <c r="K9" s="162" t="s">
        <v>57</v>
      </c>
      <c r="L9" s="163" t="s">
        <v>57</v>
      </c>
      <c r="M9" s="163" t="s">
        <v>57</v>
      </c>
      <c r="N9" s="164" t="s">
        <v>57</v>
      </c>
      <c r="O9" s="157">
        <v>0</v>
      </c>
      <c r="P9" s="165"/>
      <c r="Q9" s="161" t="s">
        <v>57</v>
      </c>
      <c r="R9" s="162" t="s">
        <v>57</v>
      </c>
      <c r="S9" s="163" t="s">
        <v>57</v>
      </c>
      <c r="T9" s="163" t="s">
        <v>57</v>
      </c>
      <c r="U9" s="164" t="s">
        <v>57</v>
      </c>
      <c r="V9" s="157">
        <v>0</v>
      </c>
      <c r="W9" s="165"/>
      <c r="X9" s="162" t="s">
        <v>57</v>
      </c>
      <c r="Y9" s="162" t="s">
        <v>57</v>
      </c>
      <c r="Z9" s="163" t="s">
        <v>57</v>
      </c>
      <c r="AA9" s="163" t="s">
        <v>57</v>
      </c>
      <c r="AB9" s="164" t="s">
        <v>57</v>
      </c>
      <c r="AC9" s="157">
        <v>0</v>
      </c>
      <c r="AD9" s="165"/>
    </row>
    <row r="10" spans="1:30" s="150" customFormat="1" ht="18" customHeight="1" x14ac:dyDescent="0.35">
      <c r="A10" s="159">
        <v>5</v>
      </c>
      <c r="B10" s="160" t="s">
        <v>65</v>
      </c>
      <c r="C10" s="161" t="s">
        <v>57</v>
      </c>
      <c r="D10" s="162" t="s">
        <v>57</v>
      </c>
      <c r="E10" s="163" t="s">
        <v>57</v>
      </c>
      <c r="F10" s="163" t="s">
        <v>57</v>
      </c>
      <c r="G10" s="164" t="s">
        <v>57</v>
      </c>
      <c r="H10" s="157">
        <v>0</v>
      </c>
      <c r="I10" s="165"/>
      <c r="J10" s="161" t="s">
        <v>57</v>
      </c>
      <c r="K10" s="162" t="s">
        <v>57</v>
      </c>
      <c r="L10" s="163" t="s">
        <v>57</v>
      </c>
      <c r="M10" s="163" t="s">
        <v>57</v>
      </c>
      <c r="N10" s="164" t="s">
        <v>57</v>
      </c>
      <c r="O10" s="157">
        <v>0</v>
      </c>
      <c r="P10" s="165"/>
      <c r="Q10" s="161" t="s">
        <v>57</v>
      </c>
      <c r="R10" s="162" t="s">
        <v>57</v>
      </c>
      <c r="S10" s="163" t="s">
        <v>57</v>
      </c>
      <c r="T10" s="163" t="s">
        <v>57</v>
      </c>
      <c r="U10" s="164" t="s">
        <v>57</v>
      </c>
      <c r="V10" s="157">
        <v>0</v>
      </c>
      <c r="W10" s="165"/>
      <c r="X10" s="162" t="s">
        <v>57</v>
      </c>
      <c r="Y10" s="162" t="s">
        <v>57</v>
      </c>
      <c r="Z10" s="163" t="s">
        <v>57</v>
      </c>
      <c r="AA10" s="163" t="s">
        <v>57</v>
      </c>
      <c r="AB10" s="164" t="s">
        <v>57</v>
      </c>
      <c r="AC10" s="157">
        <v>0</v>
      </c>
      <c r="AD10" s="165"/>
    </row>
    <row r="11" spans="1:30" s="150" customFormat="1" ht="18" customHeight="1" x14ac:dyDescent="0.35">
      <c r="A11" s="159">
        <v>6</v>
      </c>
      <c r="B11" s="160" t="s">
        <v>67</v>
      </c>
      <c r="C11" s="161" t="s">
        <v>57</v>
      </c>
      <c r="D11" s="162" t="s">
        <v>57</v>
      </c>
      <c r="E11" s="163" t="s">
        <v>57</v>
      </c>
      <c r="F11" s="163" t="s">
        <v>57</v>
      </c>
      <c r="G11" s="164" t="s">
        <v>57</v>
      </c>
      <c r="H11" s="157">
        <v>0</v>
      </c>
      <c r="I11" s="165"/>
      <c r="J11" s="161" t="s">
        <v>57</v>
      </c>
      <c r="K11" s="162" t="s">
        <v>57</v>
      </c>
      <c r="L11" s="163" t="s">
        <v>57</v>
      </c>
      <c r="M11" s="163" t="s">
        <v>57</v>
      </c>
      <c r="N11" s="164" t="s">
        <v>57</v>
      </c>
      <c r="O11" s="157">
        <v>0</v>
      </c>
      <c r="P11" s="165"/>
      <c r="Q11" s="161" t="s">
        <v>57</v>
      </c>
      <c r="R11" s="162" t="s">
        <v>57</v>
      </c>
      <c r="S11" s="163" t="s">
        <v>57</v>
      </c>
      <c r="T11" s="163" t="s">
        <v>57</v>
      </c>
      <c r="U11" s="164" t="s">
        <v>57</v>
      </c>
      <c r="V11" s="157">
        <v>0</v>
      </c>
      <c r="W11" s="165"/>
      <c r="X11" s="162" t="s">
        <v>57</v>
      </c>
      <c r="Y11" s="162" t="s">
        <v>57</v>
      </c>
      <c r="Z11" s="163" t="s">
        <v>57</v>
      </c>
      <c r="AA11" s="163" t="s">
        <v>57</v>
      </c>
      <c r="AB11" s="164" t="s">
        <v>57</v>
      </c>
      <c r="AC11" s="157">
        <v>0</v>
      </c>
      <c r="AD11" s="165"/>
    </row>
    <row r="12" spans="1:30" s="150" customFormat="1" ht="18" customHeight="1" x14ac:dyDescent="0.35">
      <c r="A12" s="159">
        <v>7</v>
      </c>
      <c r="B12" s="160" t="s">
        <v>69</v>
      </c>
      <c r="C12" s="161" t="s">
        <v>57</v>
      </c>
      <c r="D12" s="162" t="s">
        <v>57</v>
      </c>
      <c r="E12" s="163" t="s">
        <v>57</v>
      </c>
      <c r="F12" s="163" t="s">
        <v>57</v>
      </c>
      <c r="G12" s="164" t="s">
        <v>57</v>
      </c>
      <c r="H12" s="157">
        <v>0</v>
      </c>
      <c r="I12" s="165"/>
      <c r="J12" s="161" t="s">
        <v>57</v>
      </c>
      <c r="K12" s="162" t="s">
        <v>57</v>
      </c>
      <c r="L12" s="163" t="s">
        <v>57</v>
      </c>
      <c r="M12" s="163" t="s">
        <v>57</v>
      </c>
      <c r="N12" s="164" t="s">
        <v>57</v>
      </c>
      <c r="O12" s="157">
        <v>0</v>
      </c>
      <c r="P12" s="165"/>
      <c r="Q12" s="161" t="s">
        <v>57</v>
      </c>
      <c r="R12" s="162" t="s">
        <v>57</v>
      </c>
      <c r="S12" s="163" t="s">
        <v>57</v>
      </c>
      <c r="T12" s="163" t="s">
        <v>57</v>
      </c>
      <c r="U12" s="164" t="s">
        <v>57</v>
      </c>
      <c r="V12" s="157">
        <v>0</v>
      </c>
      <c r="W12" s="165"/>
      <c r="X12" s="162" t="s">
        <v>57</v>
      </c>
      <c r="Y12" s="162" t="s">
        <v>57</v>
      </c>
      <c r="Z12" s="163" t="s">
        <v>57</v>
      </c>
      <c r="AA12" s="163" t="s">
        <v>57</v>
      </c>
      <c r="AB12" s="164" t="s">
        <v>57</v>
      </c>
      <c r="AC12" s="157">
        <v>0</v>
      </c>
      <c r="AD12" s="165"/>
    </row>
    <row r="13" spans="1:30" s="150" customFormat="1" ht="18" customHeight="1" x14ac:dyDescent="0.35">
      <c r="A13" s="159">
        <v>8</v>
      </c>
      <c r="B13" s="160" t="s">
        <v>71</v>
      </c>
      <c r="C13" s="161" t="s">
        <v>57</v>
      </c>
      <c r="D13" s="162" t="s">
        <v>57</v>
      </c>
      <c r="E13" s="163" t="s">
        <v>57</v>
      </c>
      <c r="F13" s="163" t="s">
        <v>57</v>
      </c>
      <c r="G13" s="164" t="s">
        <v>57</v>
      </c>
      <c r="H13" s="157">
        <v>0</v>
      </c>
      <c r="I13" s="165"/>
      <c r="J13" s="161" t="s">
        <v>57</v>
      </c>
      <c r="K13" s="162" t="s">
        <v>57</v>
      </c>
      <c r="L13" s="163" t="s">
        <v>57</v>
      </c>
      <c r="M13" s="163" t="s">
        <v>57</v>
      </c>
      <c r="N13" s="164" t="s">
        <v>57</v>
      </c>
      <c r="O13" s="157">
        <v>0</v>
      </c>
      <c r="P13" s="165"/>
      <c r="Q13" s="161" t="s">
        <v>57</v>
      </c>
      <c r="R13" s="162" t="s">
        <v>57</v>
      </c>
      <c r="S13" s="163" t="s">
        <v>57</v>
      </c>
      <c r="T13" s="163" t="s">
        <v>57</v>
      </c>
      <c r="U13" s="164" t="s">
        <v>57</v>
      </c>
      <c r="V13" s="157">
        <v>0</v>
      </c>
      <c r="W13" s="165"/>
      <c r="X13" s="162" t="s">
        <v>57</v>
      </c>
      <c r="Y13" s="162" t="s">
        <v>57</v>
      </c>
      <c r="Z13" s="163" t="s">
        <v>57</v>
      </c>
      <c r="AA13" s="163" t="s">
        <v>57</v>
      </c>
      <c r="AB13" s="164" t="s">
        <v>57</v>
      </c>
      <c r="AC13" s="157">
        <v>0</v>
      </c>
      <c r="AD13" s="165"/>
    </row>
    <row r="14" spans="1:30" s="150" customFormat="1" ht="18" customHeight="1" x14ac:dyDescent="0.35">
      <c r="A14" s="159">
        <v>9</v>
      </c>
      <c r="B14" s="160" t="s">
        <v>73</v>
      </c>
      <c r="C14" s="161" t="s">
        <v>57</v>
      </c>
      <c r="D14" s="162" t="s">
        <v>57</v>
      </c>
      <c r="E14" s="163" t="s">
        <v>57</v>
      </c>
      <c r="F14" s="163" t="s">
        <v>57</v>
      </c>
      <c r="G14" s="164" t="s">
        <v>57</v>
      </c>
      <c r="H14" s="157">
        <v>0</v>
      </c>
      <c r="I14" s="165"/>
      <c r="J14" s="161" t="s">
        <v>57</v>
      </c>
      <c r="K14" s="162" t="s">
        <v>57</v>
      </c>
      <c r="L14" s="163" t="s">
        <v>57</v>
      </c>
      <c r="M14" s="163" t="s">
        <v>57</v>
      </c>
      <c r="N14" s="164" t="s">
        <v>57</v>
      </c>
      <c r="O14" s="157">
        <v>0</v>
      </c>
      <c r="P14" s="165"/>
      <c r="Q14" s="161" t="s">
        <v>57</v>
      </c>
      <c r="R14" s="162" t="s">
        <v>57</v>
      </c>
      <c r="S14" s="163" t="s">
        <v>57</v>
      </c>
      <c r="T14" s="163" t="s">
        <v>57</v>
      </c>
      <c r="U14" s="164" t="s">
        <v>57</v>
      </c>
      <c r="V14" s="157">
        <v>0</v>
      </c>
      <c r="W14" s="165"/>
      <c r="X14" s="162" t="s">
        <v>57</v>
      </c>
      <c r="Y14" s="162" t="s">
        <v>57</v>
      </c>
      <c r="Z14" s="163" t="s">
        <v>57</v>
      </c>
      <c r="AA14" s="163" t="s">
        <v>57</v>
      </c>
      <c r="AB14" s="164" t="s">
        <v>57</v>
      </c>
      <c r="AC14" s="157">
        <v>0</v>
      </c>
      <c r="AD14" s="165"/>
    </row>
    <row r="15" spans="1:30" s="150" customFormat="1" ht="18" customHeight="1" x14ac:dyDescent="0.35">
      <c r="A15" s="159">
        <v>10</v>
      </c>
      <c r="B15" s="160" t="s">
        <v>75</v>
      </c>
      <c r="C15" s="161" t="s">
        <v>57</v>
      </c>
      <c r="D15" s="162" t="s">
        <v>57</v>
      </c>
      <c r="E15" s="163" t="s">
        <v>57</v>
      </c>
      <c r="F15" s="163" t="s">
        <v>57</v>
      </c>
      <c r="G15" s="164" t="s">
        <v>57</v>
      </c>
      <c r="H15" s="157">
        <v>0</v>
      </c>
      <c r="I15" s="165"/>
      <c r="J15" s="161" t="s">
        <v>57</v>
      </c>
      <c r="K15" s="162" t="s">
        <v>57</v>
      </c>
      <c r="L15" s="163" t="s">
        <v>57</v>
      </c>
      <c r="M15" s="163" t="s">
        <v>57</v>
      </c>
      <c r="N15" s="164" t="s">
        <v>57</v>
      </c>
      <c r="O15" s="157">
        <v>0</v>
      </c>
      <c r="P15" s="165"/>
      <c r="Q15" s="161" t="s">
        <v>57</v>
      </c>
      <c r="R15" s="162" t="s">
        <v>57</v>
      </c>
      <c r="S15" s="163" t="s">
        <v>57</v>
      </c>
      <c r="T15" s="163" t="s">
        <v>57</v>
      </c>
      <c r="U15" s="164" t="s">
        <v>57</v>
      </c>
      <c r="V15" s="157">
        <v>0</v>
      </c>
      <c r="W15" s="165"/>
      <c r="X15" s="162" t="s">
        <v>57</v>
      </c>
      <c r="Y15" s="162" t="s">
        <v>57</v>
      </c>
      <c r="Z15" s="163" t="s">
        <v>57</v>
      </c>
      <c r="AA15" s="163" t="s">
        <v>57</v>
      </c>
      <c r="AB15" s="164" t="s">
        <v>57</v>
      </c>
      <c r="AC15" s="157">
        <v>0</v>
      </c>
      <c r="AD15" s="165"/>
    </row>
    <row r="16" spans="1:30" s="150" customFormat="1" ht="18" customHeight="1" x14ac:dyDescent="0.35">
      <c r="A16" s="159">
        <v>11</v>
      </c>
      <c r="B16" s="160" t="s">
        <v>77</v>
      </c>
      <c r="C16" s="161" t="s">
        <v>57</v>
      </c>
      <c r="D16" s="162" t="s">
        <v>57</v>
      </c>
      <c r="E16" s="163" t="s">
        <v>57</v>
      </c>
      <c r="F16" s="163" t="s">
        <v>57</v>
      </c>
      <c r="G16" s="164" t="s">
        <v>57</v>
      </c>
      <c r="H16" s="157">
        <v>0</v>
      </c>
      <c r="I16" s="165"/>
      <c r="J16" s="161" t="s">
        <v>57</v>
      </c>
      <c r="K16" s="162" t="s">
        <v>57</v>
      </c>
      <c r="L16" s="163" t="s">
        <v>57</v>
      </c>
      <c r="M16" s="163" t="s">
        <v>57</v>
      </c>
      <c r="N16" s="164" t="s">
        <v>57</v>
      </c>
      <c r="O16" s="157">
        <v>0</v>
      </c>
      <c r="P16" s="165"/>
      <c r="Q16" s="161" t="s">
        <v>57</v>
      </c>
      <c r="R16" s="162" t="s">
        <v>57</v>
      </c>
      <c r="S16" s="163" t="s">
        <v>57</v>
      </c>
      <c r="T16" s="163" t="s">
        <v>57</v>
      </c>
      <c r="U16" s="164" t="s">
        <v>57</v>
      </c>
      <c r="V16" s="157">
        <v>0</v>
      </c>
      <c r="W16" s="165"/>
      <c r="X16" s="162" t="s">
        <v>57</v>
      </c>
      <c r="Y16" s="162" t="s">
        <v>57</v>
      </c>
      <c r="Z16" s="163" t="s">
        <v>57</v>
      </c>
      <c r="AA16" s="163" t="s">
        <v>57</v>
      </c>
      <c r="AB16" s="164" t="s">
        <v>57</v>
      </c>
      <c r="AC16" s="157">
        <v>0</v>
      </c>
      <c r="AD16" s="165"/>
    </row>
    <row r="17" spans="1:30" s="150" customFormat="1" ht="18" customHeight="1" x14ac:dyDescent="0.35">
      <c r="A17" s="159">
        <v>12</v>
      </c>
      <c r="B17" s="160" t="s">
        <v>79</v>
      </c>
      <c r="C17" s="161" t="s">
        <v>57</v>
      </c>
      <c r="D17" s="162" t="s">
        <v>57</v>
      </c>
      <c r="E17" s="163" t="s">
        <v>57</v>
      </c>
      <c r="F17" s="163" t="s">
        <v>57</v>
      </c>
      <c r="G17" s="164" t="s">
        <v>57</v>
      </c>
      <c r="H17" s="157">
        <v>0</v>
      </c>
      <c r="I17" s="165"/>
      <c r="J17" s="161" t="s">
        <v>57</v>
      </c>
      <c r="K17" s="162" t="s">
        <v>57</v>
      </c>
      <c r="L17" s="163" t="s">
        <v>57</v>
      </c>
      <c r="M17" s="163" t="s">
        <v>57</v>
      </c>
      <c r="N17" s="164" t="s">
        <v>57</v>
      </c>
      <c r="O17" s="157">
        <v>0</v>
      </c>
      <c r="P17" s="165"/>
      <c r="Q17" s="161" t="s">
        <v>57</v>
      </c>
      <c r="R17" s="162" t="s">
        <v>57</v>
      </c>
      <c r="S17" s="163" t="s">
        <v>57</v>
      </c>
      <c r="T17" s="163" t="s">
        <v>57</v>
      </c>
      <c r="U17" s="164" t="s">
        <v>57</v>
      </c>
      <c r="V17" s="157">
        <v>0</v>
      </c>
      <c r="W17" s="165"/>
      <c r="X17" s="162" t="s">
        <v>57</v>
      </c>
      <c r="Y17" s="162" t="s">
        <v>57</v>
      </c>
      <c r="Z17" s="163" t="s">
        <v>57</v>
      </c>
      <c r="AA17" s="163" t="s">
        <v>57</v>
      </c>
      <c r="AB17" s="164" t="s">
        <v>57</v>
      </c>
      <c r="AC17" s="157">
        <v>0</v>
      </c>
      <c r="AD17" s="165"/>
    </row>
    <row r="18" spans="1:30" s="150" customFormat="1" ht="18" customHeight="1" x14ac:dyDescent="0.35">
      <c r="A18" s="159">
        <v>13</v>
      </c>
      <c r="B18" s="160" t="s">
        <v>81</v>
      </c>
      <c r="C18" s="161" t="s">
        <v>57</v>
      </c>
      <c r="D18" s="162" t="s">
        <v>57</v>
      </c>
      <c r="E18" s="163" t="s">
        <v>57</v>
      </c>
      <c r="F18" s="163" t="s">
        <v>57</v>
      </c>
      <c r="G18" s="164" t="s">
        <v>57</v>
      </c>
      <c r="H18" s="157">
        <v>0</v>
      </c>
      <c r="I18" s="165"/>
      <c r="J18" s="161" t="s">
        <v>57</v>
      </c>
      <c r="K18" s="162" t="s">
        <v>57</v>
      </c>
      <c r="L18" s="163" t="s">
        <v>57</v>
      </c>
      <c r="M18" s="163" t="s">
        <v>57</v>
      </c>
      <c r="N18" s="164" t="s">
        <v>57</v>
      </c>
      <c r="O18" s="157">
        <v>0</v>
      </c>
      <c r="P18" s="165"/>
      <c r="Q18" s="161" t="s">
        <v>57</v>
      </c>
      <c r="R18" s="162" t="s">
        <v>57</v>
      </c>
      <c r="S18" s="163" t="s">
        <v>57</v>
      </c>
      <c r="T18" s="163" t="s">
        <v>57</v>
      </c>
      <c r="U18" s="164" t="s">
        <v>57</v>
      </c>
      <c r="V18" s="157">
        <v>0</v>
      </c>
      <c r="W18" s="165"/>
      <c r="X18" s="162" t="s">
        <v>57</v>
      </c>
      <c r="Y18" s="162" t="s">
        <v>57</v>
      </c>
      <c r="Z18" s="163" t="s">
        <v>57</v>
      </c>
      <c r="AA18" s="163" t="s">
        <v>57</v>
      </c>
      <c r="AB18" s="164" t="s">
        <v>57</v>
      </c>
      <c r="AC18" s="157">
        <v>0</v>
      </c>
      <c r="AD18" s="165"/>
    </row>
    <row r="19" spans="1:30" s="150" customFormat="1" ht="18" customHeight="1" x14ac:dyDescent="0.35">
      <c r="A19" s="159">
        <v>14</v>
      </c>
      <c r="B19" s="160" t="s">
        <v>83</v>
      </c>
      <c r="C19" s="161" t="s">
        <v>57</v>
      </c>
      <c r="D19" s="162" t="s">
        <v>57</v>
      </c>
      <c r="E19" s="163" t="s">
        <v>57</v>
      </c>
      <c r="F19" s="163" t="s">
        <v>57</v>
      </c>
      <c r="G19" s="164" t="s">
        <v>57</v>
      </c>
      <c r="H19" s="157">
        <v>0</v>
      </c>
      <c r="I19" s="165"/>
      <c r="J19" s="161" t="s">
        <v>57</v>
      </c>
      <c r="K19" s="162" t="s">
        <v>57</v>
      </c>
      <c r="L19" s="163" t="s">
        <v>57</v>
      </c>
      <c r="M19" s="163" t="s">
        <v>57</v>
      </c>
      <c r="N19" s="164" t="s">
        <v>57</v>
      </c>
      <c r="O19" s="157">
        <v>0</v>
      </c>
      <c r="P19" s="165"/>
      <c r="Q19" s="161" t="s">
        <v>57</v>
      </c>
      <c r="R19" s="162" t="s">
        <v>57</v>
      </c>
      <c r="S19" s="163" t="s">
        <v>57</v>
      </c>
      <c r="T19" s="163" t="s">
        <v>57</v>
      </c>
      <c r="U19" s="164" t="s">
        <v>57</v>
      </c>
      <c r="V19" s="157">
        <v>0</v>
      </c>
      <c r="W19" s="165"/>
      <c r="X19" s="162" t="s">
        <v>57</v>
      </c>
      <c r="Y19" s="162" t="s">
        <v>57</v>
      </c>
      <c r="Z19" s="163" t="s">
        <v>57</v>
      </c>
      <c r="AA19" s="163" t="s">
        <v>57</v>
      </c>
      <c r="AB19" s="164" t="s">
        <v>57</v>
      </c>
      <c r="AC19" s="157">
        <v>0</v>
      </c>
      <c r="AD19" s="165"/>
    </row>
    <row r="20" spans="1:30" s="150" customFormat="1" ht="18" customHeight="1" x14ac:dyDescent="0.35">
      <c r="A20" s="159">
        <v>15</v>
      </c>
      <c r="B20" s="160" t="s">
        <v>85</v>
      </c>
      <c r="C20" s="161" t="s">
        <v>57</v>
      </c>
      <c r="D20" s="162" t="s">
        <v>57</v>
      </c>
      <c r="E20" s="163" t="s">
        <v>57</v>
      </c>
      <c r="F20" s="163" t="s">
        <v>57</v>
      </c>
      <c r="G20" s="164" t="s">
        <v>57</v>
      </c>
      <c r="H20" s="157">
        <v>0</v>
      </c>
      <c r="I20" s="165"/>
      <c r="J20" s="161" t="s">
        <v>57</v>
      </c>
      <c r="K20" s="162" t="s">
        <v>57</v>
      </c>
      <c r="L20" s="163" t="s">
        <v>57</v>
      </c>
      <c r="M20" s="163" t="s">
        <v>57</v>
      </c>
      <c r="N20" s="164" t="s">
        <v>57</v>
      </c>
      <c r="O20" s="157">
        <v>0</v>
      </c>
      <c r="P20" s="165"/>
      <c r="Q20" s="161" t="s">
        <v>57</v>
      </c>
      <c r="R20" s="162" t="s">
        <v>57</v>
      </c>
      <c r="S20" s="163" t="s">
        <v>57</v>
      </c>
      <c r="T20" s="163" t="s">
        <v>57</v>
      </c>
      <c r="U20" s="164" t="s">
        <v>57</v>
      </c>
      <c r="V20" s="157">
        <v>0</v>
      </c>
      <c r="W20" s="165"/>
      <c r="X20" s="162" t="s">
        <v>57</v>
      </c>
      <c r="Y20" s="162" t="s">
        <v>57</v>
      </c>
      <c r="Z20" s="163" t="s">
        <v>57</v>
      </c>
      <c r="AA20" s="163" t="s">
        <v>57</v>
      </c>
      <c r="AB20" s="164" t="s">
        <v>57</v>
      </c>
      <c r="AC20" s="157">
        <v>0</v>
      </c>
      <c r="AD20" s="165"/>
    </row>
    <row r="21" spans="1:30" s="150" customFormat="1" ht="18" customHeight="1" x14ac:dyDescent="0.35">
      <c r="A21" s="159">
        <v>16</v>
      </c>
      <c r="B21" s="160" t="s">
        <v>87</v>
      </c>
      <c r="C21" s="161" t="s">
        <v>57</v>
      </c>
      <c r="D21" s="162" t="s">
        <v>57</v>
      </c>
      <c r="E21" s="163" t="s">
        <v>57</v>
      </c>
      <c r="F21" s="163" t="s">
        <v>57</v>
      </c>
      <c r="G21" s="164" t="s">
        <v>57</v>
      </c>
      <c r="H21" s="157">
        <v>0</v>
      </c>
      <c r="I21" s="165"/>
      <c r="J21" s="161" t="s">
        <v>57</v>
      </c>
      <c r="K21" s="162" t="s">
        <v>57</v>
      </c>
      <c r="L21" s="163" t="s">
        <v>57</v>
      </c>
      <c r="M21" s="163" t="s">
        <v>57</v>
      </c>
      <c r="N21" s="164" t="s">
        <v>57</v>
      </c>
      <c r="O21" s="157">
        <v>0</v>
      </c>
      <c r="P21" s="165"/>
      <c r="Q21" s="161" t="s">
        <v>57</v>
      </c>
      <c r="R21" s="162" t="s">
        <v>57</v>
      </c>
      <c r="S21" s="163" t="s">
        <v>57</v>
      </c>
      <c r="T21" s="163" t="s">
        <v>57</v>
      </c>
      <c r="U21" s="164" t="s">
        <v>57</v>
      </c>
      <c r="V21" s="157">
        <v>0</v>
      </c>
      <c r="W21" s="165"/>
      <c r="X21" s="162" t="s">
        <v>57</v>
      </c>
      <c r="Y21" s="162" t="s">
        <v>57</v>
      </c>
      <c r="Z21" s="163" t="s">
        <v>57</v>
      </c>
      <c r="AA21" s="163" t="s">
        <v>57</v>
      </c>
      <c r="AB21" s="164" t="s">
        <v>57</v>
      </c>
      <c r="AC21" s="157">
        <v>0</v>
      </c>
      <c r="AD21" s="165"/>
    </row>
    <row r="22" spans="1:30" s="150" customFormat="1" ht="18" customHeight="1" x14ac:dyDescent="0.35">
      <c r="A22" s="159"/>
      <c r="B22" s="160"/>
      <c r="C22" s="161"/>
      <c r="D22" s="162"/>
      <c r="E22" s="163"/>
      <c r="F22" s="163"/>
      <c r="G22" s="164"/>
      <c r="H22" s="157"/>
      <c r="I22" s="165"/>
      <c r="J22" s="161"/>
      <c r="K22" s="162"/>
      <c r="L22" s="163"/>
      <c r="M22" s="163"/>
      <c r="N22" s="164"/>
      <c r="O22" s="157"/>
      <c r="P22" s="165"/>
      <c r="Q22" s="161"/>
      <c r="R22" s="162"/>
      <c r="S22" s="163"/>
      <c r="T22" s="163"/>
      <c r="U22" s="164"/>
      <c r="V22" s="157"/>
      <c r="W22" s="165"/>
      <c r="X22" s="162"/>
      <c r="Y22" s="162"/>
      <c r="Z22" s="163"/>
      <c r="AA22" s="163"/>
      <c r="AB22" s="164"/>
      <c r="AC22" s="157"/>
      <c r="AD22" s="165"/>
    </row>
    <row r="23" spans="1:30" s="150" customFormat="1" ht="18" customHeight="1" x14ac:dyDescent="0.35">
      <c r="A23" s="159"/>
      <c r="B23" s="160"/>
      <c r="C23" s="161"/>
      <c r="D23" s="162"/>
      <c r="E23" s="163"/>
      <c r="F23" s="163"/>
      <c r="G23" s="164"/>
      <c r="H23" s="157"/>
      <c r="I23" s="165"/>
      <c r="J23" s="161"/>
      <c r="K23" s="162"/>
      <c r="L23" s="163"/>
      <c r="M23" s="163"/>
      <c r="N23" s="164"/>
      <c r="O23" s="157"/>
      <c r="P23" s="165"/>
      <c r="Q23" s="161"/>
      <c r="R23" s="162"/>
      <c r="S23" s="163"/>
      <c r="T23" s="163"/>
      <c r="U23" s="164"/>
      <c r="V23" s="157"/>
      <c r="W23" s="165"/>
      <c r="X23" s="162"/>
      <c r="Y23" s="162"/>
      <c r="Z23" s="163"/>
      <c r="AA23" s="163"/>
      <c r="AB23" s="164"/>
      <c r="AC23" s="157"/>
      <c r="AD23" s="165"/>
    </row>
    <row r="24" spans="1:30" s="150" customFormat="1" ht="18" customHeight="1" x14ac:dyDescent="0.35">
      <c r="A24" s="159"/>
      <c r="B24" s="160"/>
      <c r="C24" s="161"/>
      <c r="D24" s="162"/>
      <c r="E24" s="163"/>
      <c r="F24" s="163"/>
      <c r="G24" s="164"/>
      <c r="H24" s="157"/>
      <c r="I24" s="165"/>
      <c r="J24" s="161"/>
      <c r="K24" s="162"/>
      <c r="L24" s="163"/>
      <c r="M24" s="163"/>
      <c r="N24" s="164"/>
      <c r="O24" s="157"/>
      <c r="P24" s="165"/>
      <c r="Q24" s="161"/>
      <c r="R24" s="162"/>
      <c r="S24" s="163"/>
      <c r="T24" s="163"/>
      <c r="U24" s="164"/>
      <c r="V24" s="157"/>
      <c r="W24" s="165"/>
      <c r="X24" s="162"/>
      <c r="Y24" s="162"/>
      <c r="Z24" s="163"/>
      <c r="AA24" s="163"/>
      <c r="AB24" s="164"/>
      <c r="AC24" s="157"/>
      <c r="AD24" s="165"/>
    </row>
    <row r="25" spans="1:30" s="150" customFormat="1" ht="18" customHeight="1" x14ac:dyDescent="0.35">
      <c r="A25" s="159"/>
      <c r="B25" s="160"/>
      <c r="C25" s="161"/>
      <c r="D25" s="162"/>
      <c r="E25" s="163"/>
      <c r="F25" s="163"/>
      <c r="G25" s="164"/>
      <c r="H25" s="157"/>
      <c r="I25" s="165"/>
      <c r="J25" s="161"/>
      <c r="K25" s="162"/>
      <c r="L25" s="163"/>
      <c r="M25" s="163"/>
      <c r="N25" s="164"/>
      <c r="O25" s="157"/>
      <c r="P25" s="165"/>
      <c r="Q25" s="161"/>
      <c r="R25" s="162"/>
      <c r="S25" s="163"/>
      <c r="T25" s="163"/>
      <c r="U25" s="164"/>
      <c r="V25" s="157"/>
      <c r="W25" s="165"/>
      <c r="X25" s="162"/>
      <c r="Y25" s="162"/>
      <c r="Z25" s="163"/>
      <c r="AA25" s="163"/>
      <c r="AB25" s="164"/>
      <c r="AC25" s="157"/>
      <c r="AD25" s="165"/>
    </row>
    <row r="26" spans="1:30" s="150" customFormat="1" ht="18" customHeight="1" x14ac:dyDescent="0.35">
      <c r="A26" s="159"/>
      <c r="B26" s="160"/>
      <c r="C26" s="161"/>
      <c r="D26" s="162"/>
      <c r="E26" s="163"/>
      <c r="F26" s="163"/>
      <c r="G26" s="164"/>
      <c r="H26" s="157"/>
      <c r="I26" s="165"/>
      <c r="J26" s="161"/>
      <c r="K26" s="162"/>
      <c r="L26" s="163"/>
      <c r="M26" s="163"/>
      <c r="N26" s="164"/>
      <c r="O26" s="157"/>
      <c r="P26" s="165"/>
      <c r="Q26" s="161"/>
      <c r="R26" s="162"/>
      <c r="S26" s="163"/>
      <c r="T26" s="163"/>
      <c r="U26" s="164"/>
      <c r="V26" s="157"/>
      <c r="W26" s="165"/>
      <c r="X26" s="162"/>
      <c r="Y26" s="162"/>
      <c r="Z26" s="163"/>
      <c r="AA26" s="163"/>
      <c r="AB26" s="164"/>
      <c r="AC26" s="157"/>
      <c r="AD26" s="165"/>
    </row>
    <row r="27" spans="1:30" s="150" customFormat="1" ht="18" customHeight="1" x14ac:dyDescent="0.35">
      <c r="A27" s="159"/>
      <c r="B27" s="160"/>
      <c r="C27" s="161"/>
      <c r="D27" s="162"/>
      <c r="E27" s="163"/>
      <c r="F27" s="163"/>
      <c r="G27" s="164"/>
      <c r="H27" s="157"/>
      <c r="I27" s="165"/>
      <c r="J27" s="161"/>
      <c r="K27" s="162"/>
      <c r="L27" s="163"/>
      <c r="M27" s="163"/>
      <c r="N27" s="164"/>
      <c r="O27" s="157"/>
      <c r="P27" s="165"/>
      <c r="Q27" s="161"/>
      <c r="R27" s="162"/>
      <c r="S27" s="163"/>
      <c r="T27" s="163"/>
      <c r="U27" s="164"/>
      <c r="V27" s="157"/>
      <c r="W27" s="165"/>
      <c r="X27" s="162"/>
      <c r="Y27" s="162"/>
      <c r="Z27" s="163"/>
      <c r="AA27" s="163"/>
      <c r="AB27" s="164"/>
      <c r="AC27" s="157"/>
      <c r="AD27" s="165"/>
    </row>
    <row r="28" spans="1:30" s="150" customFormat="1" ht="18" customHeight="1" x14ac:dyDescent="0.35">
      <c r="A28" s="166"/>
      <c r="B28" s="160"/>
      <c r="C28" s="161"/>
      <c r="D28" s="162"/>
      <c r="E28" s="163"/>
      <c r="F28" s="163"/>
      <c r="G28" s="167"/>
      <c r="H28" s="157"/>
      <c r="I28" s="157"/>
      <c r="J28" s="161"/>
      <c r="K28" s="162"/>
      <c r="L28" s="163"/>
      <c r="M28" s="163"/>
      <c r="N28" s="167"/>
      <c r="O28" s="157"/>
      <c r="P28" s="157"/>
      <c r="Q28" s="161"/>
      <c r="R28" s="162"/>
      <c r="S28" s="163"/>
      <c r="T28" s="163"/>
      <c r="U28" s="167"/>
      <c r="V28" s="157"/>
      <c r="W28" s="157"/>
      <c r="X28" s="162"/>
      <c r="Y28" s="162"/>
      <c r="Z28" s="163"/>
      <c r="AA28" s="163"/>
      <c r="AB28" s="167"/>
      <c r="AC28" s="157"/>
      <c r="AD28" s="157"/>
    </row>
    <row r="29" spans="1:30" s="150" customFormat="1" ht="18" customHeight="1" x14ac:dyDescent="0.35">
      <c r="A29" s="159"/>
      <c r="B29" s="160"/>
      <c r="C29" s="161"/>
      <c r="D29" s="162"/>
      <c r="E29" s="163"/>
      <c r="F29" s="163"/>
      <c r="G29" s="164"/>
      <c r="H29" s="157"/>
      <c r="I29" s="165"/>
      <c r="J29" s="161"/>
      <c r="K29" s="162"/>
      <c r="L29" s="163"/>
      <c r="M29" s="163"/>
      <c r="N29" s="164"/>
      <c r="O29" s="157"/>
      <c r="P29" s="165"/>
      <c r="Q29" s="161"/>
      <c r="R29" s="162"/>
      <c r="S29" s="163"/>
      <c r="T29" s="163"/>
      <c r="U29" s="164"/>
      <c r="V29" s="157"/>
      <c r="W29" s="165"/>
      <c r="X29" s="162"/>
      <c r="Y29" s="162"/>
      <c r="Z29" s="163"/>
      <c r="AA29" s="163"/>
      <c r="AB29" s="164"/>
      <c r="AC29" s="157"/>
      <c r="AD29" s="165"/>
    </row>
    <row r="30" spans="1:30" s="150" customFormat="1" ht="18" customHeight="1" x14ac:dyDescent="0.35">
      <c r="A30" s="159"/>
      <c r="B30" s="160"/>
      <c r="C30" s="161"/>
      <c r="D30" s="162"/>
      <c r="E30" s="163"/>
      <c r="F30" s="163"/>
      <c r="G30" s="164"/>
      <c r="H30" s="157"/>
      <c r="I30" s="165"/>
      <c r="J30" s="161"/>
      <c r="K30" s="162"/>
      <c r="L30" s="163"/>
      <c r="M30" s="163"/>
      <c r="N30" s="164"/>
      <c r="O30" s="157"/>
      <c r="P30" s="165"/>
      <c r="Q30" s="161"/>
      <c r="R30" s="162"/>
      <c r="S30" s="163"/>
      <c r="T30" s="163"/>
      <c r="U30" s="164"/>
      <c r="V30" s="157"/>
      <c r="W30" s="165"/>
      <c r="X30" s="162"/>
      <c r="Y30" s="162"/>
      <c r="Z30" s="163"/>
      <c r="AA30" s="163"/>
      <c r="AB30" s="164"/>
      <c r="AC30" s="157"/>
      <c r="AD30" s="165"/>
    </row>
    <row r="31" spans="1:30" s="150" customFormat="1" ht="18" customHeight="1" x14ac:dyDescent="0.35">
      <c r="A31" s="159"/>
      <c r="B31" s="160"/>
      <c r="C31" s="161"/>
      <c r="D31" s="162"/>
      <c r="E31" s="163"/>
      <c r="F31" s="163"/>
      <c r="G31" s="164"/>
      <c r="H31" s="157"/>
      <c r="I31" s="165"/>
      <c r="J31" s="161"/>
      <c r="K31" s="162"/>
      <c r="L31" s="163"/>
      <c r="M31" s="163"/>
      <c r="N31" s="164"/>
      <c r="O31" s="157"/>
      <c r="P31" s="165"/>
      <c r="Q31" s="161"/>
      <c r="R31" s="162"/>
      <c r="S31" s="163"/>
      <c r="T31" s="163"/>
      <c r="U31" s="164"/>
      <c r="V31" s="157"/>
      <c r="W31" s="165"/>
      <c r="X31" s="162"/>
      <c r="Y31" s="162"/>
      <c r="Z31" s="163"/>
      <c r="AA31" s="163"/>
      <c r="AB31" s="164"/>
      <c r="AC31" s="157"/>
      <c r="AD31" s="165"/>
    </row>
    <row r="32" spans="1:30" s="150" customFormat="1" ht="18" customHeight="1" x14ac:dyDescent="0.35">
      <c r="A32" s="159"/>
      <c r="B32" s="160"/>
      <c r="C32" s="161"/>
      <c r="D32" s="162"/>
      <c r="E32" s="163"/>
      <c r="F32" s="163"/>
      <c r="G32" s="164"/>
      <c r="H32" s="157"/>
      <c r="I32" s="165"/>
      <c r="J32" s="161"/>
      <c r="K32" s="162"/>
      <c r="L32" s="163"/>
      <c r="M32" s="163"/>
      <c r="N32" s="164"/>
      <c r="O32" s="157"/>
      <c r="P32" s="165"/>
      <c r="Q32" s="161"/>
      <c r="R32" s="162"/>
      <c r="S32" s="163"/>
      <c r="T32" s="163"/>
      <c r="U32" s="164"/>
      <c r="V32" s="157"/>
      <c r="W32" s="165"/>
      <c r="X32" s="162"/>
      <c r="Y32" s="162"/>
      <c r="Z32" s="163"/>
      <c r="AA32" s="163"/>
      <c r="AB32" s="164"/>
      <c r="AC32" s="157"/>
      <c r="AD32" s="165"/>
    </row>
    <row r="33" spans="1:30" s="150" customFormat="1" ht="18" customHeight="1" x14ac:dyDescent="0.35">
      <c r="A33" s="166"/>
      <c r="B33" s="160"/>
      <c r="C33" s="161"/>
      <c r="D33" s="162"/>
      <c r="E33" s="163"/>
      <c r="F33" s="163"/>
      <c r="G33" s="167"/>
      <c r="H33" s="157"/>
      <c r="I33" s="157"/>
      <c r="J33" s="161"/>
      <c r="K33" s="162"/>
      <c r="L33" s="163"/>
      <c r="M33" s="163"/>
      <c r="N33" s="167"/>
      <c r="O33" s="157"/>
      <c r="P33" s="157"/>
      <c r="Q33" s="161"/>
      <c r="R33" s="162"/>
      <c r="S33" s="163"/>
      <c r="T33" s="163"/>
      <c r="U33" s="167"/>
      <c r="V33" s="157"/>
      <c r="W33" s="157"/>
      <c r="X33" s="162"/>
      <c r="Y33" s="162"/>
      <c r="Z33" s="163"/>
      <c r="AA33" s="163"/>
      <c r="AB33" s="167"/>
      <c r="AC33" s="157"/>
      <c r="AD33" s="157"/>
    </row>
    <row r="34" spans="1:30" s="150" customFormat="1" ht="18" customHeight="1" x14ac:dyDescent="0.35">
      <c r="A34" s="159"/>
      <c r="B34" s="160"/>
      <c r="C34" s="161"/>
      <c r="D34" s="162"/>
      <c r="E34" s="163"/>
      <c r="F34" s="163"/>
      <c r="G34" s="164"/>
      <c r="H34" s="157"/>
      <c r="I34" s="165"/>
      <c r="J34" s="161"/>
      <c r="K34" s="162"/>
      <c r="L34" s="163"/>
      <c r="M34" s="163"/>
      <c r="N34" s="164"/>
      <c r="O34" s="157"/>
      <c r="P34" s="165"/>
      <c r="Q34" s="161"/>
      <c r="R34" s="162"/>
      <c r="S34" s="163"/>
      <c r="T34" s="163"/>
      <c r="U34" s="164"/>
      <c r="V34" s="157"/>
      <c r="W34" s="165"/>
      <c r="X34" s="162"/>
      <c r="Y34" s="162"/>
      <c r="Z34" s="163"/>
      <c r="AA34" s="163"/>
      <c r="AB34" s="164"/>
      <c r="AC34" s="157"/>
      <c r="AD34" s="165"/>
    </row>
    <row r="35" spans="1:30" s="150" customFormat="1" ht="18" customHeight="1" x14ac:dyDescent="0.35">
      <c r="A35" s="159"/>
      <c r="B35" s="160"/>
      <c r="C35" s="161"/>
      <c r="D35" s="162"/>
      <c r="E35" s="163"/>
      <c r="F35" s="163"/>
      <c r="G35" s="164"/>
      <c r="H35" s="157"/>
      <c r="I35" s="165"/>
      <c r="J35" s="161"/>
      <c r="K35" s="162"/>
      <c r="L35" s="163"/>
      <c r="M35" s="163"/>
      <c r="N35" s="164"/>
      <c r="O35" s="157"/>
      <c r="P35" s="165"/>
      <c r="Q35" s="161"/>
      <c r="R35" s="162"/>
      <c r="S35" s="163"/>
      <c r="T35" s="163"/>
      <c r="U35" s="164"/>
      <c r="V35" s="157"/>
      <c r="W35" s="165"/>
      <c r="X35" s="162"/>
      <c r="Y35" s="162"/>
      <c r="Z35" s="163"/>
      <c r="AA35" s="163"/>
      <c r="AB35" s="164"/>
      <c r="AC35" s="157"/>
      <c r="AD35" s="165"/>
    </row>
    <row r="36" spans="1:30" s="150" customFormat="1" ht="18" customHeight="1" x14ac:dyDescent="0.35">
      <c r="A36" s="159"/>
      <c r="B36" s="160"/>
      <c r="C36" s="161"/>
      <c r="D36" s="162"/>
      <c r="E36" s="163"/>
      <c r="F36" s="163"/>
      <c r="G36" s="164"/>
      <c r="H36" s="157"/>
      <c r="I36" s="165"/>
      <c r="J36" s="161"/>
      <c r="K36" s="162"/>
      <c r="L36" s="163"/>
      <c r="M36" s="163"/>
      <c r="N36" s="164"/>
      <c r="O36" s="165"/>
      <c r="P36" s="165"/>
      <c r="Q36" s="161"/>
      <c r="R36" s="162"/>
      <c r="S36" s="163"/>
      <c r="T36" s="163"/>
      <c r="U36" s="164"/>
      <c r="V36" s="165"/>
      <c r="W36" s="165"/>
      <c r="X36" s="162"/>
      <c r="Y36" s="162"/>
      <c r="Z36" s="163"/>
      <c r="AA36" s="163"/>
      <c r="AB36" s="164"/>
      <c r="AC36" s="157"/>
      <c r="AD36" s="165"/>
    </row>
    <row r="37" spans="1:30" s="150" customFormat="1" ht="18" customHeight="1" x14ac:dyDescent="0.35">
      <c r="A37" s="159"/>
      <c r="B37" s="168"/>
      <c r="C37" s="169"/>
      <c r="D37" s="170"/>
      <c r="E37" s="171"/>
      <c r="F37" s="171"/>
      <c r="G37" s="167"/>
      <c r="H37" s="157"/>
      <c r="I37" s="157"/>
      <c r="J37" s="169"/>
      <c r="K37" s="170"/>
      <c r="L37" s="171"/>
      <c r="M37" s="171"/>
      <c r="N37" s="167"/>
      <c r="O37" s="157"/>
      <c r="P37" s="157"/>
      <c r="Q37" s="169"/>
      <c r="R37" s="170"/>
      <c r="S37" s="171"/>
      <c r="T37" s="171"/>
      <c r="U37" s="167"/>
      <c r="V37" s="157"/>
      <c r="W37" s="157"/>
      <c r="X37" s="170"/>
      <c r="Y37" s="170"/>
      <c r="Z37" s="163"/>
      <c r="AA37" s="171"/>
      <c r="AB37" s="167"/>
      <c r="AC37" s="157"/>
      <c r="AD37" s="157"/>
    </row>
    <row r="38" spans="1:30" s="150" customFormat="1" ht="18" customHeight="1" x14ac:dyDescent="0.35">
      <c r="A38" s="159"/>
      <c r="B38" s="172"/>
      <c r="C38" s="161"/>
      <c r="D38" s="162"/>
      <c r="E38" s="163"/>
      <c r="F38" s="163"/>
      <c r="G38" s="164"/>
      <c r="H38" s="157"/>
      <c r="I38" s="165"/>
      <c r="J38" s="161"/>
      <c r="K38" s="162"/>
      <c r="L38" s="163"/>
      <c r="M38" s="163"/>
      <c r="N38" s="164"/>
      <c r="O38" s="165"/>
      <c r="P38" s="165"/>
      <c r="Q38" s="161"/>
      <c r="R38" s="162"/>
      <c r="S38" s="163"/>
      <c r="T38" s="163"/>
      <c r="U38" s="164"/>
      <c r="V38" s="165"/>
      <c r="W38" s="165"/>
      <c r="X38" s="162"/>
      <c r="Y38" s="162"/>
      <c r="Z38" s="163"/>
      <c r="AA38" s="163"/>
      <c r="AB38" s="164"/>
      <c r="AC38" s="157"/>
      <c r="AD38" s="165"/>
    </row>
    <row r="39" spans="1:30" s="150" customFormat="1" ht="18" customHeight="1" x14ac:dyDescent="0.35">
      <c r="A39" s="159"/>
      <c r="B39" s="172"/>
      <c r="C39" s="169"/>
      <c r="D39" s="170"/>
      <c r="E39" s="171"/>
      <c r="F39" s="173"/>
      <c r="G39" s="167"/>
      <c r="H39" s="157"/>
      <c r="I39" s="157"/>
      <c r="J39" s="169"/>
      <c r="K39" s="170"/>
      <c r="L39" s="171"/>
      <c r="M39" s="173"/>
      <c r="N39" s="167"/>
      <c r="O39" s="157"/>
      <c r="P39" s="157"/>
      <c r="Q39" s="169"/>
      <c r="R39" s="170"/>
      <c r="S39" s="171"/>
      <c r="T39" s="173"/>
      <c r="U39" s="167"/>
      <c r="V39" s="157"/>
      <c r="W39" s="157"/>
      <c r="X39" s="170"/>
      <c r="Y39" s="170"/>
      <c r="Z39" s="163"/>
      <c r="AA39" s="173"/>
      <c r="AB39" s="167"/>
      <c r="AC39" s="157"/>
      <c r="AD39" s="157"/>
    </row>
    <row r="40" spans="1:30" s="150" customFormat="1" ht="18" customHeight="1" x14ac:dyDescent="0.35">
      <c r="A40" s="159"/>
      <c r="B40" s="160"/>
      <c r="C40" s="161"/>
      <c r="D40" s="162"/>
      <c r="E40" s="163"/>
      <c r="F40" s="174"/>
      <c r="G40" s="164"/>
      <c r="H40" s="165"/>
      <c r="I40" s="165"/>
      <c r="J40" s="161"/>
      <c r="K40" s="162"/>
      <c r="L40" s="163"/>
      <c r="M40" s="174"/>
      <c r="N40" s="164"/>
      <c r="O40" s="165"/>
      <c r="P40" s="165"/>
      <c r="Q40" s="161"/>
      <c r="R40" s="162"/>
      <c r="S40" s="163"/>
      <c r="T40" s="174"/>
      <c r="U40" s="164"/>
      <c r="V40" s="165"/>
      <c r="W40" s="165"/>
      <c r="X40" s="162"/>
      <c r="Y40" s="162"/>
      <c r="Z40" s="163"/>
      <c r="AA40" s="174"/>
      <c r="AB40" s="164"/>
      <c r="AC40" s="165"/>
      <c r="AD40" s="165"/>
    </row>
    <row r="41" spans="1:30" x14ac:dyDescent="0.3"/>
    <row r="42" spans="1:30" x14ac:dyDescent="0.3"/>
    <row r="43" spans="1:30" x14ac:dyDescent="0.3"/>
    <row r="44" spans="1:30" x14ac:dyDescent="0.3"/>
    <row r="45" spans="1:30" x14ac:dyDescent="0.3"/>
    <row r="46" spans="1:30" x14ac:dyDescent="0.3"/>
    <row r="47" spans="1:30" x14ac:dyDescent="0.3"/>
    <row r="48" spans="1:30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</sheetData>
  <mergeCells count="18">
    <mergeCell ref="AD3:AD4"/>
    <mergeCell ref="A4:A5"/>
    <mergeCell ref="A2:B3"/>
    <mergeCell ref="C2:I2"/>
    <mergeCell ref="J2:P2"/>
    <mergeCell ref="Q2:W2"/>
    <mergeCell ref="X2:AD2"/>
    <mergeCell ref="C3:G3"/>
    <mergeCell ref="J3:N3"/>
    <mergeCell ref="Q3:U3"/>
    <mergeCell ref="X3:AB3"/>
    <mergeCell ref="H3:H4"/>
    <mergeCell ref="I3:I4"/>
    <mergeCell ref="O3:O4"/>
    <mergeCell ref="P3:P4"/>
    <mergeCell ref="V3:V4"/>
    <mergeCell ref="W3:W4"/>
    <mergeCell ref="AC3:AC4"/>
  </mergeCells>
  <pageMargins left="0.34375" right="0.14583333333333334" top="0.15748031496062992" bottom="0.15748031496062992" header="0.31496062992125984" footer="0.31496062992125984"/>
  <pageSetup paperSize="9" orientation="portrait" useFirstPageNumber="1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S56"/>
  <sheetViews>
    <sheetView view="pageBreakPreview" zoomScale="120" zoomScaleNormal="120" workbookViewId="0">
      <selection activeCell="M8" sqref="M8"/>
    </sheetView>
  </sheetViews>
  <sheetFormatPr defaultColWidth="9.125" defaultRowHeight="18" customHeight="1" x14ac:dyDescent="0.3"/>
  <cols>
    <col min="1" max="1" width="3.75" style="140" customWidth="1"/>
    <col min="2" max="2" width="17.5" style="140" customWidth="1"/>
    <col min="3" max="14" width="3.5" style="140" customWidth="1"/>
    <col min="15" max="19" width="5.625" style="140" customWidth="1"/>
    <col min="20" max="20" width="9.125" style="140" customWidth="1"/>
    <col min="21" max="16384" width="9.125" style="140"/>
  </cols>
  <sheetData>
    <row r="1" spans="1:19" ht="18" customHeight="1" x14ac:dyDescent="0.35">
      <c r="A1" s="141"/>
      <c r="S1" s="178">
        <v>8</v>
      </c>
    </row>
    <row r="2" spans="1:19" ht="18" customHeight="1" x14ac:dyDescent="0.3">
      <c r="A2" s="428" t="s">
        <v>99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30"/>
    </row>
    <row r="3" spans="1:19" ht="18" customHeight="1" x14ac:dyDescent="0.3">
      <c r="A3" s="431" t="s">
        <v>100</v>
      </c>
      <c r="B3" s="432"/>
      <c r="C3" s="435" t="s">
        <v>101</v>
      </c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7"/>
      <c r="O3" s="179" t="s">
        <v>102</v>
      </c>
      <c r="P3" s="180" t="s">
        <v>102</v>
      </c>
      <c r="Q3" s="441" t="s">
        <v>103</v>
      </c>
      <c r="R3" s="442"/>
      <c r="S3" s="443"/>
    </row>
    <row r="4" spans="1:19" ht="18" customHeight="1" x14ac:dyDescent="0.3">
      <c r="A4" s="433"/>
      <c r="B4" s="434"/>
      <c r="C4" s="438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40"/>
      <c r="O4" s="181" t="s">
        <v>104</v>
      </c>
      <c r="P4" s="182" t="s">
        <v>93</v>
      </c>
      <c r="Q4" s="448" t="s">
        <v>92</v>
      </c>
      <c r="R4" s="184" t="s">
        <v>105</v>
      </c>
      <c r="S4" s="444"/>
    </row>
    <row r="5" spans="1:19" ht="18" customHeight="1" x14ac:dyDescent="0.3">
      <c r="A5" s="446" t="s">
        <v>106</v>
      </c>
      <c r="B5" s="447"/>
      <c r="C5" s="185">
        <v>1</v>
      </c>
      <c r="D5" s="186">
        <v>2</v>
      </c>
      <c r="E5" s="186">
        <v>3</v>
      </c>
      <c r="F5" s="186">
        <v>4</v>
      </c>
      <c r="G5" s="186">
        <v>5</v>
      </c>
      <c r="H5" s="186">
        <v>6</v>
      </c>
      <c r="I5" s="186">
        <v>7</v>
      </c>
      <c r="J5" s="186">
        <v>8</v>
      </c>
      <c r="K5" s="186">
        <v>9</v>
      </c>
      <c r="L5" s="186">
        <v>10</v>
      </c>
      <c r="M5" s="186">
        <v>11</v>
      </c>
      <c r="N5" s="187">
        <v>12</v>
      </c>
      <c r="O5" s="183" t="s">
        <v>107</v>
      </c>
      <c r="P5" s="188" t="s">
        <v>107</v>
      </c>
      <c r="Q5" s="448"/>
      <c r="R5" s="184" t="s">
        <v>108</v>
      </c>
      <c r="S5" s="444"/>
    </row>
    <row r="6" spans="1:19" ht="18" customHeight="1" x14ac:dyDescent="0.3">
      <c r="A6" s="189"/>
      <c r="B6" s="190"/>
      <c r="C6" s="191">
        <v>20</v>
      </c>
      <c r="D6" s="192">
        <v>20</v>
      </c>
      <c r="E6" s="192">
        <v>20</v>
      </c>
      <c r="F6" s="192">
        <v>0</v>
      </c>
      <c r="G6" s="192">
        <v>0</v>
      </c>
      <c r="H6" s="192">
        <v>0</v>
      </c>
      <c r="I6" s="192">
        <v>0</v>
      </c>
      <c r="J6" s="192">
        <v>0</v>
      </c>
      <c r="K6" s="192">
        <v>0</v>
      </c>
      <c r="L6" s="192">
        <v>0</v>
      </c>
      <c r="M6" s="192">
        <v>0</v>
      </c>
      <c r="N6" s="193">
        <v>0</v>
      </c>
      <c r="O6" s="97">
        <v>20</v>
      </c>
      <c r="P6" s="96">
        <v>20</v>
      </c>
      <c r="Q6" s="194">
        <v>100</v>
      </c>
      <c r="R6" s="190"/>
      <c r="S6" s="445"/>
    </row>
    <row r="7" spans="1:19" ht="18" customHeight="1" x14ac:dyDescent="0.35">
      <c r="A7" s="195">
        <v>1</v>
      </c>
      <c r="B7" s="196" t="s">
        <v>56</v>
      </c>
      <c r="C7" s="197">
        <v>17</v>
      </c>
      <c r="D7" s="198">
        <v>17</v>
      </c>
      <c r="E7" s="198">
        <v>18</v>
      </c>
      <c r="F7" s="198">
        <v>0</v>
      </c>
      <c r="G7" s="198">
        <v>0</v>
      </c>
      <c r="H7" s="198">
        <v>0</v>
      </c>
      <c r="I7" s="198">
        <v>0</v>
      </c>
      <c r="J7" s="198">
        <v>0</v>
      </c>
      <c r="K7" s="198">
        <v>0</v>
      </c>
      <c r="L7" s="198">
        <v>0</v>
      </c>
      <c r="M7" s="198">
        <v>0</v>
      </c>
      <c r="N7" s="199">
        <v>0</v>
      </c>
      <c r="O7" s="200">
        <v>17</v>
      </c>
      <c r="P7" s="201">
        <v>18</v>
      </c>
      <c r="Q7" s="202">
        <v>87</v>
      </c>
      <c r="R7" s="203">
        <v>4</v>
      </c>
      <c r="S7" s="204"/>
    </row>
    <row r="8" spans="1:19" ht="18" customHeight="1" x14ac:dyDescent="0.35">
      <c r="A8" s="205">
        <v>2</v>
      </c>
      <c r="B8" s="206" t="s">
        <v>59</v>
      </c>
      <c r="C8" s="207">
        <v>13</v>
      </c>
      <c r="D8" s="208">
        <v>12</v>
      </c>
      <c r="E8" s="208">
        <v>13</v>
      </c>
      <c r="F8" s="208">
        <v>0</v>
      </c>
      <c r="G8" s="208">
        <v>0</v>
      </c>
      <c r="H8" s="208">
        <v>0</v>
      </c>
      <c r="I8" s="208">
        <v>0</v>
      </c>
      <c r="J8" s="208">
        <v>0</v>
      </c>
      <c r="K8" s="198">
        <v>0</v>
      </c>
      <c r="L8" s="198">
        <v>0</v>
      </c>
      <c r="M8" s="198">
        <v>0</v>
      </c>
      <c r="N8" s="199">
        <v>0</v>
      </c>
      <c r="O8" s="209">
        <v>13</v>
      </c>
      <c r="P8" s="210">
        <v>14</v>
      </c>
      <c r="Q8" s="211">
        <v>65</v>
      </c>
      <c r="R8" s="212">
        <v>2.5</v>
      </c>
      <c r="S8" s="213"/>
    </row>
    <row r="9" spans="1:19" ht="18" customHeight="1" x14ac:dyDescent="0.35">
      <c r="A9" s="205">
        <v>3</v>
      </c>
      <c r="B9" s="206" t="s">
        <v>61</v>
      </c>
      <c r="C9" s="207">
        <v>16</v>
      </c>
      <c r="D9" s="208">
        <v>20</v>
      </c>
      <c r="E9" s="208">
        <v>18</v>
      </c>
      <c r="F9" s="208">
        <v>0</v>
      </c>
      <c r="G9" s="208">
        <v>0</v>
      </c>
      <c r="H9" s="208">
        <v>0</v>
      </c>
      <c r="I9" s="208">
        <v>0</v>
      </c>
      <c r="J9" s="208">
        <v>0</v>
      </c>
      <c r="K9" s="198">
        <v>0</v>
      </c>
      <c r="L9" s="198">
        <v>0</v>
      </c>
      <c r="M9" s="198">
        <v>0</v>
      </c>
      <c r="N9" s="199">
        <v>0</v>
      </c>
      <c r="O9" s="209">
        <v>19</v>
      </c>
      <c r="P9" s="210">
        <v>18</v>
      </c>
      <c r="Q9" s="211">
        <v>91</v>
      </c>
      <c r="R9" s="212">
        <v>4</v>
      </c>
      <c r="S9" s="213"/>
    </row>
    <row r="10" spans="1:19" ht="18" customHeight="1" x14ac:dyDescent="0.35">
      <c r="A10" s="205">
        <v>4</v>
      </c>
      <c r="B10" s="206" t="s">
        <v>63</v>
      </c>
      <c r="C10" s="207">
        <v>10</v>
      </c>
      <c r="D10" s="208">
        <v>20</v>
      </c>
      <c r="E10" s="208">
        <v>18</v>
      </c>
      <c r="F10" s="208">
        <v>0</v>
      </c>
      <c r="G10" s="208">
        <v>0</v>
      </c>
      <c r="H10" s="208">
        <v>0</v>
      </c>
      <c r="I10" s="208">
        <v>0</v>
      </c>
      <c r="J10" s="208">
        <v>0</v>
      </c>
      <c r="K10" s="198">
        <v>0</v>
      </c>
      <c r="L10" s="198">
        <v>0</v>
      </c>
      <c r="M10" s="198">
        <v>0</v>
      </c>
      <c r="N10" s="199">
        <v>0</v>
      </c>
      <c r="O10" s="209">
        <v>19</v>
      </c>
      <c r="P10" s="210">
        <v>18</v>
      </c>
      <c r="Q10" s="211">
        <v>85</v>
      </c>
      <c r="R10" s="212">
        <v>4</v>
      </c>
      <c r="S10" s="213"/>
    </row>
    <row r="11" spans="1:19" ht="18" customHeight="1" x14ac:dyDescent="0.35">
      <c r="A11" s="205">
        <v>5</v>
      </c>
      <c r="B11" s="206" t="s">
        <v>65</v>
      </c>
      <c r="C11" s="207">
        <v>13</v>
      </c>
      <c r="D11" s="208">
        <v>20</v>
      </c>
      <c r="E11" s="208">
        <v>16</v>
      </c>
      <c r="F11" s="208">
        <v>0</v>
      </c>
      <c r="G11" s="208">
        <v>0</v>
      </c>
      <c r="H11" s="208">
        <v>0</v>
      </c>
      <c r="I11" s="208">
        <v>0</v>
      </c>
      <c r="J11" s="208">
        <v>0</v>
      </c>
      <c r="K11" s="198">
        <v>0</v>
      </c>
      <c r="L11" s="198">
        <v>0</v>
      </c>
      <c r="M11" s="198">
        <v>0</v>
      </c>
      <c r="N11" s="199">
        <v>0</v>
      </c>
      <c r="O11" s="209">
        <v>17</v>
      </c>
      <c r="P11" s="210">
        <v>16</v>
      </c>
      <c r="Q11" s="211">
        <v>82</v>
      </c>
      <c r="R11" s="212">
        <v>4</v>
      </c>
      <c r="S11" s="213"/>
    </row>
    <row r="12" spans="1:19" ht="18" customHeight="1" x14ac:dyDescent="0.35">
      <c r="A12" s="205">
        <v>6</v>
      </c>
      <c r="B12" s="206" t="s">
        <v>67</v>
      </c>
      <c r="C12" s="207">
        <v>13</v>
      </c>
      <c r="D12" s="208">
        <v>13</v>
      </c>
      <c r="E12" s="208">
        <v>12</v>
      </c>
      <c r="F12" s="208">
        <v>0</v>
      </c>
      <c r="G12" s="208">
        <v>0</v>
      </c>
      <c r="H12" s="208">
        <v>0</v>
      </c>
      <c r="I12" s="208">
        <v>0</v>
      </c>
      <c r="J12" s="208">
        <v>0</v>
      </c>
      <c r="K12" s="198">
        <v>0</v>
      </c>
      <c r="L12" s="198">
        <v>0</v>
      </c>
      <c r="M12" s="198">
        <v>0</v>
      </c>
      <c r="N12" s="199">
        <v>0</v>
      </c>
      <c r="O12" s="209">
        <v>13</v>
      </c>
      <c r="P12" s="210">
        <v>14</v>
      </c>
      <c r="Q12" s="211">
        <v>65</v>
      </c>
      <c r="R12" s="212">
        <v>2.5</v>
      </c>
      <c r="S12" s="213"/>
    </row>
    <row r="13" spans="1:19" ht="18" customHeight="1" x14ac:dyDescent="0.35">
      <c r="A13" s="205">
        <v>7</v>
      </c>
      <c r="B13" s="206" t="s">
        <v>69</v>
      </c>
      <c r="C13" s="207">
        <v>17</v>
      </c>
      <c r="D13" s="208">
        <v>20</v>
      </c>
      <c r="E13" s="208">
        <v>13</v>
      </c>
      <c r="F13" s="208">
        <v>0</v>
      </c>
      <c r="G13" s="208">
        <v>0</v>
      </c>
      <c r="H13" s="208">
        <v>0</v>
      </c>
      <c r="I13" s="208">
        <v>0</v>
      </c>
      <c r="J13" s="208">
        <v>0</v>
      </c>
      <c r="K13" s="198">
        <v>0</v>
      </c>
      <c r="L13" s="198">
        <v>0</v>
      </c>
      <c r="M13" s="198">
        <v>0</v>
      </c>
      <c r="N13" s="199">
        <v>0</v>
      </c>
      <c r="O13" s="209">
        <v>16</v>
      </c>
      <c r="P13" s="210">
        <v>14</v>
      </c>
      <c r="Q13" s="211">
        <v>80</v>
      </c>
      <c r="R13" s="212">
        <v>4</v>
      </c>
      <c r="S13" s="213"/>
    </row>
    <row r="14" spans="1:19" ht="18" customHeight="1" x14ac:dyDescent="0.35">
      <c r="A14" s="205">
        <v>8</v>
      </c>
      <c r="B14" s="206" t="s">
        <v>71</v>
      </c>
      <c r="C14" s="207">
        <v>18</v>
      </c>
      <c r="D14" s="208">
        <v>20</v>
      </c>
      <c r="E14" s="208">
        <v>18</v>
      </c>
      <c r="F14" s="208">
        <v>0</v>
      </c>
      <c r="G14" s="208">
        <v>0</v>
      </c>
      <c r="H14" s="208">
        <v>0</v>
      </c>
      <c r="I14" s="208">
        <v>0</v>
      </c>
      <c r="J14" s="208">
        <v>0</v>
      </c>
      <c r="K14" s="198">
        <v>0</v>
      </c>
      <c r="L14" s="198">
        <v>0</v>
      </c>
      <c r="M14" s="198">
        <v>0</v>
      </c>
      <c r="N14" s="199">
        <v>0</v>
      </c>
      <c r="O14" s="209">
        <v>19</v>
      </c>
      <c r="P14" s="210">
        <v>18</v>
      </c>
      <c r="Q14" s="211">
        <v>93</v>
      </c>
      <c r="R14" s="212">
        <v>4</v>
      </c>
      <c r="S14" s="213"/>
    </row>
    <row r="15" spans="1:19" ht="18" customHeight="1" x14ac:dyDescent="0.35">
      <c r="A15" s="205">
        <v>9</v>
      </c>
      <c r="B15" s="206" t="s">
        <v>73</v>
      </c>
      <c r="C15" s="207">
        <v>18</v>
      </c>
      <c r="D15" s="208">
        <v>20</v>
      </c>
      <c r="E15" s="208">
        <v>18</v>
      </c>
      <c r="F15" s="208">
        <v>0</v>
      </c>
      <c r="G15" s="208">
        <v>0</v>
      </c>
      <c r="H15" s="208">
        <v>0</v>
      </c>
      <c r="I15" s="208">
        <v>0</v>
      </c>
      <c r="J15" s="208">
        <v>0</v>
      </c>
      <c r="K15" s="198">
        <v>0</v>
      </c>
      <c r="L15" s="198">
        <v>0</v>
      </c>
      <c r="M15" s="198">
        <v>0</v>
      </c>
      <c r="N15" s="199">
        <v>0</v>
      </c>
      <c r="O15" s="209">
        <v>18</v>
      </c>
      <c r="P15" s="210">
        <v>19</v>
      </c>
      <c r="Q15" s="211">
        <v>93</v>
      </c>
      <c r="R15" s="212">
        <v>4</v>
      </c>
      <c r="S15" s="213"/>
    </row>
    <row r="16" spans="1:19" ht="18" customHeight="1" x14ac:dyDescent="0.35">
      <c r="A16" s="205">
        <v>10</v>
      </c>
      <c r="B16" s="206" t="s">
        <v>75</v>
      </c>
      <c r="C16" s="207">
        <v>17</v>
      </c>
      <c r="D16" s="208">
        <v>20</v>
      </c>
      <c r="E16" s="208">
        <v>18</v>
      </c>
      <c r="F16" s="208">
        <v>0</v>
      </c>
      <c r="G16" s="208">
        <v>0</v>
      </c>
      <c r="H16" s="208">
        <v>0</v>
      </c>
      <c r="I16" s="208">
        <v>0</v>
      </c>
      <c r="J16" s="208">
        <v>0</v>
      </c>
      <c r="K16" s="198">
        <v>0</v>
      </c>
      <c r="L16" s="198">
        <v>0</v>
      </c>
      <c r="M16" s="198">
        <v>0</v>
      </c>
      <c r="N16" s="199">
        <v>0</v>
      </c>
      <c r="O16" s="209">
        <v>18</v>
      </c>
      <c r="P16" s="210">
        <v>19</v>
      </c>
      <c r="Q16" s="211">
        <v>92</v>
      </c>
      <c r="R16" s="212">
        <v>4</v>
      </c>
      <c r="S16" s="214"/>
    </row>
    <row r="17" spans="1:19" ht="18" customHeight="1" x14ac:dyDescent="0.35">
      <c r="A17" s="205">
        <v>11</v>
      </c>
      <c r="B17" s="206" t="s">
        <v>77</v>
      </c>
      <c r="C17" s="207">
        <v>17</v>
      </c>
      <c r="D17" s="208">
        <v>20</v>
      </c>
      <c r="E17" s="208">
        <v>18</v>
      </c>
      <c r="F17" s="208">
        <v>0</v>
      </c>
      <c r="G17" s="208">
        <v>0</v>
      </c>
      <c r="H17" s="208">
        <v>0</v>
      </c>
      <c r="I17" s="208">
        <v>0</v>
      </c>
      <c r="J17" s="208">
        <v>0</v>
      </c>
      <c r="K17" s="198">
        <v>0</v>
      </c>
      <c r="L17" s="198">
        <v>0</v>
      </c>
      <c r="M17" s="198">
        <v>0</v>
      </c>
      <c r="N17" s="199">
        <v>0</v>
      </c>
      <c r="O17" s="209">
        <v>18</v>
      </c>
      <c r="P17" s="210">
        <v>19</v>
      </c>
      <c r="Q17" s="211">
        <v>92</v>
      </c>
      <c r="R17" s="212">
        <v>4</v>
      </c>
      <c r="S17" s="213"/>
    </row>
    <row r="18" spans="1:19" ht="18" customHeight="1" x14ac:dyDescent="0.35">
      <c r="A18" s="205">
        <v>12</v>
      </c>
      <c r="B18" s="206" t="s">
        <v>79</v>
      </c>
      <c r="C18" s="207">
        <v>15</v>
      </c>
      <c r="D18" s="208">
        <v>20</v>
      </c>
      <c r="E18" s="208">
        <v>10</v>
      </c>
      <c r="F18" s="208">
        <v>0</v>
      </c>
      <c r="G18" s="208">
        <v>0</v>
      </c>
      <c r="H18" s="208">
        <v>0</v>
      </c>
      <c r="I18" s="208">
        <v>0</v>
      </c>
      <c r="J18" s="208">
        <v>0</v>
      </c>
      <c r="K18" s="198">
        <v>0</v>
      </c>
      <c r="L18" s="198">
        <v>0</v>
      </c>
      <c r="M18" s="198">
        <v>0</v>
      </c>
      <c r="N18" s="199">
        <v>0</v>
      </c>
      <c r="O18" s="209">
        <v>15</v>
      </c>
      <c r="P18" s="210">
        <v>15</v>
      </c>
      <c r="Q18" s="211">
        <v>75</v>
      </c>
      <c r="R18" s="212">
        <v>3.5</v>
      </c>
      <c r="S18" s="213"/>
    </row>
    <row r="19" spans="1:19" ht="18" customHeight="1" x14ac:dyDescent="0.35">
      <c r="A19" s="205">
        <v>13</v>
      </c>
      <c r="B19" s="206" t="s">
        <v>81</v>
      </c>
      <c r="C19" s="207">
        <v>16</v>
      </c>
      <c r="D19" s="208">
        <v>20</v>
      </c>
      <c r="E19" s="208">
        <v>18</v>
      </c>
      <c r="F19" s="208">
        <v>0</v>
      </c>
      <c r="G19" s="208">
        <v>0</v>
      </c>
      <c r="H19" s="208">
        <v>0</v>
      </c>
      <c r="I19" s="208">
        <v>0</v>
      </c>
      <c r="J19" s="208">
        <v>0</v>
      </c>
      <c r="K19" s="198">
        <v>0</v>
      </c>
      <c r="L19" s="198">
        <v>0</v>
      </c>
      <c r="M19" s="198">
        <v>0</v>
      </c>
      <c r="N19" s="199">
        <v>0</v>
      </c>
      <c r="O19" s="209">
        <v>17</v>
      </c>
      <c r="P19" s="210">
        <v>16</v>
      </c>
      <c r="Q19" s="211">
        <v>87</v>
      </c>
      <c r="R19" s="212">
        <v>4</v>
      </c>
      <c r="S19" s="213"/>
    </row>
    <row r="20" spans="1:19" ht="18" customHeight="1" x14ac:dyDescent="0.35">
      <c r="A20" s="205">
        <v>14</v>
      </c>
      <c r="B20" s="206" t="s">
        <v>83</v>
      </c>
      <c r="C20" s="207">
        <v>17</v>
      </c>
      <c r="D20" s="208">
        <v>20</v>
      </c>
      <c r="E20" s="208">
        <v>18</v>
      </c>
      <c r="F20" s="208">
        <v>0</v>
      </c>
      <c r="G20" s="208">
        <v>0</v>
      </c>
      <c r="H20" s="208">
        <v>0</v>
      </c>
      <c r="I20" s="208">
        <v>0</v>
      </c>
      <c r="J20" s="208">
        <v>0</v>
      </c>
      <c r="K20" s="198">
        <v>0</v>
      </c>
      <c r="L20" s="198">
        <v>0</v>
      </c>
      <c r="M20" s="198">
        <v>0</v>
      </c>
      <c r="N20" s="199">
        <v>0</v>
      </c>
      <c r="O20" s="209">
        <v>18</v>
      </c>
      <c r="P20" s="210">
        <v>17</v>
      </c>
      <c r="Q20" s="211">
        <v>90</v>
      </c>
      <c r="R20" s="212">
        <v>4</v>
      </c>
      <c r="S20" s="213"/>
    </row>
    <row r="21" spans="1:19" ht="18" customHeight="1" x14ac:dyDescent="0.35">
      <c r="A21" s="205">
        <v>15</v>
      </c>
      <c r="B21" s="206" t="s">
        <v>85</v>
      </c>
      <c r="C21" s="207">
        <v>16</v>
      </c>
      <c r="D21" s="208">
        <v>16</v>
      </c>
      <c r="E21" s="208">
        <v>10</v>
      </c>
      <c r="F21" s="208">
        <v>0</v>
      </c>
      <c r="G21" s="208">
        <v>0</v>
      </c>
      <c r="H21" s="208">
        <v>0</v>
      </c>
      <c r="I21" s="208">
        <v>0</v>
      </c>
      <c r="J21" s="208">
        <v>0</v>
      </c>
      <c r="K21" s="198">
        <v>0</v>
      </c>
      <c r="L21" s="198">
        <v>0</v>
      </c>
      <c r="M21" s="198">
        <v>0</v>
      </c>
      <c r="N21" s="199">
        <v>0</v>
      </c>
      <c r="O21" s="209">
        <v>16</v>
      </c>
      <c r="P21" s="210">
        <v>15</v>
      </c>
      <c r="Q21" s="211">
        <v>73</v>
      </c>
      <c r="R21" s="212">
        <v>3</v>
      </c>
      <c r="S21" s="213"/>
    </row>
    <row r="22" spans="1:19" ht="18" customHeight="1" x14ac:dyDescent="0.35">
      <c r="A22" s="205">
        <v>16</v>
      </c>
      <c r="B22" s="206" t="s">
        <v>87</v>
      </c>
      <c r="C22" s="207">
        <v>14</v>
      </c>
      <c r="D22" s="208">
        <v>20</v>
      </c>
      <c r="E22" s="208">
        <v>10</v>
      </c>
      <c r="F22" s="208">
        <v>0</v>
      </c>
      <c r="G22" s="208">
        <v>0</v>
      </c>
      <c r="H22" s="208">
        <v>0</v>
      </c>
      <c r="I22" s="208">
        <v>0</v>
      </c>
      <c r="J22" s="208">
        <v>0</v>
      </c>
      <c r="K22" s="198">
        <v>0</v>
      </c>
      <c r="L22" s="198">
        <v>0</v>
      </c>
      <c r="M22" s="198">
        <v>0</v>
      </c>
      <c r="N22" s="199">
        <v>0</v>
      </c>
      <c r="O22" s="209">
        <v>17</v>
      </c>
      <c r="P22" s="210">
        <v>16</v>
      </c>
      <c r="Q22" s="211">
        <v>77</v>
      </c>
      <c r="R22" s="212">
        <v>3.5</v>
      </c>
      <c r="S22" s="213"/>
    </row>
    <row r="23" spans="1:19" ht="18" customHeight="1" x14ac:dyDescent="0.35">
      <c r="A23" s="205"/>
      <c r="B23" s="206"/>
      <c r="C23" s="207"/>
      <c r="D23" s="208"/>
      <c r="E23" s="208"/>
      <c r="F23" s="208"/>
      <c r="G23" s="208"/>
      <c r="H23" s="208"/>
      <c r="I23" s="208"/>
      <c r="J23" s="208"/>
      <c r="K23" s="198"/>
      <c r="L23" s="198"/>
      <c r="M23" s="198"/>
      <c r="N23" s="199"/>
      <c r="O23" s="209"/>
      <c r="P23" s="210"/>
      <c r="Q23" s="211"/>
      <c r="R23" s="212"/>
      <c r="S23" s="215"/>
    </row>
    <row r="24" spans="1:19" ht="18" customHeight="1" x14ac:dyDescent="0.3">
      <c r="A24" s="205"/>
      <c r="B24" s="206"/>
      <c r="C24" s="216"/>
      <c r="D24" s="217"/>
      <c r="E24" s="217"/>
      <c r="F24" s="217"/>
      <c r="G24" s="217"/>
      <c r="H24" s="217"/>
      <c r="I24" s="217"/>
      <c r="J24" s="217"/>
      <c r="K24" s="186"/>
      <c r="L24" s="186"/>
      <c r="M24" s="186"/>
      <c r="N24" s="187"/>
      <c r="O24" s="218"/>
      <c r="P24" s="219"/>
      <c r="Q24" s="220"/>
      <c r="R24" s="221"/>
      <c r="S24" s="213"/>
    </row>
    <row r="25" spans="1:19" ht="18" customHeight="1" x14ac:dyDescent="0.3">
      <c r="A25" s="205"/>
      <c r="B25" s="206"/>
      <c r="C25" s="216"/>
      <c r="D25" s="217"/>
      <c r="E25" s="217"/>
      <c r="F25" s="217"/>
      <c r="G25" s="217"/>
      <c r="H25" s="217"/>
      <c r="I25" s="217"/>
      <c r="J25" s="217"/>
      <c r="K25" s="186"/>
      <c r="L25" s="186"/>
      <c r="M25" s="186"/>
      <c r="N25" s="187"/>
      <c r="O25" s="218"/>
      <c r="P25" s="219"/>
      <c r="Q25" s="220"/>
      <c r="R25" s="221"/>
      <c r="S25" s="213"/>
    </row>
    <row r="26" spans="1:19" ht="18" customHeight="1" x14ac:dyDescent="0.3">
      <c r="A26" s="205"/>
      <c r="B26" s="206"/>
      <c r="C26" s="216"/>
      <c r="D26" s="217"/>
      <c r="E26" s="217"/>
      <c r="F26" s="217"/>
      <c r="G26" s="217"/>
      <c r="H26" s="217"/>
      <c r="I26" s="217"/>
      <c r="J26" s="217"/>
      <c r="K26" s="186"/>
      <c r="L26" s="186"/>
      <c r="M26" s="186"/>
      <c r="N26" s="187"/>
      <c r="O26" s="218"/>
      <c r="P26" s="219"/>
      <c r="Q26" s="220"/>
      <c r="R26" s="221"/>
      <c r="S26" s="213"/>
    </row>
    <row r="27" spans="1:19" ht="18" customHeight="1" x14ac:dyDescent="0.3">
      <c r="A27" s="205"/>
      <c r="B27" s="206"/>
      <c r="C27" s="216"/>
      <c r="D27" s="217"/>
      <c r="E27" s="217"/>
      <c r="F27" s="217"/>
      <c r="G27" s="217"/>
      <c r="H27" s="217"/>
      <c r="I27" s="217"/>
      <c r="J27" s="217"/>
      <c r="K27" s="186"/>
      <c r="L27" s="186"/>
      <c r="M27" s="186"/>
      <c r="N27" s="187"/>
      <c r="O27" s="218"/>
      <c r="P27" s="219"/>
      <c r="Q27" s="220"/>
      <c r="R27" s="221"/>
      <c r="S27" s="214"/>
    </row>
    <row r="28" spans="1:19" ht="18" customHeight="1" x14ac:dyDescent="0.3">
      <c r="A28" s="205"/>
      <c r="B28" s="206"/>
      <c r="C28" s="216"/>
      <c r="D28" s="217"/>
      <c r="E28" s="217"/>
      <c r="F28" s="217"/>
      <c r="G28" s="217"/>
      <c r="H28" s="217"/>
      <c r="I28" s="217"/>
      <c r="J28" s="217"/>
      <c r="K28" s="186"/>
      <c r="L28" s="186"/>
      <c r="M28" s="186"/>
      <c r="N28" s="187"/>
      <c r="O28" s="218"/>
      <c r="P28" s="219"/>
      <c r="Q28" s="220"/>
      <c r="R28" s="221"/>
      <c r="S28" s="213"/>
    </row>
    <row r="29" spans="1:19" ht="18" customHeight="1" x14ac:dyDescent="0.3">
      <c r="A29" s="205"/>
      <c r="B29" s="206"/>
      <c r="C29" s="216"/>
      <c r="D29" s="217"/>
      <c r="E29" s="217"/>
      <c r="F29" s="217"/>
      <c r="G29" s="217"/>
      <c r="H29" s="217"/>
      <c r="I29" s="217"/>
      <c r="J29" s="217"/>
      <c r="K29" s="186"/>
      <c r="L29" s="186"/>
      <c r="M29" s="186"/>
      <c r="N29" s="187"/>
      <c r="O29" s="218"/>
      <c r="P29" s="219"/>
      <c r="Q29" s="220"/>
      <c r="R29" s="221"/>
      <c r="S29" s="213"/>
    </row>
    <row r="30" spans="1:19" ht="18" customHeight="1" x14ac:dyDescent="0.3">
      <c r="A30" s="205"/>
      <c r="B30" s="206"/>
      <c r="C30" s="216"/>
      <c r="D30" s="217"/>
      <c r="E30" s="217"/>
      <c r="F30" s="217"/>
      <c r="G30" s="217"/>
      <c r="H30" s="217"/>
      <c r="I30" s="217"/>
      <c r="J30" s="217"/>
      <c r="K30" s="186"/>
      <c r="L30" s="186"/>
      <c r="M30" s="186"/>
      <c r="N30" s="187"/>
      <c r="O30" s="218"/>
      <c r="P30" s="219"/>
      <c r="Q30" s="220"/>
      <c r="R30" s="221"/>
      <c r="S30" s="213"/>
    </row>
    <row r="31" spans="1:19" ht="18" customHeight="1" x14ac:dyDescent="0.3">
      <c r="A31" s="205"/>
      <c r="B31" s="206"/>
      <c r="C31" s="216"/>
      <c r="D31" s="217"/>
      <c r="E31" s="217"/>
      <c r="F31" s="217"/>
      <c r="G31" s="217"/>
      <c r="H31" s="217"/>
      <c r="I31" s="217"/>
      <c r="J31" s="217"/>
      <c r="K31" s="186"/>
      <c r="L31" s="186"/>
      <c r="M31" s="186"/>
      <c r="N31" s="187"/>
      <c r="O31" s="218"/>
      <c r="P31" s="219"/>
      <c r="Q31" s="220"/>
      <c r="R31" s="221"/>
      <c r="S31" s="213"/>
    </row>
    <row r="32" spans="1:19" ht="18" customHeight="1" x14ac:dyDescent="0.3">
      <c r="A32" s="205"/>
      <c r="B32" s="206"/>
      <c r="C32" s="216"/>
      <c r="D32" s="217"/>
      <c r="E32" s="217"/>
      <c r="F32" s="217"/>
      <c r="G32" s="217"/>
      <c r="H32" s="217"/>
      <c r="I32" s="217"/>
      <c r="J32" s="217"/>
      <c r="K32" s="186"/>
      <c r="L32" s="186"/>
      <c r="M32" s="186"/>
      <c r="N32" s="187"/>
      <c r="O32" s="218"/>
      <c r="P32" s="219"/>
      <c r="Q32" s="220"/>
      <c r="R32" s="221"/>
      <c r="S32" s="213"/>
    </row>
    <row r="33" spans="1:19" ht="18" customHeight="1" x14ac:dyDescent="0.3">
      <c r="A33" s="205"/>
      <c r="B33" s="206"/>
      <c r="C33" s="216"/>
      <c r="D33" s="217"/>
      <c r="E33" s="217"/>
      <c r="F33" s="217"/>
      <c r="G33" s="217"/>
      <c r="H33" s="217"/>
      <c r="I33" s="217"/>
      <c r="J33" s="217"/>
      <c r="K33" s="186"/>
      <c r="L33" s="186"/>
      <c r="M33" s="186"/>
      <c r="N33" s="187"/>
      <c r="O33" s="218"/>
      <c r="P33" s="219"/>
      <c r="Q33" s="220"/>
      <c r="R33" s="221"/>
      <c r="S33" s="213"/>
    </row>
    <row r="34" spans="1:19" ht="18" customHeight="1" x14ac:dyDescent="0.3">
      <c r="A34" s="205"/>
      <c r="B34" s="206"/>
      <c r="C34" s="216"/>
      <c r="D34" s="217"/>
      <c r="E34" s="217"/>
      <c r="F34" s="217"/>
      <c r="G34" s="217"/>
      <c r="H34" s="217"/>
      <c r="I34" s="217"/>
      <c r="J34" s="217"/>
      <c r="K34" s="186"/>
      <c r="L34" s="186"/>
      <c r="M34" s="186"/>
      <c r="N34" s="187"/>
      <c r="O34" s="218"/>
      <c r="P34" s="219"/>
      <c r="Q34" s="220"/>
      <c r="R34" s="221"/>
      <c r="S34" s="213"/>
    </row>
    <row r="35" spans="1:19" ht="18" customHeight="1" x14ac:dyDescent="0.3">
      <c r="A35" s="205"/>
      <c r="B35" s="206"/>
      <c r="C35" s="216"/>
      <c r="D35" s="217"/>
      <c r="E35" s="217"/>
      <c r="F35" s="217"/>
      <c r="G35" s="217"/>
      <c r="H35" s="217"/>
      <c r="I35" s="217"/>
      <c r="J35" s="217"/>
      <c r="K35" s="186"/>
      <c r="L35" s="186"/>
      <c r="M35" s="186"/>
      <c r="N35" s="187"/>
      <c r="O35" s="218"/>
      <c r="P35" s="219"/>
      <c r="Q35" s="220"/>
      <c r="R35" s="221"/>
      <c r="S35" s="213"/>
    </row>
    <row r="36" spans="1:19" ht="18" customHeight="1" x14ac:dyDescent="0.3">
      <c r="A36" s="205"/>
      <c r="B36" s="206"/>
      <c r="C36" s="216"/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22"/>
      <c r="O36" s="218"/>
      <c r="P36" s="219"/>
      <c r="Q36" s="220"/>
      <c r="R36" s="221"/>
      <c r="S36" s="213"/>
    </row>
    <row r="37" spans="1:19" ht="18" customHeight="1" x14ac:dyDescent="0.3">
      <c r="A37" s="205"/>
      <c r="B37" s="206"/>
      <c r="C37" s="216"/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22"/>
      <c r="O37" s="218"/>
      <c r="P37" s="219"/>
      <c r="Q37" s="220"/>
      <c r="R37" s="221"/>
      <c r="S37" s="213"/>
    </row>
    <row r="38" spans="1:19" ht="18" customHeight="1" x14ac:dyDescent="0.3">
      <c r="A38" s="205"/>
      <c r="B38" s="206"/>
      <c r="C38" s="216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22"/>
      <c r="O38" s="218"/>
      <c r="P38" s="219"/>
      <c r="Q38" s="220"/>
      <c r="R38" s="221"/>
      <c r="S38" s="213"/>
    </row>
    <row r="39" spans="1:19" ht="18" customHeight="1" x14ac:dyDescent="0.3">
      <c r="A39" s="205"/>
      <c r="B39" s="206"/>
      <c r="C39" s="216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22"/>
      <c r="O39" s="218"/>
      <c r="P39" s="219"/>
      <c r="Q39" s="220"/>
      <c r="R39" s="221"/>
      <c r="S39" s="213"/>
    </row>
    <row r="40" spans="1:19" ht="18" customHeight="1" x14ac:dyDescent="0.3">
      <c r="A40" s="205"/>
      <c r="B40" s="206"/>
      <c r="C40" s="216"/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22"/>
      <c r="O40" s="223"/>
      <c r="P40" s="224"/>
      <c r="Q40" s="220"/>
      <c r="R40" s="221"/>
      <c r="S40" s="213"/>
    </row>
    <row r="41" spans="1:19" ht="18" customHeight="1" x14ac:dyDescent="0.3">
      <c r="A41" s="205"/>
      <c r="B41" s="206"/>
      <c r="C41" s="216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22"/>
      <c r="O41" s="223"/>
      <c r="P41" s="224"/>
      <c r="Q41" s="220"/>
      <c r="R41" s="221"/>
      <c r="S41" s="213"/>
    </row>
    <row r="42" spans="1:19" ht="18.75" x14ac:dyDescent="0.3"/>
    <row r="43" spans="1:19" ht="18.75" x14ac:dyDescent="0.3"/>
    <row r="44" spans="1:19" ht="18.75" x14ac:dyDescent="0.3"/>
    <row r="45" spans="1:19" ht="18.75" x14ac:dyDescent="0.3"/>
    <row r="46" spans="1:19" ht="18.75" x14ac:dyDescent="0.3"/>
    <row r="47" spans="1:19" ht="18.75" x14ac:dyDescent="0.3"/>
    <row r="48" spans="1:19" ht="18.75" x14ac:dyDescent="0.3"/>
    <row r="49" ht="18.75" x14ac:dyDescent="0.3"/>
    <row r="50" ht="18.75" x14ac:dyDescent="0.3"/>
    <row r="51" ht="18.75" x14ac:dyDescent="0.3"/>
    <row r="52" ht="18.75" x14ac:dyDescent="0.3"/>
    <row r="53" ht="18.75" x14ac:dyDescent="0.3"/>
    <row r="54" ht="18.75" x14ac:dyDescent="0.3"/>
    <row r="55" ht="18.75" x14ac:dyDescent="0.3"/>
    <row r="56" ht="18.75" x14ac:dyDescent="0.3"/>
  </sheetData>
  <mergeCells count="7">
    <mergeCell ref="A2:S2"/>
    <mergeCell ref="A3:B4"/>
    <mergeCell ref="C3:N4"/>
    <mergeCell ref="Q3:R3"/>
    <mergeCell ref="S3:S6"/>
    <mergeCell ref="A5:B5"/>
    <mergeCell ref="Q4:Q5"/>
  </mergeCells>
  <pageMargins left="0.44791666666666669" right="5.2083333333333336E-2" top="0.15748031496062992" bottom="0" header="0.31496062992125984" footer="0.31496062992125984"/>
  <pageSetup paperSize="9" orientation="portrait" useFirstPageNumber="1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39"/>
  <sheetViews>
    <sheetView view="pageBreakPreview" topLeftCell="A6" zoomScale="140" zoomScaleNormal="130" workbookViewId="0">
      <selection activeCell="Z8" sqref="Z8"/>
    </sheetView>
  </sheetViews>
  <sheetFormatPr defaultColWidth="9.125" defaultRowHeight="18" customHeight="1" x14ac:dyDescent="0.3"/>
  <cols>
    <col min="1" max="1" width="3.125" style="140" customWidth="1"/>
    <col min="2" max="2" width="21.25" style="140" customWidth="1"/>
    <col min="3" max="19" width="2.75" style="140" customWidth="1"/>
    <col min="20" max="26" width="2.5" style="140" customWidth="1"/>
    <col min="27" max="27" width="9.125" style="140" customWidth="1"/>
    <col min="28" max="16384" width="9.125" style="140"/>
  </cols>
  <sheetData>
    <row r="1" spans="1:26" ht="18" customHeight="1" x14ac:dyDescent="0.35">
      <c r="L1" s="178"/>
      <c r="S1" s="225"/>
      <c r="Z1" s="225">
        <v>9</v>
      </c>
    </row>
    <row r="2" spans="1:26" ht="18" customHeight="1" x14ac:dyDescent="0.3">
      <c r="A2" s="449" t="s">
        <v>109</v>
      </c>
      <c r="B2" s="450"/>
      <c r="C2" s="422" t="s">
        <v>110</v>
      </c>
      <c r="D2" s="423"/>
      <c r="E2" s="423"/>
      <c r="F2" s="423"/>
      <c r="G2" s="423"/>
      <c r="H2" s="423"/>
      <c r="I2" s="423"/>
      <c r="J2" s="423"/>
      <c r="K2" s="423"/>
      <c r="L2" s="451"/>
      <c r="M2" s="452" t="s">
        <v>111</v>
      </c>
      <c r="N2" s="453"/>
      <c r="O2" s="453"/>
      <c r="P2" s="453"/>
      <c r="Q2" s="453"/>
      <c r="R2" s="453"/>
      <c r="S2" s="454"/>
      <c r="T2" s="422" t="s">
        <v>112</v>
      </c>
      <c r="U2" s="423"/>
      <c r="V2" s="423"/>
      <c r="W2" s="423"/>
      <c r="X2" s="423"/>
      <c r="Y2" s="423"/>
      <c r="Z2" s="451"/>
    </row>
    <row r="3" spans="1:26" s="150" customFormat="1" ht="78" customHeight="1" x14ac:dyDescent="0.25">
      <c r="A3" s="455" t="s">
        <v>46</v>
      </c>
      <c r="B3" s="226" t="s">
        <v>113</v>
      </c>
      <c r="C3" s="227" t="s">
        <v>114</v>
      </c>
      <c r="D3" s="228" t="s">
        <v>115</v>
      </c>
      <c r="E3" s="228" t="s">
        <v>116</v>
      </c>
      <c r="F3" s="228" t="s">
        <v>117</v>
      </c>
      <c r="G3" s="228" t="s">
        <v>118</v>
      </c>
      <c r="H3" s="228" t="s">
        <v>119</v>
      </c>
      <c r="I3" s="228" t="s">
        <v>120</v>
      </c>
      <c r="J3" s="229" t="s">
        <v>121</v>
      </c>
      <c r="K3" s="230" t="s">
        <v>122</v>
      </c>
      <c r="L3" s="457" t="s">
        <v>123</v>
      </c>
      <c r="M3" s="227" t="s">
        <v>124</v>
      </c>
      <c r="N3" s="228" t="s">
        <v>125</v>
      </c>
      <c r="O3" s="228" t="s">
        <v>126</v>
      </c>
      <c r="P3" s="228" t="s">
        <v>127</v>
      </c>
      <c r="Q3" s="229" t="s">
        <v>128</v>
      </c>
      <c r="R3" s="230" t="s">
        <v>122</v>
      </c>
      <c r="S3" s="457" t="s">
        <v>123</v>
      </c>
      <c r="T3" s="227" t="s">
        <v>129</v>
      </c>
      <c r="U3" s="228" t="s">
        <v>130</v>
      </c>
      <c r="V3" s="228" t="s">
        <v>131</v>
      </c>
      <c r="W3" s="228" t="s">
        <v>132</v>
      </c>
      <c r="X3" s="229" t="s">
        <v>133</v>
      </c>
      <c r="Y3" s="230" t="s">
        <v>122</v>
      </c>
      <c r="Z3" s="457" t="s">
        <v>123</v>
      </c>
    </row>
    <row r="4" spans="1:26" s="150" customFormat="1" ht="17.25" customHeight="1" x14ac:dyDescent="0.25">
      <c r="A4" s="456"/>
      <c r="B4" s="231" t="s">
        <v>134</v>
      </c>
      <c r="C4" s="232">
        <v>3</v>
      </c>
      <c r="D4" s="233">
        <v>3</v>
      </c>
      <c r="E4" s="233">
        <v>3</v>
      </c>
      <c r="F4" s="233">
        <v>3</v>
      </c>
      <c r="G4" s="233">
        <v>3</v>
      </c>
      <c r="H4" s="233">
        <v>3</v>
      </c>
      <c r="I4" s="233">
        <v>3</v>
      </c>
      <c r="J4" s="234">
        <v>3</v>
      </c>
      <c r="K4" s="235">
        <v>3</v>
      </c>
      <c r="L4" s="458"/>
      <c r="M4" s="232">
        <v>3</v>
      </c>
      <c r="N4" s="233">
        <v>3</v>
      </c>
      <c r="O4" s="233">
        <v>3</v>
      </c>
      <c r="P4" s="233">
        <v>3</v>
      </c>
      <c r="Q4" s="234">
        <v>3</v>
      </c>
      <c r="R4" s="235">
        <v>3</v>
      </c>
      <c r="S4" s="458"/>
      <c r="T4" s="232">
        <v>3</v>
      </c>
      <c r="U4" s="233">
        <v>3</v>
      </c>
      <c r="V4" s="233">
        <v>3</v>
      </c>
      <c r="W4" s="233">
        <v>3</v>
      </c>
      <c r="X4" s="234">
        <v>3</v>
      </c>
      <c r="Y4" s="235">
        <v>3</v>
      </c>
      <c r="Z4" s="458"/>
    </row>
    <row r="5" spans="1:26" s="150" customFormat="1" ht="17.25" customHeight="1" x14ac:dyDescent="0.35">
      <c r="A5" s="166">
        <v>1</v>
      </c>
      <c r="B5" s="236" t="s">
        <v>56</v>
      </c>
      <c r="C5" s="237">
        <v>3</v>
      </c>
      <c r="D5" s="238">
        <v>3</v>
      </c>
      <c r="E5" s="238">
        <v>3</v>
      </c>
      <c r="F5" s="238">
        <v>3</v>
      </c>
      <c r="G5" s="238">
        <v>3</v>
      </c>
      <c r="H5" s="238">
        <v>3</v>
      </c>
      <c r="I5" s="238">
        <v>3</v>
      </c>
      <c r="J5" s="239">
        <v>3</v>
      </c>
      <c r="K5" s="240">
        <v>3</v>
      </c>
      <c r="L5" s="241"/>
      <c r="M5" s="242">
        <v>3</v>
      </c>
      <c r="N5" s="238">
        <v>3</v>
      </c>
      <c r="O5" s="238">
        <v>3</v>
      </c>
      <c r="P5" s="238">
        <v>3</v>
      </c>
      <c r="Q5" s="243">
        <v>3</v>
      </c>
      <c r="R5" s="244">
        <v>3</v>
      </c>
      <c r="S5" s="245"/>
      <c r="T5" s="246">
        <v>3</v>
      </c>
      <c r="U5" s="163">
        <v>3</v>
      </c>
      <c r="V5" s="163">
        <v>3</v>
      </c>
      <c r="W5" s="163">
        <v>3</v>
      </c>
      <c r="X5" s="164">
        <v>3</v>
      </c>
      <c r="Y5" s="244">
        <v>3</v>
      </c>
      <c r="Z5" s="245"/>
    </row>
    <row r="6" spans="1:26" s="150" customFormat="1" ht="17.25" customHeight="1" x14ac:dyDescent="0.35">
      <c r="A6" s="159">
        <v>2</v>
      </c>
      <c r="B6" s="247" t="s">
        <v>59</v>
      </c>
      <c r="C6" s="248">
        <v>3</v>
      </c>
      <c r="D6" s="163">
        <v>3</v>
      </c>
      <c r="E6" s="163">
        <v>3</v>
      </c>
      <c r="F6" s="163">
        <v>2</v>
      </c>
      <c r="G6" s="163">
        <v>3</v>
      </c>
      <c r="H6" s="163">
        <v>2</v>
      </c>
      <c r="I6" s="163">
        <v>3</v>
      </c>
      <c r="J6" s="249">
        <v>3</v>
      </c>
      <c r="K6" s="250">
        <v>3</v>
      </c>
      <c r="L6" s="251"/>
      <c r="M6" s="246">
        <v>2</v>
      </c>
      <c r="N6" s="163">
        <v>2</v>
      </c>
      <c r="O6" s="163">
        <v>2</v>
      </c>
      <c r="P6" s="163">
        <v>2</v>
      </c>
      <c r="Q6" s="164">
        <v>2</v>
      </c>
      <c r="R6" s="244">
        <v>2</v>
      </c>
      <c r="S6" s="252"/>
      <c r="T6" s="246">
        <v>2</v>
      </c>
      <c r="U6" s="163">
        <v>2</v>
      </c>
      <c r="V6" s="163">
        <v>2</v>
      </c>
      <c r="W6" s="163">
        <v>2</v>
      </c>
      <c r="X6" s="164">
        <v>2</v>
      </c>
      <c r="Y6" s="244">
        <v>2</v>
      </c>
      <c r="Z6" s="252"/>
    </row>
    <row r="7" spans="1:26" s="150" customFormat="1" ht="17.25" customHeight="1" x14ac:dyDescent="0.35">
      <c r="A7" s="159">
        <v>3</v>
      </c>
      <c r="B7" s="247" t="s">
        <v>61</v>
      </c>
      <c r="C7" s="248">
        <v>3</v>
      </c>
      <c r="D7" s="163">
        <v>3</v>
      </c>
      <c r="E7" s="163">
        <v>3</v>
      </c>
      <c r="F7" s="163">
        <v>3</v>
      </c>
      <c r="G7" s="163">
        <v>3</v>
      </c>
      <c r="H7" s="163">
        <v>3</v>
      </c>
      <c r="I7" s="163">
        <v>3</v>
      </c>
      <c r="J7" s="249">
        <v>3</v>
      </c>
      <c r="K7" s="250">
        <v>3</v>
      </c>
      <c r="L7" s="251"/>
      <c r="M7" s="246">
        <v>3</v>
      </c>
      <c r="N7" s="163">
        <v>3</v>
      </c>
      <c r="O7" s="163">
        <v>3</v>
      </c>
      <c r="P7" s="163">
        <v>3</v>
      </c>
      <c r="Q7" s="164">
        <v>3</v>
      </c>
      <c r="R7" s="244">
        <v>3</v>
      </c>
      <c r="S7" s="252"/>
      <c r="T7" s="246">
        <v>3</v>
      </c>
      <c r="U7" s="163">
        <v>3</v>
      </c>
      <c r="V7" s="163">
        <v>3</v>
      </c>
      <c r="W7" s="163">
        <v>3</v>
      </c>
      <c r="X7" s="164">
        <v>3</v>
      </c>
      <c r="Y7" s="244">
        <v>3</v>
      </c>
      <c r="Z7" s="252"/>
    </row>
    <row r="8" spans="1:26" s="150" customFormat="1" ht="17.25" customHeight="1" x14ac:dyDescent="0.35">
      <c r="A8" s="159">
        <v>4</v>
      </c>
      <c r="B8" s="247" t="s">
        <v>63</v>
      </c>
      <c r="C8" s="248">
        <v>3</v>
      </c>
      <c r="D8" s="163">
        <v>3</v>
      </c>
      <c r="E8" s="163">
        <v>3</v>
      </c>
      <c r="F8" s="163">
        <v>3</v>
      </c>
      <c r="G8" s="163">
        <v>3</v>
      </c>
      <c r="H8" s="163">
        <v>3</v>
      </c>
      <c r="I8" s="163">
        <v>3</v>
      </c>
      <c r="J8" s="249">
        <v>3</v>
      </c>
      <c r="K8" s="250">
        <v>3</v>
      </c>
      <c r="L8" s="251"/>
      <c r="M8" s="246">
        <v>3</v>
      </c>
      <c r="N8" s="163">
        <v>3</v>
      </c>
      <c r="O8" s="163">
        <v>3</v>
      </c>
      <c r="P8" s="163">
        <v>3</v>
      </c>
      <c r="Q8" s="164">
        <v>3</v>
      </c>
      <c r="R8" s="244">
        <v>3</v>
      </c>
      <c r="S8" s="252"/>
      <c r="T8" s="246">
        <v>3</v>
      </c>
      <c r="U8" s="163">
        <v>3</v>
      </c>
      <c r="V8" s="163">
        <v>3</v>
      </c>
      <c r="W8" s="163">
        <v>3</v>
      </c>
      <c r="X8" s="164">
        <v>3</v>
      </c>
      <c r="Y8" s="244">
        <v>3</v>
      </c>
      <c r="Z8" s="252"/>
    </row>
    <row r="9" spans="1:26" s="150" customFormat="1" ht="17.25" customHeight="1" x14ac:dyDescent="0.35">
      <c r="A9" s="159">
        <v>5</v>
      </c>
      <c r="B9" s="247" t="s">
        <v>65</v>
      </c>
      <c r="C9" s="248">
        <v>3</v>
      </c>
      <c r="D9" s="163">
        <v>3</v>
      </c>
      <c r="E9" s="163">
        <v>3</v>
      </c>
      <c r="F9" s="163">
        <v>3</v>
      </c>
      <c r="G9" s="163">
        <v>3</v>
      </c>
      <c r="H9" s="163">
        <v>3</v>
      </c>
      <c r="I9" s="163">
        <v>3</v>
      </c>
      <c r="J9" s="249">
        <v>3</v>
      </c>
      <c r="K9" s="250">
        <v>3</v>
      </c>
      <c r="L9" s="251"/>
      <c r="M9" s="246">
        <v>3</v>
      </c>
      <c r="N9" s="163">
        <v>3</v>
      </c>
      <c r="O9" s="163">
        <v>3</v>
      </c>
      <c r="P9" s="163">
        <v>3</v>
      </c>
      <c r="Q9" s="164">
        <v>3</v>
      </c>
      <c r="R9" s="244">
        <v>3</v>
      </c>
      <c r="S9" s="252"/>
      <c r="T9" s="246">
        <v>3</v>
      </c>
      <c r="U9" s="163">
        <v>3</v>
      </c>
      <c r="V9" s="163">
        <v>3</v>
      </c>
      <c r="W9" s="163">
        <v>3</v>
      </c>
      <c r="X9" s="164">
        <v>3</v>
      </c>
      <c r="Y9" s="244">
        <v>3</v>
      </c>
      <c r="Z9" s="252"/>
    </row>
    <row r="10" spans="1:26" s="150" customFormat="1" ht="17.25" customHeight="1" x14ac:dyDescent="0.35">
      <c r="A10" s="159">
        <v>6</v>
      </c>
      <c r="B10" s="247" t="s">
        <v>67</v>
      </c>
      <c r="C10" s="248">
        <v>3</v>
      </c>
      <c r="D10" s="163">
        <v>3</v>
      </c>
      <c r="E10" s="163">
        <v>3</v>
      </c>
      <c r="F10" s="163">
        <v>2</v>
      </c>
      <c r="G10" s="163">
        <v>3</v>
      </c>
      <c r="H10" s="163">
        <v>2</v>
      </c>
      <c r="I10" s="163">
        <v>3</v>
      </c>
      <c r="J10" s="249">
        <v>3</v>
      </c>
      <c r="K10" s="250">
        <v>3</v>
      </c>
      <c r="L10" s="251"/>
      <c r="M10" s="246">
        <v>2</v>
      </c>
      <c r="N10" s="163">
        <v>2</v>
      </c>
      <c r="O10" s="163">
        <v>2</v>
      </c>
      <c r="P10" s="163">
        <v>2</v>
      </c>
      <c r="Q10" s="164">
        <v>2</v>
      </c>
      <c r="R10" s="244">
        <v>2</v>
      </c>
      <c r="S10" s="252"/>
      <c r="T10" s="246">
        <v>2</v>
      </c>
      <c r="U10" s="163">
        <v>2</v>
      </c>
      <c r="V10" s="163">
        <v>2</v>
      </c>
      <c r="W10" s="163">
        <v>2</v>
      </c>
      <c r="X10" s="164">
        <v>2</v>
      </c>
      <c r="Y10" s="244">
        <v>2</v>
      </c>
      <c r="Z10" s="252"/>
    </row>
    <row r="11" spans="1:26" s="150" customFormat="1" ht="17.25" customHeight="1" x14ac:dyDescent="0.35">
      <c r="A11" s="159">
        <v>7</v>
      </c>
      <c r="B11" s="247" t="s">
        <v>69</v>
      </c>
      <c r="C11" s="248">
        <v>3</v>
      </c>
      <c r="D11" s="163">
        <v>3</v>
      </c>
      <c r="E11" s="163">
        <v>3</v>
      </c>
      <c r="F11" s="163">
        <v>3</v>
      </c>
      <c r="G11" s="163">
        <v>3</v>
      </c>
      <c r="H11" s="163">
        <v>3</v>
      </c>
      <c r="I11" s="163">
        <v>3</v>
      </c>
      <c r="J11" s="249">
        <v>3</v>
      </c>
      <c r="K11" s="250">
        <v>3</v>
      </c>
      <c r="L11" s="251"/>
      <c r="M11" s="246">
        <v>3</v>
      </c>
      <c r="N11" s="163">
        <v>3</v>
      </c>
      <c r="O11" s="163">
        <v>3</v>
      </c>
      <c r="P11" s="163">
        <v>3</v>
      </c>
      <c r="Q11" s="164">
        <v>3</v>
      </c>
      <c r="R11" s="244">
        <v>3</v>
      </c>
      <c r="S11" s="252"/>
      <c r="T11" s="246">
        <v>3</v>
      </c>
      <c r="U11" s="163">
        <v>3</v>
      </c>
      <c r="V11" s="163">
        <v>3</v>
      </c>
      <c r="W11" s="163">
        <v>3</v>
      </c>
      <c r="X11" s="164">
        <v>3</v>
      </c>
      <c r="Y11" s="244">
        <v>3</v>
      </c>
      <c r="Z11" s="252"/>
    </row>
    <row r="12" spans="1:26" s="150" customFormat="1" ht="17.25" customHeight="1" x14ac:dyDescent="0.35">
      <c r="A12" s="159">
        <v>8</v>
      </c>
      <c r="B12" s="247" t="s">
        <v>71</v>
      </c>
      <c r="C12" s="248">
        <v>3</v>
      </c>
      <c r="D12" s="163">
        <v>3</v>
      </c>
      <c r="E12" s="163">
        <v>3</v>
      </c>
      <c r="F12" s="163">
        <v>3</v>
      </c>
      <c r="G12" s="163">
        <v>3</v>
      </c>
      <c r="H12" s="163">
        <v>3</v>
      </c>
      <c r="I12" s="163">
        <v>3</v>
      </c>
      <c r="J12" s="249">
        <v>3</v>
      </c>
      <c r="K12" s="250">
        <v>3</v>
      </c>
      <c r="L12" s="251"/>
      <c r="M12" s="246">
        <v>3</v>
      </c>
      <c r="N12" s="163">
        <v>3</v>
      </c>
      <c r="O12" s="163">
        <v>3</v>
      </c>
      <c r="P12" s="163">
        <v>3</v>
      </c>
      <c r="Q12" s="164">
        <v>3</v>
      </c>
      <c r="R12" s="244">
        <v>3</v>
      </c>
      <c r="S12" s="252"/>
      <c r="T12" s="246">
        <v>3</v>
      </c>
      <c r="U12" s="163">
        <v>3</v>
      </c>
      <c r="V12" s="163">
        <v>3</v>
      </c>
      <c r="W12" s="163">
        <v>3</v>
      </c>
      <c r="X12" s="164">
        <v>3</v>
      </c>
      <c r="Y12" s="244">
        <v>3</v>
      </c>
      <c r="Z12" s="252"/>
    </row>
    <row r="13" spans="1:26" s="150" customFormat="1" ht="17.25" customHeight="1" x14ac:dyDescent="0.35">
      <c r="A13" s="159">
        <v>9</v>
      </c>
      <c r="B13" s="247" t="s">
        <v>73</v>
      </c>
      <c r="C13" s="248">
        <v>3</v>
      </c>
      <c r="D13" s="163">
        <v>3</v>
      </c>
      <c r="E13" s="163">
        <v>3</v>
      </c>
      <c r="F13" s="163">
        <v>3</v>
      </c>
      <c r="G13" s="163">
        <v>3</v>
      </c>
      <c r="H13" s="163">
        <v>3</v>
      </c>
      <c r="I13" s="163">
        <v>3</v>
      </c>
      <c r="J13" s="249">
        <v>3</v>
      </c>
      <c r="K13" s="250">
        <v>3</v>
      </c>
      <c r="L13" s="251"/>
      <c r="M13" s="246">
        <v>3</v>
      </c>
      <c r="N13" s="163">
        <v>3</v>
      </c>
      <c r="O13" s="163">
        <v>3</v>
      </c>
      <c r="P13" s="163">
        <v>3</v>
      </c>
      <c r="Q13" s="164">
        <v>3</v>
      </c>
      <c r="R13" s="244">
        <v>3</v>
      </c>
      <c r="S13" s="252"/>
      <c r="T13" s="246">
        <v>3</v>
      </c>
      <c r="U13" s="163">
        <v>3</v>
      </c>
      <c r="V13" s="163">
        <v>3</v>
      </c>
      <c r="W13" s="163">
        <v>3</v>
      </c>
      <c r="X13" s="164">
        <v>3</v>
      </c>
      <c r="Y13" s="244">
        <v>3</v>
      </c>
      <c r="Z13" s="252"/>
    </row>
    <row r="14" spans="1:26" s="150" customFormat="1" ht="17.25" customHeight="1" x14ac:dyDescent="0.35">
      <c r="A14" s="159">
        <v>10</v>
      </c>
      <c r="B14" s="247" t="s">
        <v>75</v>
      </c>
      <c r="C14" s="248">
        <v>3</v>
      </c>
      <c r="D14" s="163">
        <v>3</v>
      </c>
      <c r="E14" s="163">
        <v>3</v>
      </c>
      <c r="F14" s="163">
        <v>3</v>
      </c>
      <c r="G14" s="163">
        <v>3</v>
      </c>
      <c r="H14" s="163">
        <v>3</v>
      </c>
      <c r="I14" s="163">
        <v>3</v>
      </c>
      <c r="J14" s="249">
        <v>3</v>
      </c>
      <c r="K14" s="250">
        <v>3</v>
      </c>
      <c r="L14" s="251"/>
      <c r="M14" s="246">
        <v>3</v>
      </c>
      <c r="N14" s="163">
        <v>3</v>
      </c>
      <c r="O14" s="163">
        <v>3</v>
      </c>
      <c r="P14" s="163">
        <v>3</v>
      </c>
      <c r="Q14" s="164">
        <v>3</v>
      </c>
      <c r="R14" s="244">
        <v>3</v>
      </c>
      <c r="S14" s="252"/>
      <c r="T14" s="246">
        <v>3</v>
      </c>
      <c r="U14" s="163">
        <v>3</v>
      </c>
      <c r="V14" s="163">
        <v>3</v>
      </c>
      <c r="W14" s="163">
        <v>3</v>
      </c>
      <c r="X14" s="164">
        <v>3</v>
      </c>
      <c r="Y14" s="244">
        <v>3</v>
      </c>
      <c r="Z14" s="252"/>
    </row>
    <row r="15" spans="1:26" s="150" customFormat="1" ht="17.25" customHeight="1" x14ac:dyDescent="0.35">
      <c r="A15" s="159">
        <v>11</v>
      </c>
      <c r="B15" s="247" t="s">
        <v>77</v>
      </c>
      <c r="C15" s="248">
        <v>3</v>
      </c>
      <c r="D15" s="163">
        <v>3</v>
      </c>
      <c r="E15" s="163">
        <v>3</v>
      </c>
      <c r="F15" s="163">
        <v>3</v>
      </c>
      <c r="G15" s="163">
        <v>3</v>
      </c>
      <c r="H15" s="163">
        <v>3</v>
      </c>
      <c r="I15" s="163">
        <v>3</v>
      </c>
      <c r="J15" s="249">
        <v>3</v>
      </c>
      <c r="K15" s="250">
        <v>3</v>
      </c>
      <c r="L15" s="251"/>
      <c r="M15" s="246">
        <v>3</v>
      </c>
      <c r="N15" s="163">
        <v>3</v>
      </c>
      <c r="O15" s="163">
        <v>3</v>
      </c>
      <c r="P15" s="163">
        <v>3</v>
      </c>
      <c r="Q15" s="164">
        <v>3</v>
      </c>
      <c r="R15" s="244">
        <v>3</v>
      </c>
      <c r="S15" s="252"/>
      <c r="T15" s="246">
        <v>3</v>
      </c>
      <c r="U15" s="163">
        <v>3</v>
      </c>
      <c r="V15" s="163">
        <v>3</v>
      </c>
      <c r="W15" s="163">
        <v>3</v>
      </c>
      <c r="X15" s="164">
        <v>3</v>
      </c>
      <c r="Y15" s="244">
        <v>3</v>
      </c>
      <c r="Z15" s="252"/>
    </row>
    <row r="16" spans="1:26" s="150" customFormat="1" ht="17.25" customHeight="1" x14ac:dyDescent="0.35">
      <c r="A16" s="159">
        <v>12</v>
      </c>
      <c r="B16" s="247" t="s">
        <v>79</v>
      </c>
      <c r="C16" s="248">
        <v>3</v>
      </c>
      <c r="D16" s="163">
        <v>3</v>
      </c>
      <c r="E16" s="163">
        <v>3</v>
      </c>
      <c r="F16" s="163">
        <v>3</v>
      </c>
      <c r="G16" s="163">
        <v>3</v>
      </c>
      <c r="H16" s="163">
        <v>3</v>
      </c>
      <c r="I16" s="163">
        <v>3</v>
      </c>
      <c r="J16" s="249">
        <v>3</v>
      </c>
      <c r="K16" s="250">
        <v>3</v>
      </c>
      <c r="L16" s="251"/>
      <c r="M16" s="246">
        <v>3</v>
      </c>
      <c r="N16" s="163">
        <v>3</v>
      </c>
      <c r="O16" s="163">
        <v>3</v>
      </c>
      <c r="P16" s="163">
        <v>3</v>
      </c>
      <c r="Q16" s="164">
        <v>3</v>
      </c>
      <c r="R16" s="244">
        <v>3</v>
      </c>
      <c r="S16" s="252"/>
      <c r="T16" s="246">
        <v>3</v>
      </c>
      <c r="U16" s="163">
        <v>3</v>
      </c>
      <c r="V16" s="163">
        <v>3</v>
      </c>
      <c r="W16" s="163">
        <v>3</v>
      </c>
      <c r="X16" s="164">
        <v>3</v>
      </c>
      <c r="Y16" s="244">
        <v>3</v>
      </c>
      <c r="Z16" s="252"/>
    </row>
    <row r="17" spans="1:26" s="150" customFormat="1" ht="17.25" customHeight="1" x14ac:dyDescent="0.35">
      <c r="A17" s="159">
        <v>13</v>
      </c>
      <c r="B17" s="247" t="s">
        <v>81</v>
      </c>
      <c r="C17" s="248">
        <v>3</v>
      </c>
      <c r="D17" s="163">
        <v>3</v>
      </c>
      <c r="E17" s="163">
        <v>3</v>
      </c>
      <c r="F17" s="163">
        <v>3</v>
      </c>
      <c r="G17" s="163">
        <v>3</v>
      </c>
      <c r="H17" s="163">
        <v>3</v>
      </c>
      <c r="I17" s="163">
        <v>3</v>
      </c>
      <c r="J17" s="249">
        <v>3</v>
      </c>
      <c r="K17" s="250">
        <v>3</v>
      </c>
      <c r="L17" s="251"/>
      <c r="M17" s="246">
        <v>3</v>
      </c>
      <c r="N17" s="163">
        <v>3</v>
      </c>
      <c r="O17" s="163">
        <v>3</v>
      </c>
      <c r="P17" s="163">
        <v>3</v>
      </c>
      <c r="Q17" s="164">
        <v>3</v>
      </c>
      <c r="R17" s="244">
        <v>3</v>
      </c>
      <c r="S17" s="252"/>
      <c r="T17" s="246">
        <v>3</v>
      </c>
      <c r="U17" s="163">
        <v>3</v>
      </c>
      <c r="V17" s="163">
        <v>3</v>
      </c>
      <c r="W17" s="163">
        <v>3</v>
      </c>
      <c r="X17" s="164">
        <v>3</v>
      </c>
      <c r="Y17" s="244">
        <v>3</v>
      </c>
      <c r="Z17" s="252"/>
    </row>
    <row r="18" spans="1:26" s="150" customFormat="1" ht="17.25" customHeight="1" x14ac:dyDescent="0.35">
      <c r="A18" s="159">
        <v>14</v>
      </c>
      <c r="B18" s="247" t="s">
        <v>83</v>
      </c>
      <c r="C18" s="248">
        <v>3</v>
      </c>
      <c r="D18" s="163">
        <v>3</v>
      </c>
      <c r="E18" s="163">
        <v>3</v>
      </c>
      <c r="F18" s="163">
        <v>3</v>
      </c>
      <c r="G18" s="163">
        <v>3</v>
      </c>
      <c r="H18" s="163">
        <v>3</v>
      </c>
      <c r="I18" s="163">
        <v>3</v>
      </c>
      <c r="J18" s="249">
        <v>3</v>
      </c>
      <c r="K18" s="250">
        <v>3</v>
      </c>
      <c r="L18" s="251"/>
      <c r="M18" s="246">
        <v>3</v>
      </c>
      <c r="N18" s="163">
        <v>3</v>
      </c>
      <c r="O18" s="163">
        <v>3</v>
      </c>
      <c r="P18" s="163">
        <v>3</v>
      </c>
      <c r="Q18" s="164">
        <v>3</v>
      </c>
      <c r="R18" s="244">
        <v>3</v>
      </c>
      <c r="S18" s="252"/>
      <c r="T18" s="246">
        <v>3</v>
      </c>
      <c r="U18" s="163">
        <v>3</v>
      </c>
      <c r="V18" s="163">
        <v>3</v>
      </c>
      <c r="W18" s="163">
        <v>3</v>
      </c>
      <c r="X18" s="164">
        <v>3</v>
      </c>
      <c r="Y18" s="244">
        <v>3</v>
      </c>
      <c r="Z18" s="252"/>
    </row>
    <row r="19" spans="1:26" s="150" customFormat="1" ht="17.25" customHeight="1" x14ac:dyDescent="0.35">
      <c r="A19" s="159">
        <v>15</v>
      </c>
      <c r="B19" s="247" t="s">
        <v>85</v>
      </c>
      <c r="C19" s="248">
        <v>3</v>
      </c>
      <c r="D19" s="163">
        <v>3</v>
      </c>
      <c r="E19" s="163">
        <v>3</v>
      </c>
      <c r="F19" s="163">
        <v>3</v>
      </c>
      <c r="G19" s="163">
        <v>3</v>
      </c>
      <c r="H19" s="163">
        <v>3</v>
      </c>
      <c r="I19" s="163">
        <v>3</v>
      </c>
      <c r="J19" s="249">
        <v>3</v>
      </c>
      <c r="K19" s="250">
        <v>3</v>
      </c>
      <c r="L19" s="251"/>
      <c r="M19" s="246">
        <v>3</v>
      </c>
      <c r="N19" s="163">
        <v>3</v>
      </c>
      <c r="O19" s="163">
        <v>3</v>
      </c>
      <c r="P19" s="163">
        <v>3</v>
      </c>
      <c r="Q19" s="164">
        <v>3</v>
      </c>
      <c r="R19" s="244">
        <v>3</v>
      </c>
      <c r="S19" s="252"/>
      <c r="T19" s="246">
        <v>2</v>
      </c>
      <c r="U19" s="163">
        <v>2</v>
      </c>
      <c r="V19" s="163">
        <v>2</v>
      </c>
      <c r="W19" s="163">
        <v>2</v>
      </c>
      <c r="X19" s="164">
        <v>2</v>
      </c>
      <c r="Y19" s="244">
        <v>2</v>
      </c>
      <c r="Z19" s="252"/>
    </row>
    <row r="20" spans="1:26" s="150" customFormat="1" ht="17.25" customHeight="1" x14ac:dyDescent="0.35">
      <c r="A20" s="159">
        <v>16</v>
      </c>
      <c r="B20" s="247" t="s">
        <v>87</v>
      </c>
      <c r="C20" s="248">
        <v>3</v>
      </c>
      <c r="D20" s="163">
        <v>3</v>
      </c>
      <c r="E20" s="163">
        <v>3</v>
      </c>
      <c r="F20" s="163">
        <v>3</v>
      </c>
      <c r="G20" s="163">
        <v>3</v>
      </c>
      <c r="H20" s="163">
        <v>3</v>
      </c>
      <c r="I20" s="163">
        <v>3</v>
      </c>
      <c r="J20" s="249">
        <v>3</v>
      </c>
      <c r="K20" s="250">
        <v>3</v>
      </c>
      <c r="L20" s="251"/>
      <c r="M20" s="246">
        <v>3</v>
      </c>
      <c r="N20" s="163">
        <v>3</v>
      </c>
      <c r="O20" s="163">
        <v>3</v>
      </c>
      <c r="P20" s="163">
        <v>3</v>
      </c>
      <c r="Q20" s="164">
        <v>3</v>
      </c>
      <c r="R20" s="244">
        <v>3</v>
      </c>
      <c r="S20" s="252"/>
      <c r="T20" s="246">
        <v>3</v>
      </c>
      <c r="U20" s="163">
        <v>3</v>
      </c>
      <c r="V20" s="163">
        <v>3</v>
      </c>
      <c r="W20" s="163">
        <v>3</v>
      </c>
      <c r="X20" s="164">
        <v>3</v>
      </c>
      <c r="Y20" s="244">
        <v>3</v>
      </c>
      <c r="Z20" s="252"/>
    </row>
    <row r="21" spans="1:26" s="150" customFormat="1" ht="17.25" customHeight="1" x14ac:dyDescent="0.35">
      <c r="A21" s="159"/>
      <c r="B21" s="247"/>
      <c r="C21" s="248"/>
      <c r="D21" s="163"/>
      <c r="E21" s="163"/>
      <c r="F21" s="163"/>
      <c r="G21" s="163"/>
      <c r="H21" s="163"/>
      <c r="I21" s="163"/>
      <c r="J21" s="249"/>
      <c r="K21" s="250"/>
      <c r="L21" s="251"/>
      <c r="M21" s="246"/>
      <c r="N21" s="163"/>
      <c r="O21" s="163"/>
      <c r="P21" s="163"/>
      <c r="Q21" s="164"/>
      <c r="R21" s="244"/>
      <c r="S21" s="252"/>
      <c r="T21" s="246"/>
      <c r="U21" s="163"/>
      <c r="V21" s="163"/>
      <c r="W21" s="163"/>
      <c r="X21" s="164"/>
      <c r="Y21" s="244"/>
      <c r="Z21" s="252"/>
    </row>
    <row r="22" spans="1:26" s="150" customFormat="1" ht="17.25" customHeight="1" x14ac:dyDescent="0.35">
      <c r="A22" s="159"/>
      <c r="B22" s="247"/>
      <c r="C22" s="253"/>
      <c r="D22" s="254"/>
      <c r="E22" s="254"/>
      <c r="F22" s="254"/>
      <c r="G22" s="254"/>
      <c r="H22" s="254"/>
      <c r="I22" s="254"/>
      <c r="J22" s="255"/>
      <c r="K22" s="256"/>
      <c r="L22" s="257"/>
      <c r="M22" s="258"/>
      <c r="N22" s="254"/>
      <c r="O22" s="254"/>
      <c r="P22" s="254"/>
      <c r="Q22" s="259"/>
      <c r="R22" s="260"/>
      <c r="S22" s="252"/>
      <c r="T22" s="246"/>
      <c r="U22" s="163"/>
      <c r="V22" s="163"/>
      <c r="W22" s="163"/>
      <c r="X22" s="164"/>
      <c r="Y22" s="244"/>
      <c r="Z22" s="252"/>
    </row>
    <row r="23" spans="1:26" s="150" customFormat="1" ht="17.25" customHeight="1" x14ac:dyDescent="0.3">
      <c r="A23" s="159"/>
      <c r="B23" s="247"/>
      <c r="C23" s="253"/>
      <c r="D23" s="254"/>
      <c r="E23" s="254"/>
      <c r="F23" s="254"/>
      <c r="G23" s="254"/>
      <c r="H23" s="254"/>
      <c r="I23" s="254"/>
      <c r="J23" s="255"/>
      <c r="K23" s="256"/>
      <c r="L23" s="257"/>
      <c r="M23" s="258"/>
      <c r="N23" s="254"/>
      <c r="O23" s="254"/>
      <c r="P23" s="254"/>
      <c r="Q23" s="259"/>
      <c r="R23" s="260"/>
      <c r="S23" s="252"/>
      <c r="T23" s="258"/>
      <c r="U23" s="254"/>
      <c r="V23" s="254"/>
      <c r="W23" s="254"/>
      <c r="X23" s="259"/>
      <c r="Y23" s="260"/>
      <c r="Z23" s="252"/>
    </row>
    <row r="24" spans="1:26" s="150" customFormat="1" ht="17.25" customHeight="1" x14ac:dyDescent="0.3">
      <c r="A24" s="159"/>
      <c r="B24" s="247"/>
      <c r="C24" s="253"/>
      <c r="D24" s="254"/>
      <c r="E24" s="254"/>
      <c r="F24" s="254"/>
      <c r="G24" s="254"/>
      <c r="H24" s="254"/>
      <c r="I24" s="254"/>
      <c r="J24" s="255"/>
      <c r="K24" s="256"/>
      <c r="L24" s="257"/>
      <c r="M24" s="258"/>
      <c r="N24" s="254"/>
      <c r="O24" s="254"/>
      <c r="P24" s="254"/>
      <c r="Q24" s="259"/>
      <c r="R24" s="260"/>
      <c r="S24" s="252"/>
      <c r="T24" s="258"/>
      <c r="U24" s="254"/>
      <c r="V24" s="254"/>
      <c r="W24" s="254"/>
      <c r="X24" s="259"/>
      <c r="Y24" s="260"/>
      <c r="Z24" s="252"/>
    </row>
    <row r="25" spans="1:26" s="150" customFormat="1" ht="17.25" customHeight="1" x14ac:dyDescent="0.3">
      <c r="A25" s="159"/>
      <c r="B25" s="247"/>
      <c r="C25" s="253"/>
      <c r="D25" s="254"/>
      <c r="E25" s="254"/>
      <c r="F25" s="254"/>
      <c r="G25" s="254"/>
      <c r="H25" s="254"/>
      <c r="I25" s="254"/>
      <c r="J25" s="255"/>
      <c r="K25" s="256"/>
      <c r="L25" s="257"/>
      <c r="M25" s="258"/>
      <c r="N25" s="254"/>
      <c r="O25" s="254"/>
      <c r="P25" s="254"/>
      <c r="Q25" s="259"/>
      <c r="R25" s="260"/>
      <c r="S25" s="252"/>
      <c r="T25" s="258"/>
      <c r="U25" s="254"/>
      <c r="V25" s="254"/>
      <c r="W25" s="254"/>
      <c r="X25" s="259"/>
      <c r="Y25" s="260"/>
      <c r="Z25" s="252"/>
    </row>
    <row r="26" spans="1:26" s="150" customFormat="1" ht="17.25" customHeight="1" x14ac:dyDescent="0.3">
      <c r="A26" s="159"/>
      <c r="B26" s="247"/>
      <c r="C26" s="253"/>
      <c r="D26" s="254"/>
      <c r="E26" s="254"/>
      <c r="F26" s="254"/>
      <c r="G26" s="254"/>
      <c r="H26" s="254"/>
      <c r="I26" s="254"/>
      <c r="J26" s="255"/>
      <c r="K26" s="256"/>
      <c r="L26" s="257"/>
      <c r="M26" s="258"/>
      <c r="N26" s="254"/>
      <c r="O26" s="254"/>
      <c r="P26" s="254"/>
      <c r="Q26" s="259"/>
      <c r="R26" s="260"/>
      <c r="S26" s="252"/>
      <c r="T26" s="258"/>
      <c r="U26" s="254"/>
      <c r="V26" s="254"/>
      <c r="W26" s="254"/>
      <c r="X26" s="259"/>
      <c r="Y26" s="260"/>
      <c r="Z26" s="252"/>
    </row>
    <row r="27" spans="1:26" s="150" customFormat="1" ht="17.25" customHeight="1" x14ac:dyDescent="0.3">
      <c r="A27" s="166">
        <v>23</v>
      </c>
      <c r="B27" s="247"/>
      <c r="C27" s="253"/>
      <c r="D27" s="254"/>
      <c r="E27" s="254"/>
      <c r="F27" s="254"/>
      <c r="G27" s="254"/>
      <c r="H27" s="254"/>
      <c r="I27" s="254"/>
      <c r="J27" s="255"/>
      <c r="K27" s="256"/>
      <c r="L27" s="257"/>
      <c r="M27" s="258"/>
      <c r="N27" s="254"/>
      <c r="O27" s="254"/>
      <c r="P27" s="254"/>
      <c r="Q27" s="259"/>
      <c r="R27" s="260"/>
      <c r="S27" s="252"/>
      <c r="T27" s="258"/>
      <c r="U27" s="254"/>
      <c r="V27" s="254"/>
      <c r="W27" s="254"/>
      <c r="X27" s="259"/>
      <c r="Y27" s="260"/>
      <c r="Z27" s="252"/>
    </row>
    <row r="28" spans="1:26" s="150" customFormat="1" ht="17.25" customHeight="1" x14ac:dyDescent="0.3">
      <c r="A28" s="159">
        <v>24</v>
      </c>
      <c r="B28" s="247"/>
      <c r="C28" s="253"/>
      <c r="D28" s="254"/>
      <c r="E28" s="254"/>
      <c r="F28" s="254"/>
      <c r="G28" s="254"/>
      <c r="H28" s="254"/>
      <c r="I28" s="254"/>
      <c r="J28" s="255"/>
      <c r="K28" s="256"/>
      <c r="L28" s="257"/>
      <c r="M28" s="258"/>
      <c r="N28" s="254"/>
      <c r="O28" s="254"/>
      <c r="P28" s="254"/>
      <c r="Q28" s="259"/>
      <c r="R28" s="260"/>
      <c r="S28" s="252"/>
      <c r="T28" s="258"/>
      <c r="U28" s="254"/>
      <c r="V28" s="254"/>
      <c r="W28" s="254"/>
      <c r="X28" s="259"/>
      <c r="Y28" s="260"/>
      <c r="Z28" s="252"/>
    </row>
    <row r="29" spans="1:26" s="150" customFormat="1" ht="17.25" customHeight="1" x14ac:dyDescent="0.3">
      <c r="A29" s="159">
        <v>25</v>
      </c>
      <c r="B29" s="247"/>
      <c r="C29" s="253"/>
      <c r="D29" s="254"/>
      <c r="E29" s="254"/>
      <c r="F29" s="254"/>
      <c r="G29" s="254"/>
      <c r="H29" s="254"/>
      <c r="I29" s="254"/>
      <c r="J29" s="255"/>
      <c r="K29" s="256"/>
      <c r="L29" s="257"/>
      <c r="M29" s="258"/>
      <c r="N29" s="254"/>
      <c r="O29" s="254"/>
      <c r="P29" s="254"/>
      <c r="Q29" s="259"/>
      <c r="R29" s="260"/>
      <c r="S29" s="252"/>
      <c r="T29" s="258"/>
      <c r="U29" s="254"/>
      <c r="V29" s="254"/>
      <c r="W29" s="254"/>
      <c r="X29" s="259"/>
      <c r="Y29" s="260"/>
      <c r="Z29" s="252"/>
    </row>
    <row r="30" spans="1:26" s="150" customFormat="1" ht="17.25" customHeight="1" x14ac:dyDescent="0.3">
      <c r="A30" s="159">
        <v>26</v>
      </c>
      <c r="B30" s="247"/>
      <c r="C30" s="253"/>
      <c r="D30" s="254"/>
      <c r="E30" s="254"/>
      <c r="F30" s="254"/>
      <c r="G30" s="254"/>
      <c r="H30" s="254"/>
      <c r="I30" s="254"/>
      <c r="J30" s="255"/>
      <c r="K30" s="256"/>
      <c r="L30" s="257"/>
      <c r="M30" s="258"/>
      <c r="N30" s="254"/>
      <c r="O30" s="254"/>
      <c r="P30" s="254"/>
      <c r="Q30" s="259"/>
      <c r="R30" s="260"/>
      <c r="S30" s="252"/>
      <c r="T30" s="258"/>
      <c r="U30" s="254"/>
      <c r="V30" s="254"/>
      <c r="W30" s="254"/>
      <c r="X30" s="259"/>
      <c r="Y30" s="260"/>
      <c r="Z30" s="252"/>
    </row>
    <row r="31" spans="1:26" s="150" customFormat="1" ht="17.25" customHeight="1" x14ac:dyDescent="0.3">
      <c r="A31" s="159">
        <v>27</v>
      </c>
      <c r="B31" s="247"/>
      <c r="C31" s="253"/>
      <c r="D31" s="254"/>
      <c r="E31" s="254"/>
      <c r="F31" s="254"/>
      <c r="G31" s="254"/>
      <c r="H31" s="254"/>
      <c r="I31" s="254"/>
      <c r="J31" s="255"/>
      <c r="K31" s="256"/>
      <c r="L31" s="257"/>
      <c r="M31" s="258"/>
      <c r="N31" s="254"/>
      <c r="O31" s="254"/>
      <c r="P31" s="254"/>
      <c r="Q31" s="259"/>
      <c r="R31" s="260"/>
      <c r="S31" s="252"/>
      <c r="T31" s="258"/>
      <c r="U31" s="254"/>
      <c r="V31" s="254"/>
      <c r="W31" s="254"/>
      <c r="X31" s="259"/>
      <c r="Y31" s="260"/>
      <c r="Z31" s="252"/>
    </row>
    <row r="32" spans="1:26" s="150" customFormat="1" ht="17.25" customHeight="1" x14ac:dyDescent="0.3">
      <c r="A32" s="166">
        <v>28</v>
      </c>
      <c r="B32" s="247"/>
      <c r="C32" s="253"/>
      <c r="D32" s="254"/>
      <c r="E32" s="254"/>
      <c r="F32" s="254"/>
      <c r="G32" s="254"/>
      <c r="H32" s="254"/>
      <c r="I32" s="254"/>
      <c r="J32" s="255"/>
      <c r="K32" s="256"/>
      <c r="L32" s="257"/>
      <c r="M32" s="258"/>
      <c r="N32" s="254"/>
      <c r="O32" s="254"/>
      <c r="P32" s="254"/>
      <c r="Q32" s="259"/>
      <c r="R32" s="260"/>
      <c r="S32" s="252"/>
      <c r="T32" s="258"/>
      <c r="U32" s="254"/>
      <c r="V32" s="254"/>
      <c r="W32" s="254"/>
      <c r="X32" s="259"/>
      <c r="Y32" s="260"/>
      <c r="Z32" s="252"/>
    </row>
    <row r="33" spans="1:26" s="150" customFormat="1" ht="17.25" customHeight="1" x14ac:dyDescent="0.3">
      <c r="A33" s="159">
        <v>29</v>
      </c>
      <c r="B33" s="247"/>
      <c r="C33" s="253"/>
      <c r="D33" s="254"/>
      <c r="E33" s="254"/>
      <c r="F33" s="254"/>
      <c r="G33" s="254"/>
      <c r="H33" s="254"/>
      <c r="I33" s="254"/>
      <c r="J33" s="255"/>
      <c r="K33" s="256"/>
      <c r="L33" s="257"/>
      <c r="M33" s="258"/>
      <c r="N33" s="254"/>
      <c r="O33" s="254"/>
      <c r="P33" s="254"/>
      <c r="Q33" s="259"/>
      <c r="R33" s="260"/>
      <c r="S33" s="252"/>
      <c r="T33" s="258"/>
      <c r="U33" s="254"/>
      <c r="V33" s="254"/>
      <c r="W33" s="254"/>
      <c r="X33" s="259"/>
      <c r="Y33" s="260"/>
      <c r="Z33" s="252"/>
    </row>
    <row r="34" spans="1:26" s="150" customFormat="1" ht="17.25" customHeight="1" x14ac:dyDescent="0.3">
      <c r="A34" s="159">
        <v>30</v>
      </c>
      <c r="B34" s="247"/>
      <c r="C34" s="253"/>
      <c r="D34" s="254"/>
      <c r="E34" s="254"/>
      <c r="F34" s="254"/>
      <c r="G34" s="254"/>
      <c r="H34" s="254"/>
      <c r="I34" s="254"/>
      <c r="J34" s="255"/>
      <c r="K34" s="256"/>
      <c r="L34" s="257"/>
      <c r="M34" s="258"/>
      <c r="N34" s="254"/>
      <c r="O34" s="254"/>
      <c r="P34" s="254"/>
      <c r="Q34" s="259"/>
      <c r="R34" s="260"/>
      <c r="S34" s="252"/>
      <c r="T34" s="258"/>
      <c r="U34" s="254"/>
      <c r="V34" s="254"/>
      <c r="W34" s="254"/>
      <c r="X34" s="259"/>
      <c r="Y34" s="260"/>
      <c r="Z34" s="252"/>
    </row>
    <row r="35" spans="1:26" s="150" customFormat="1" ht="17.25" customHeight="1" x14ac:dyDescent="0.35">
      <c r="A35" s="159">
        <v>31</v>
      </c>
      <c r="B35" s="247"/>
      <c r="C35" s="261"/>
      <c r="D35" s="262"/>
      <c r="E35" s="262"/>
      <c r="F35" s="262"/>
      <c r="G35" s="262"/>
      <c r="H35" s="262"/>
      <c r="I35" s="262"/>
      <c r="J35" s="263"/>
      <c r="K35" s="264"/>
      <c r="L35" s="257"/>
      <c r="M35" s="265"/>
      <c r="N35" s="262"/>
      <c r="O35" s="262"/>
      <c r="P35" s="262"/>
      <c r="Q35" s="266"/>
      <c r="R35" s="267"/>
      <c r="S35" s="252"/>
      <c r="T35" s="265"/>
      <c r="U35" s="262"/>
      <c r="V35" s="262"/>
      <c r="W35" s="262"/>
      <c r="X35" s="266"/>
      <c r="Y35" s="267"/>
      <c r="Z35" s="252"/>
    </row>
    <row r="36" spans="1:26" s="150" customFormat="1" ht="17.25" customHeight="1" x14ac:dyDescent="0.35">
      <c r="A36" s="159">
        <v>32</v>
      </c>
      <c r="B36" s="268"/>
      <c r="C36" s="269"/>
      <c r="D36" s="270"/>
      <c r="E36" s="270"/>
      <c r="F36" s="270"/>
      <c r="G36" s="270"/>
      <c r="H36" s="270"/>
      <c r="I36" s="270"/>
      <c r="J36" s="271"/>
      <c r="K36" s="272"/>
      <c r="L36" s="273"/>
      <c r="M36" s="274"/>
      <c r="N36" s="270"/>
      <c r="O36" s="270"/>
      <c r="P36" s="270"/>
      <c r="Q36" s="275"/>
      <c r="R36" s="267"/>
      <c r="S36" s="276"/>
      <c r="T36" s="274"/>
      <c r="U36" s="270"/>
      <c r="V36" s="270"/>
      <c r="W36" s="270"/>
      <c r="X36" s="275"/>
      <c r="Y36" s="267"/>
      <c r="Z36" s="276"/>
    </row>
    <row r="37" spans="1:26" s="150" customFormat="1" ht="17.25" customHeight="1" x14ac:dyDescent="0.35">
      <c r="A37" s="159">
        <v>33</v>
      </c>
      <c r="B37" s="247"/>
      <c r="C37" s="261"/>
      <c r="D37" s="262"/>
      <c r="E37" s="262"/>
      <c r="F37" s="262"/>
      <c r="G37" s="262"/>
      <c r="H37" s="262"/>
      <c r="I37" s="262"/>
      <c r="J37" s="263"/>
      <c r="K37" s="264"/>
      <c r="L37" s="257"/>
      <c r="M37" s="265"/>
      <c r="N37" s="262"/>
      <c r="O37" s="262"/>
      <c r="P37" s="262"/>
      <c r="Q37" s="266"/>
      <c r="R37" s="267"/>
      <c r="S37" s="252"/>
      <c r="T37" s="265"/>
      <c r="U37" s="262"/>
      <c r="V37" s="262"/>
      <c r="W37" s="262"/>
      <c r="X37" s="266"/>
      <c r="Y37" s="267"/>
      <c r="Z37" s="252"/>
    </row>
    <row r="38" spans="1:26" s="150" customFormat="1" ht="17.25" customHeight="1" x14ac:dyDescent="0.35">
      <c r="A38" s="159">
        <v>34</v>
      </c>
      <c r="B38" s="247"/>
      <c r="C38" s="269"/>
      <c r="D38" s="270"/>
      <c r="E38" s="270"/>
      <c r="F38" s="270"/>
      <c r="G38" s="270"/>
      <c r="H38" s="270"/>
      <c r="I38" s="270"/>
      <c r="J38" s="271"/>
      <c r="K38" s="272"/>
      <c r="L38" s="273"/>
      <c r="M38" s="274"/>
      <c r="N38" s="270"/>
      <c r="O38" s="270"/>
      <c r="P38" s="270"/>
      <c r="Q38" s="275"/>
      <c r="R38" s="267"/>
      <c r="S38" s="276"/>
      <c r="T38" s="274"/>
      <c r="U38" s="270"/>
      <c r="V38" s="270"/>
      <c r="W38" s="270"/>
      <c r="X38" s="275"/>
      <c r="Y38" s="267"/>
      <c r="Z38" s="276"/>
    </row>
    <row r="39" spans="1:26" s="150" customFormat="1" ht="17.25" customHeight="1" x14ac:dyDescent="0.35">
      <c r="A39" s="159">
        <v>35</v>
      </c>
      <c r="B39" s="247"/>
      <c r="C39" s="261"/>
      <c r="D39" s="262"/>
      <c r="E39" s="262"/>
      <c r="F39" s="262"/>
      <c r="G39" s="262"/>
      <c r="H39" s="262"/>
      <c r="I39" s="262"/>
      <c r="J39" s="263"/>
      <c r="K39" s="264"/>
      <c r="L39" s="257"/>
      <c r="M39" s="265"/>
      <c r="N39" s="262"/>
      <c r="O39" s="262"/>
      <c r="P39" s="262"/>
      <c r="Q39" s="266"/>
      <c r="R39" s="267"/>
      <c r="S39" s="252"/>
      <c r="T39" s="265"/>
      <c r="U39" s="262"/>
      <c r="V39" s="262"/>
      <c r="W39" s="262"/>
      <c r="X39" s="266"/>
      <c r="Y39" s="267"/>
      <c r="Z39" s="252"/>
    </row>
  </sheetData>
  <mergeCells count="8">
    <mergeCell ref="A2:B2"/>
    <mergeCell ref="C2:L2"/>
    <mergeCell ref="M2:S2"/>
    <mergeCell ref="T2:Z2"/>
    <mergeCell ref="A3:A4"/>
    <mergeCell ref="L3:L4"/>
    <mergeCell ref="S3:S4"/>
    <mergeCell ref="Z3:Z4"/>
  </mergeCells>
  <pageMargins left="0.70866141732283472" right="0.11811023622047245" top="0.15748031496062992" bottom="0.15748031496062992" header="0.31496062992125984" footer="0.31496062992125984"/>
  <pageSetup paperSize="9" orientation="portrait" useFirstPageNumber="1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S61"/>
  <sheetViews>
    <sheetView view="pageBreakPreview" zoomScale="120" zoomScaleNormal="100" workbookViewId="0">
      <selection activeCell="U11" sqref="U11"/>
    </sheetView>
  </sheetViews>
  <sheetFormatPr defaultColWidth="9.125" defaultRowHeight="18" customHeight="1" x14ac:dyDescent="0.3"/>
  <cols>
    <col min="1" max="1" width="9.25" style="25" customWidth="1"/>
    <col min="2" max="6" width="3.625" style="25" customWidth="1"/>
    <col min="7" max="10" width="3" style="25" customWidth="1"/>
    <col min="11" max="11" width="4" style="25" customWidth="1"/>
    <col min="12" max="12" width="3.875" style="25" customWidth="1"/>
    <col min="13" max="13" width="3" style="25" customWidth="1"/>
    <col min="14" max="14" width="7.625" style="25" customWidth="1"/>
    <col min="15" max="15" width="16" style="25" customWidth="1"/>
    <col min="16" max="16" width="11" style="25" customWidth="1"/>
    <col min="17" max="17" width="2.25" style="25" customWidth="1"/>
    <col min="18" max="18" width="3" style="25" customWidth="1"/>
    <col min="19" max="19" width="2.25" style="25" hidden="1" customWidth="1"/>
    <col min="20" max="20" width="9.125" style="25" customWidth="1"/>
    <col min="21" max="16384" width="9.125" style="25"/>
  </cols>
  <sheetData>
    <row r="1" spans="1:19" ht="21" customHeight="1" x14ac:dyDescent="0.35">
      <c r="A1" s="26"/>
      <c r="P1" s="277">
        <v>10</v>
      </c>
    </row>
    <row r="2" spans="1:19" ht="21" customHeight="1" x14ac:dyDescent="0.3">
      <c r="A2" s="459" t="s">
        <v>135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1"/>
    </row>
    <row r="3" spans="1:19" ht="21" customHeight="1" thickBot="1" x14ac:dyDescent="0.35">
      <c r="A3" s="278"/>
      <c r="B3" s="279"/>
      <c r="C3" s="279" t="s">
        <v>136</v>
      </c>
      <c r="D3" s="279"/>
      <c r="E3" s="279"/>
      <c r="F3" s="279" t="s">
        <v>258</v>
      </c>
      <c r="G3" s="279"/>
      <c r="H3" s="279"/>
      <c r="I3" s="279"/>
      <c r="J3" s="279"/>
      <c r="K3" s="279"/>
      <c r="L3" s="279"/>
      <c r="M3" s="279"/>
      <c r="N3" s="279" t="s">
        <v>8</v>
      </c>
      <c r="O3" s="280" t="s">
        <v>9</v>
      </c>
      <c r="P3" s="281"/>
      <c r="Q3" s="282"/>
    </row>
    <row r="4" spans="1:19" ht="18.95" customHeight="1" x14ac:dyDescent="0.3">
      <c r="A4" s="283" t="s">
        <v>259</v>
      </c>
      <c r="B4" s="284"/>
      <c r="C4" s="285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6"/>
    </row>
    <row r="5" spans="1:19" ht="18.95" customHeight="1" x14ac:dyDescent="0.3">
      <c r="A5" s="287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9"/>
    </row>
    <row r="6" spans="1:19" ht="18.95" customHeight="1" x14ac:dyDescent="0.3">
      <c r="A6" s="287" t="s">
        <v>260</v>
      </c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9"/>
    </row>
    <row r="7" spans="1:19" ht="18.95" customHeight="1" x14ac:dyDescent="0.3">
      <c r="A7" s="287" t="s">
        <v>261</v>
      </c>
      <c r="B7" s="288"/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9"/>
    </row>
    <row r="8" spans="1:19" ht="18.95" customHeight="1" x14ac:dyDescent="0.3">
      <c r="A8" s="287"/>
      <c r="B8" s="288"/>
      <c r="C8" s="288"/>
      <c r="D8" s="288"/>
      <c r="E8" s="288"/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9"/>
      <c r="Q8" s="290"/>
      <c r="R8" s="290"/>
      <c r="S8" s="290"/>
    </row>
    <row r="9" spans="1:19" ht="18.95" customHeight="1" x14ac:dyDescent="0.3">
      <c r="A9" s="287" t="s">
        <v>262</v>
      </c>
      <c r="B9" s="288"/>
      <c r="C9" s="288"/>
      <c r="D9" s="288"/>
      <c r="E9" s="288"/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9"/>
    </row>
    <row r="10" spans="1:19" ht="18.95" customHeight="1" x14ac:dyDescent="0.3">
      <c r="A10" s="287"/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9"/>
    </row>
    <row r="11" spans="1:19" ht="18.95" customHeight="1" x14ac:dyDescent="0.3">
      <c r="A11" s="287" t="s">
        <v>265</v>
      </c>
      <c r="B11" s="288"/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9"/>
    </row>
    <row r="12" spans="1:19" ht="18.95" customHeight="1" x14ac:dyDescent="0.3">
      <c r="A12" s="287" t="s">
        <v>266</v>
      </c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  <c r="O12" s="288"/>
      <c r="P12" s="289"/>
    </row>
    <row r="13" spans="1:19" ht="18.95" customHeight="1" x14ac:dyDescent="0.3">
      <c r="A13" s="287"/>
      <c r="B13" s="288"/>
      <c r="C13" s="28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9"/>
    </row>
    <row r="14" spans="1:19" ht="18.95" customHeight="1" x14ac:dyDescent="0.3">
      <c r="A14" s="287" t="s">
        <v>263</v>
      </c>
      <c r="B14" s="288"/>
      <c r="C14" s="28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9"/>
    </row>
    <row r="15" spans="1:19" ht="18.95" customHeight="1" x14ac:dyDescent="0.3">
      <c r="A15" s="287"/>
      <c r="B15" s="288"/>
      <c r="C15" s="288"/>
      <c r="D15" s="288"/>
      <c r="E15" s="288"/>
      <c r="F15" s="288"/>
      <c r="G15" s="288"/>
      <c r="H15" s="288"/>
      <c r="I15" s="288"/>
      <c r="J15" s="288"/>
      <c r="K15" s="288"/>
      <c r="L15" s="288"/>
      <c r="M15" s="288"/>
      <c r="N15" s="288"/>
      <c r="O15" s="288"/>
      <c r="P15" s="289"/>
    </row>
    <row r="16" spans="1:19" ht="18.95" customHeight="1" x14ac:dyDescent="0.3">
      <c r="A16" s="287" t="s">
        <v>264</v>
      </c>
      <c r="B16" s="288"/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9"/>
    </row>
    <row r="17" spans="1:16" ht="18.95" customHeight="1" x14ac:dyDescent="0.3">
      <c r="A17" s="287"/>
      <c r="B17" s="288"/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9"/>
    </row>
    <row r="18" spans="1:16" ht="18.95" customHeight="1" x14ac:dyDescent="0.3">
      <c r="A18" s="287"/>
      <c r="B18" s="288"/>
      <c r="C18" s="288"/>
      <c r="D18" s="288"/>
      <c r="E18" s="288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9"/>
    </row>
    <row r="19" spans="1:16" ht="18.95" customHeight="1" x14ac:dyDescent="0.3">
      <c r="A19" s="287"/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9"/>
    </row>
    <row r="20" spans="1:16" ht="18.95" customHeight="1" x14ac:dyDescent="0.3">
      <c r="A20" s="287"/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9"/>
    </row>
    <row r="21" spans="1:16" ht="18.95" customHeight="1" x14ac:dyDescent="0.3">
      <c r="A21" s="287"/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9"/>
    </row>
    <row r="22" spans="1:16" ht="18.95" customHeight="1" x14ac:dyDescent="0.3">
      <c r="A22" s="287"/>
      <c r="B22" s="288"/>
      <c r="C22" s="288"/>
      <c r="D22" s="288"/>
      <c r="E22" s="288"/>
      <c r="F22" s="288"/>
      <c r="G22" s="288"/>
      <c r="H22" s="288"/>
      <c r="I22" s="288"/>
      <c r="J22" s="288"/>
      <c r="K22" s="288"/>
      <c r="L22" s="288"/>
      <c r="M22" s="288"/>
      <c r="N22" s="288"/>
      <c r="O22" s="288"/>
      <c r="P22" s="289"/>
    </row>
    <row r="23" spans="1:16" ht="18.95" customHeight="1" x14ac:dyDescent="0.3">
      <c r="A23" s="287"/>
      <c r="B23" s="288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9"/>
    </row>
    <row r="24" spans="1:16" ht="18.95" customHeight="1" x14ac:dyDescent="0.3">
      <c r="A24" s="287"/>
      <c r="B24" s="288"/>
      <c r="C24" s="288"/>
      <c r="D24" s="288"/>
      <c r="E24" s="288"/>
      <c r="F24" s="288"/>
      <c r="G24" s="288"/>
      <c r="H24" s="288"/>
      <c r="I24" s="288"/>
      <c r="J24" s="288"/>
      <c r="K24" s="288"/>
      <c r="L24" s="288"/>
      <c r="M24" s="288"/>
      <c r="N24" s="288"/>
      <c r="O24" s="288"/>
      <c r="P24" s="289"/>
    </row>
    <row r="25" spans="1:16" ht="18.95" customHeight="1" x14ac:dyDescent="0.3">
      <c r="A25" s="287"/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9"/>
    </row>
    <row r="26" spans="1:16" ht="18.95" customHeight="1" x14ac:dyDescent="0.3">
      <c r="A26" s="287"/>
      <c r="B26" s="288"/>
      <c r="C26" s="288"/>
      <c r="D26" s="288"/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9"/>
    </row>
    <row r="27" spans="1:16" ht="18.95" customHeight="1" x14ac:dyDescent="0.3">
      <c r="A27" s="287"/>
      <c r="B27" s="288"/>
      <c r="C27" s="288"/>
      <c r="D27" s="288"/>
      <c r="E27" s="288"/>
      <c r="F27" s="288"/>
      <c r="G27" s="288"/>
      <c r="H27" s="288"/>
      <c r="I27" s="288"/>
      <c r="J27" s="288"/>
      <c r="K27" s="288"/>
      <c r="L27" s="288"/>
      <c r="M27" s="288"/>
      <c r="N27" s="288"/>
      <c r="O27" s="288"/>
      <c r="P27" s="289"/>
    </row>
    <row r="28" spans="1:16" ht="18.95" customHeight="1" x14ac:dyDescent="0.3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8"/>
      <c r="P28" s="289"/>
    </row>
    <row r="29" spans="1:16" ht="18.95" customHeight="1" x14ac:dyDescent="0.3">
      <c r="A29" s="287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289"/>
    </row>
    <row r="30" spans="1:16" ht="18.95" customHeight="1" x14ac:dyDescent="0.3">
      <c r="A30" s="287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9"/>
    </row>
    <row r="31" spans="1:16" ht="18.95" customHeight="1" x14ac:dyDescent="0.3">
      <c r="A31" s="287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9"/>
    </row>
    <row r="32" spans="1:16" ht="18.95" customHeight="1" x14ac:dyDescent="0.3">
      <c r="A32" s="287"/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9"/>
    </row>
    <row r="33" spans="1:16" ht="21" customHeight="1" x14ac:dyDescent="0.3">
      <c r="A33" s="287"/>
      <c r="B33" s="288"/>
      <c r="C33" s="288"/>
      <c r="D33" s="288"/>
      <c r="E33" s="288"/>
      <c r="F33" s="288"/>
      <c r="G33" s="288"/>
      <c r="H33" s="288"/>
      <c r="I33" s="288"/>
      <c r="J33" s="288"/>
      <c r="K33" s="288"/>
      <c r="L33" s="288"/>
      <c r="M33" s="288"/>
      <c r="N33" s="288"/>
      <c r="O33" s="288"/>
      <c r="P33" s="289"/>
    </row>
    <row r="34" spans="1:16" ht="21" customHeight="1" x14ac:dyDescent="0.3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8"/>
      <c r="P34" s="289"/>
    </row>
    <row r="35" spans="1:16" ht="21" customHeight="1" x14ac:dyDescent="0.3">
      <c r="A35" s="287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8"/>
      <c r="P35" s="289"/>
    </row>
    <row r="36" spans="1:16" ht="21" customHeight="1" x14ac:dyDescent="0.3">
      <c r="A36" s="287"/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9"/>
    </row>
    <row r="37" spans="1:16" ht="21" customHeight="1" x14ac:dyDescent="0.3">
      <c r="A37" s="287"/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9"/>
    </row>
    <row r="38" spans="1:16" ht="21" customHeight="1" x14ac:dyDescent="0.3">
      <c r="A38" s="287"/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9"/>
    </row>
    <row r="39" spans="1:16" ht="21" customHeight="1" x14ac:dyDescent="0.3">
      <c r="A39" s="287"/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9"/>
    </row>
    <row r="40" spans="1:16" ht="21" customHeight="1" x14ac:dyDescent="0.3">
      <c r="A40" s="287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88"/>
      <c r="P40" s="289"/>
    </row>
    <row r="41" spans="1:16" ht="21" customHeight="1" x14ac:dyDescent="0.3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9"/>
    </row>
    <row r="42" spans="1:16" ht="21" customHeight="1" x14ac:dyDescent="0.3">
      <c r="A42" s="291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3"/>
    </row>
    <row r="44" spans="1:16" ht="18" customHeight="1" x14ac:dyDescent="0.3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</row>
    <row r="45" spans="1:16" ht="18" customHeight="1" x14ac:dyDescent="0.3">
      <c r="A45" s="294"/>
      <c r="B45" s="294"/>
      <c r="C45" s="294"/>
      <c r="D45" s="294"/>
      <c r="E45" s="294"/>
      <c r="F45" s="294"/>
    </row>
    <row r="46" spans="1:16" ht="18" customHeight="1" x14ac:dyDescent="0.3">
      <c r="A46" s="294"/>
      <c r="B46" s="294"/>
      <c r="C46" s="294"/>
      <c r="D46" s="294"/>
      <c r="E46" s="294"/>
      <c r="F46" s="294"/>
    </row>
    <row r="47" spans="1:16" ht="18" customHeight="1" x14ac:dyDescent="0.3">
      <c r="A47" s="294"/>
      <c r="B47" s="294"/>
      <c r="C47" s="294"/>
      <c r="D47" s="294"/>
      <c r="E47" s="294"/>
      <c r="F47" s="294"/>
    </row>
    <row r="48" spans="1:16" ht="18" customHeight="1" x14ac:dyDescent="0.3">
      <c r="A48" s="294"/>
      <c r="B48" s="294"/>
      <c r="C48" s="294"/>
      <c r="D48" s="294"/>
      <c r="E48" s="294"/>
      <c r="F48" s="294"/>
    </row>
    <row r="49" spans="1:6" ht="18" customHeight="1" x14ac:dyDescent="0.3">
      <c r="A49" s="294"/>
      <c r="B49" s="294"/>
      <c r="C49" s="294"/>
      <c r="D49" s="294"/>
      <c r="E49" s="294"/>
      <c r="F49" s="294"/>
    </row>
    <row r="50" spans="1:6" ht="18" customHeight="1" x14ac:dyDescent="0.3">
      <c r="A50" s="294"/>
      <c r="B50" s="294"/>
      <c r="C50" s="294"/>
      <c r="D50" s="294"/>
      <c r="E50" s="294"/>
      <c r="F50" s="294"/>
    </row>
    <row r="51" spans="1:6" ht="18" customHeight="1" x14ac:dyDescent="0.3">
      <c r="A51" s="294"/>
      <c r="B51" s="294"/>
      <c r="C51" s="294"/>
      <c r="D51" s="294"/>
      <c r="E51" s="294"/>
      <c r="F51" s="294"/>
    </row>
    <row r="52" spans="1:6" ht="18" customHeight="1" x14ac:dyDescent="0.3">
      <c r="A52" s="294"/>
      <c r="B52" s="294"/>
      <c r="C52" s="294"/>
      <c r="D52" s="294"/>
      <c r="E52" s="294"/>
      <c r="F52" s="294"/>
    </row>
    <row r="53" spans="1:6" ht="18" customHeight="1" x14ac:dyDescent="0.3">
      <c r="A53" s="294"/>
      <c r="B53" s="294"/>
      <c r="C53" s="294"/>
      <c r="D53" s="294"/>
      <c r="E53" s="294"/>
      <c r="F53" s="294"/>
    </row>
    <row r="54" spans="1:6" ht="18" customHeight="1" x14ac:dyDescent="0.3">
      <c r="A54" s="294"/>
      <c r="B54" s="294"/>
      <c r="C54" s="294"/>
      <c r="D54" s="294"/>
      <c r="E54" s="294"/>
      <c r="F54" s="294"/>
    </row>
    <row r="55" spans="1:6" ht="18" customHeight="1" x14ac:dyDescent="0.3">
      <c r="A55" s="294"/>
      <c r="B55" s="294"/>
      <c r="C55" s="294"/>
      <c r="D55" s="294"/>
      <c r="E55" s="294"/>
      <c r="F55" s="294"/>
    </row>
    <row r="56" spans="1:6" ht="18" customHeight="1" x14ac:dyDescent="0.3">
      <c r="A56" s="294"/>
      <c r="B56" s="294"/>
      <c r="C56" s="294"/>
      <c r="D56" s="294"/>
      <c r="E56" s="294"/>
      <c r="F56" s="294"/>
    </row>
    <row r="57" spans="1:6" ht="18" customHeight="1" x14ac:dyDescent="0.3">
      <c r="A57" s="294"/>
      <c r="B57" s="294"/>
      <c r="C57" s="294"/>
      <c r="D57" s="294"/>
      <c r="E57" s="294"/>
      <c r="F57" s="294"/>
    </row>
    <row r="58" spans="1:6" ht="18" customHeight="1" x14ac:dyDescent="0.3">
      <c r="A58" s="294"/>
      <c r="B58" s="294"/>
      <c r="C58" s="294"/>
      <c r="D58" s="294"/>
      <c r="E58" s="294"/>
      <c r="F58" s="294"/>
    </row>
    <row r="59" spans="1:6" ht="18" customHeight="1" x14ac:dyDescent="0.3">
      <c r="A59" s="294"/>
      <c r="B59" s="294"/>
      <c r="C59" s="294"/>
      <c r="D59" s="294"/>
      <c r="E59" s="294"/>
      <c r="F59" s="294"/>
    </row>
    <row r="60" spans="1:6" ht="18" customHeight="1" x14ac:dyDescent="0.3">
      <c r="A60" s="294"/>
      <c r="B60" s="294"/>
      <c r="C60" s="294"/>
      <c r="D60" s="294"/>
      <c r="E60" s="294"/>
      <c r="F60" s="294"/>
    </row>
    <row r="61" spans="1:6" ht="18" customHeight="1" x14ac:dyDescent="0.3">
      <c r="A61" s="294"/>
      <c r="B61" s="294"/>
      <c r="C61" s="294"/>
      <c r="D61" s="294"/>
      <c r="E61" s="294"/>
      <c r="F61" s="294"/>
    </row>
  </sheetData>
  <mergeCells count="1">
    <mergeCell ref="A2:P2"/>
  </mergeCells>
  <pageMargins left="0.66666666666666663" right="0.51181102362204722" top="0.15748031496062992" bottom="0.15748031496062992" header="0.31496062992125984" footer="0.31496062992125984"/>
  <pageSetup paperSize="9" scale="97" orientation="portrait" useFirstPageNumber="1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K85"/>
  <sheetViews>
    <sheetView view="pageBreakPreview" zoomScale="120" zoomScaleNormal="130" workbookViewId="0">
      <selection activeCell="K1" sqref="K1"/>
    </sheetView>
  </sheetViews>
  <sheetFormatPr defaultColWidth="9.125" defaultRowHeight="18.95" customHeight="1" x14ac:dyDescent="0.3"/>
  <cols>
    <col min="1" max="1" width="3.75" style="25" customWidth="1"/>
    <col min="2" max="3" width="9.125" style="25" customWidth="1"/>
    <col min="4" max="4" width="12.25" style="25" customWidth="1"/>
    <col min="5" max="5" width="10.75" style="25" customWidth="1"/>
    <col min="6" max="6" width="9.125" style="25" customWidth="1"/>
    <col min="7" max="7" width="12.875" style="25" customWidth="1"/>
    <col min="8" max="9" width="9.125" style="25" customWidth="1"/>
    <col min="10" max="10" width="5.125" style="25" customWidth="1"/>
    <col min="11" max="11" width="3.5" style="25" customWidth="1"/>
    <col min="12" max="12" width="9.125" style="25" customWidth="1"/>
    <col min="13" max="16384" width="9.125" style="25"/>
  </cols>
  <sheetData>
    <row r="1" spans="1:11" ht="18.95" customHeight="1" x14ac:dyDescent="0.35">
      <c r="A1" s="295"/>
      <c r="B1" s="462" t="s">
        <v>137</v>
      </c>
      <c r="C1" s="462"/>
      <c r="D1" s="462"/>
      <c r="E1" s="462"/>
      <c r="F1" s="462"/>
      <c r="G1" s="462"/>
      <c r="H1" s="462"/>
      <c r="I1" s="462"/>
      <c r="J1" s="462"/>
      <c r="K1" s="296">
        <v>11</v>
      </c>
    </row>
    <row r="2" spans="1:11" s="297" customFormat="1" ht="17.100000000000001" customHeight="1" x14ac:dyDescent="0.25">
      <c r="A2" s="463" t="s">
        <v>138</v>
      </c>
      <c r="B2" s="463"/>
      <c r="C2" s="463"/>
      <c r="D2" s="463"/>
    </row>
    <row r="3" spans="1:11" s="297" customFormat="1" ht="17.100000000000001" customHeight="1" x14ac:dyDescent="0.25">
      <c r="A3" s="299">
        <v>1</v>
      </c>
      <c r="B3" s="300" t="s">
        <v>139</v>
      </c>
      <c r="C3" s="300"/>
      <c r="D3" s="300"/>
      <c r="E3" s="300"/>
      <c r="F3" s="300"/>
      <c r="G3" s="300"/>
      <c r="H3" s="300"/>
      <c r="I3" s="300"/>
      <c r="J3" s="300"/>
    </row>
    <row r="4" spans="1:11" s="297" customFormat="1" ht="17.100000000000001" customHeight="1" x14ac:dyDescent="0.25">
      <c r="A4" s="299">
        <v>2</v>
      </c>
      <c r="B4" s="300" t="s">
        <v>140</v>
      </c>
      <c r="C4" s="300"/>
      <c r="D4" s="300"/>
      <c r="E4" s="300"/>
      <c r="F4" s="300"/>
      <c r="G4" s="300"/>
      <c r="H4" s="300"/>
      <c r="I4" s="300"/>
      <c r="J4" s="300"/>
    </row>
    <row r="5" spans="1:11" s="297" customFormat="1" ht="17.100000000000001" customHeight="1" x14ac:dyDescent="0.25">
      <c r="A5" s="299"/>
      <c r="B5" s="300" t="s">
        <v>141</v>
      </c>
      <c r="C5" s="300"/>
      <c r="D5" s="300"/>
      <c r="E5" s="300"/>
      <c r="F5" s="300"/>
      <c r="G5" s="300"/>
      <c r="H5" s="300"/>
      <c r="I5" s="300"/>
      <c r="J5" s="300"/>
    </row>
    <row r="6" spans="1:11" s="297" customFormat="1" ht="17.100000000000001" customHeight="1" x14ac:dyDescent="0.25">
      <c r="A6" s="300"/>
      <c r="B6" s="300" t="s">
        <v>142</v>
      </c>
      <c r="C6" s="300"/>
      <c r="D6" s="300"/>
      <c r="E6" s="300"/>
      <c r="F6" s="300"/>
      <c r="G6" s="300"/>
      <c r="H6" s="300"/>
      <c r="I6" s="300"/>
      <c r="J6" s="300"/>
    </row>
    <row r="7" spans="1:11" s="297" customFormat="1" ht="17.100000000000001" customHeight="1" x14ac:dyDescent="0.25">
      <c r="A7" s="299"/>
      <c r="B7" s="300" t="s">
        <v>143</v>
      </c>
      <c r="C7" s="300"/>
      <c r="D7" s="300"/>
      <c r="E7" s="300"/>
      <c r="F7" s="300"/>
      <c r="G7" s="300"/>
      <c r="H7" s="300"/>
      <c r="I7" s="300"/>
      <c r="J7" s="300"/>
    </row>
    <row r="8" spans="1:11" s="297" customFormat="1" ht="17.100000000000001" customHeight="1" x14ac:dyDescent="0.25">
      <c r="A8" s="299"/>
      <c r="B8" s="300" t="s">
        <v>144</v>
      </c>
      <c r="C8" s="300"/>
      <c r="D8" s="300"/>
      <c r="E8" s="300"/>
      <c r="F8" s="300"/>
      <c r="G8" s="300"/>
      <c r="H8" s="300"/>
      <c r="I8" s="300"/>
      <c r="J8" s="300"/>
    </row>
    <row r="9" spans="1:11" s="297" customFormat="1" ht="17.100000000000001" customHeight="1" x14ac:dyDescent="0.25">
      <c r="A9" s="299"/>
      <c r="B9" s="300" t="s">
        <v>145</v>
      </c>
      <c r="C9" s="300"/>
      <c r="D9" s="300"/>
      <c r="E9" s="300"/>
      <c r="F9" s="300"/>
      <c r="G9" s="300"/>
      <c r="H9" s="300"/>
      <c r="I9" s="300"/>
      <c r="J9" s="300"/>
    </row>
    <row r="10" spans="1:11" s="297" customFormat="1" ht="17.100000000000001" customHeight="1" x14ac:dyDescent="0.25">
      <c r="A10" s="299"/>
      <c r="B10" s="300" t="s">
        <v>146</v>
      </c>
      <c r="C10" s="300"/>
      <c r="D10" s="300"/>
      <c r="E10" s="300"/>
      <c r="F10" s="300"/>
      <c r="G10" s="300"/>
      <c r="H10" s="300"/>
      <c r="I10" s="300"/>
      <c r="J10" s="300"/>
    </row>
    <row r="11" spans="1:11" s="297" customFormat="1" ht="17.100000000000001" customHeight="1" x14ac:dyDescent="0.25">
      <c r="A11" s="463" t="s">
        <v>147</v>
      </c>
      <c r="B11" s="463"/>
      <c r="C11" s="463"/>
      <c r="D11" s="463"/>
      <c r="E11" s="463"/>
      <c r="F11" s="300"/>
      <c r="G11" s="300"/>
      <c r="H11" s="300"/>
      <c r="I11" s="300"/>
      <c r="J11" s="300"/>
    </row>
    <row r="12" spans="1:11" s="297" customFormat="1" ht="17.100000000000001" customHeight="1" x14ac:dyDescent="0.25">
      <c r="A12" s="299">
        <v>1</v>
      </c>
      <c r="B12" s="301" t="s">
        <v>148</v>
      </c>
      <c r="C12" s="298"/>
      <c r="D12" s="298"/>
      <c r="E12" s="298"/>
      <c r="F12" s="300"/>
      <c r="G12" s="300"/>
      <c r="H12" s="300"/>
      <c r="I12" s="300"/>
      <c r="J12" s="300"/>
    </row>
    <row r="13" spans="1:11" s="297" customFormat="1" ht="17.100000000000001" customHeight="1" x14ac:dyDescent="0.25">
      <c r="A13" s="299">
        <v>2</v>
      </c>
      <c r="B13" s="300" t="s">
        <v>149</v>
      </c>
      <c r="C13" s="300"/>
      <c r="D13" s="300"/>
      <c r="E13" s="300"/>
      <c r="F13" s="300"/>
      <c r="G13" s="300"/>
      <c r="H13" s="300"/>
      <c r="I13" s="300"/>
      <c r="J13" s="300"/>
    </row>
    <row r="14" spans="1:11" s="297" customFormat="1" ht="17.100000000000001" customHeight="1" x14ac:dyDescent="0.25">
      <c r="A14" s="299"/>
      <c r="B14" s="300" t="s">
        <v>150</v>
      </c>
      <c r="C14" s="300"/>
      <c r="D14" s="300"/>
      <c r="E14" s="300"/>
      <c r="F14" s="300"/>
      <c r="G14" s="300"/>
      <c r="H14" s="300"/>
      <c r="I14" s="300"/>
      <c r="J14" s="300"/>
    </row>
    <row r="15" spans="1:11" s="297" customFormat="1" ht="17.100000000000001" customHeight="1" x14ac:dyDescent="0.25">
      <c r="A15" s="299">
        <v>3</v>
      </c>
      <c r="B15" s="300" t="s">
        <v>151</v>
      </c>
      <c r="C15" s="300"/>
      <c r="D15" s="300"/>
      <c r="E15" s="300"/>
      <c r="F15" s="300"/>
      <c r="G15" s="300"/>
      <c r="H15" s="300"/>
      <c r="I15" s="300"/>
      <c r="J15" s="300"/>
    </row>
    <row r="16" spans="1:11" s="297" customFormat="1" ht="17.100000000000001" customHeight="1" x14ac:dyDescent="0.25">
      <c r="A16" s="299"/>
      <c r="B16" s="300" t="s">
        <v>152</v>
      </c>
      <c r="C16" s="300"/>
      <c r="D16" s="300"/>
      <c r="E16" s="300"/>
      <c r="F16" s="300"/>
      <c r="G16" s="300"/>
      <c r="H16" s="300"/>
      <c r="I16" s="300"/>
      <c r="J16" s="300"/>
    </row>
    <row r="17" spans="1:10" s="297" customFormat="1" ht="17.100000000000001" customHeight="1" x14ac:dyDescent="0.25">
      <c r="A17" s="299"/>
      <c r="B17" s="300" t="s">
        <v>153</v>
      </c>
      <c r="C17" s="300"/>
      <c r="D17" s="300"/>
      <c r="E17" s="300"/>
      <c r="F17" s="300"/>
      <c r="G17" s="300"/>
      <c r="H17" s="300"/>
      <c r="I17" s="300"/>
      <c r="J17" s="300"/>
    </row>
    <row r="18" spans="1:10" s="297" customFormat="1" ht="17.100000000000001" customHeight="1" x14ac:dyDescent="0.25">
      <c r="A18" s="299"/>
      <c r="B18" s="300" t="s">
        <v>154</v>
      </c>
      <c r="C18" s="300"/>
      <c r="D18" s="300"/>
      <c r="E18" s="300"/>
      <c r="F18" s="300"/>
      <c r="G18" s="300"/>
      <c r="H18" s="300"/>
      <c r="I18" s="300"/>
      <c r="J18" s="300"/>
    </row>
    <row r="19" spans="1:10" s="297" customFormat="1" ht="17.100000000000001" customHeight="1" x14ac:dyDescent="0.25">
      <c r="A19" s="299"/>
      <c r="B19" s="300" t="s">
        <v>155</v>
      </c>
      <c r="C19" s="300"/>
      <c r="D19" s="300"/>
      <c r="E19" s="300"/>
      <c r="F19" s="300"/>
      <c r="G19" s="300"/>
      <c r="H19" s="300"/>
      <c r="I19" s="300"/>
      <c r="J19" s="300"/>
    </row>
    <row r="20" spans="1:10" s="297" customFormat="1" ht="17.100000000000001" customHeight="1" x14ac:dyDescent="0.25">
      <c r="A20" s="299"/>
      <c r="B20" s="300" t="s">
        <v>156</v>
      </c>
      <c r="C20" s="300"/>
      <c r="D20" s="300"/>
      <c r="E20" s="300"/>
      <c r="F20" s="300"/>
      <c r="G20" s="300"/>
      <c r="H20" s="300"/>
      <c r="I20" s="300"/>
      <c r="J20" s="300"/>
    </row>
    <row r="21" spans="1:10" s="297" customFormat="1" ht="17.100000000000001" customHeight="1" x14ac:dyDescent="0.25">
      <c r="A21" s="299">
        <v>4</v>
      </c>
      <c r="B21" s="300" t="s">
        <v>157</v>
      </c>
      <c r="C21" s="300"/>
      <c r="D21" s="300"/>
      <c r="E21" s="300"/>
      <c r="F21" s="300"/>
      <c r="G21" s="300"/>
      <c r="H21" s="300"/>
      <c r="I21" s="300"/>
      <c r="J21" s="300"/>
    </row>
    <row r="22" spans="1:10" s="297" customFormat="1" ht="17.100000000000001" customHeight="1" x14ac:dyDescent="0.25">
      <c r="A22" s="299">
        <v>5</v>
      </c>
      <c r="B22" s="300" t="s">
        <v>158</v>
      </c>
      <c r="C22" s="300"/>
      <c r="D22" s="300"/>
      <c r="E22" s="300"/>
      <c r="F22" s="300"/>
      <c r="G22" s="300"/>
      <c r="H22" s="300"/>
      <c r="I22" s="300"/>
      <c r="J22" s="300"/>
    </row>
    <row r="23" spans="1:10" s="297" customFormat="1" ht="17.100000000000001" customHeight="1" x14ac:dyDescent="0.25">
      <c r="A23" s="299"/>
      <c r="B23" s="300"/>
      <c r="C23" s="300"/>
      <c r="D23" s="464" t="s">
        <v>159</v>
      </c>
      <c r="E23" s="465"/>
      <c r="F23" s="464" t="s">
        <v>160</v>
      </c>
      <c r="G23" s="465"/>
      <c r="H23" s="300"/>
      <c r="I23" s="300"/>
      <c r="J23" s="300"/>
    </row>
    <row r="24" spans="1:10" s="297" customFormat="1" ht="17.100000000000001" customHeight="1" x14ac:dyDescent="0.25">
      <c r="A24" s="299"/>
      <c r="B24" s="300"/>
      <c r="C24" s="300"/>
      <c r="D24" s="464" t="s">
        <v>161</v>
      </c>
      <c r="E24" s="465"/>
      <c r="F24" s="464">
        <v>4</v>
      </c>
      <c r="G24" s="465"/>
      <c r="H24" s="300"/>
      <c r="I24" s="300"/>
      <c r="J24" s="300"/>
    </row>
    <row r="25" spans="1:10" s="297" customFormat="1" ht="17.100000000000001" customHeight="1" x14ac:dyDescent="0.25">
      <c r="A25" s="299"/>
      <c r="B25" s="300"/>
      <c r="C25" s="300"/>
      <c r="D25" s="464" t="s">
        <v>162</v>
      </c>
      <c r="E25" s="465"/>
      <c r="F25" s="464">
        <v>3.5</v>
      </c>
      <c r="G25" s="465"/>
      <c r="H25" s="300"/>
      <c r="I25" s="300"/>
      <c r="J25" s="300"/>
    </row>
    <row r="26" spans="1:10" s="297" customFormat="1" ht="17.100000000000001" customHeight="1" x14ac:dyDescent="0.25">
      <c r="A26" s="299"/>
      <c r="B26" s="300"/>
      <c r="C26" s="300"/>
      <c r="D26" s="464" t="s">
        <v>163</v>
      </c>
      <c r="E26" s="465"/>
      <c r="F26" s="464">
        <v>3</v>
      </c>
      <c r="G26" s="465"/>
      <c r="H26" s="300"/>
      <c r="I26" s="300"/>
      <c r="J26" s="300"/>
    </row>
    <row r="27" spans="1:10" s="297" customFormat="1" ht="17.100000000000001" customHeight="1" x14ac:dyDescent="0.25">
      <c r="A27" s="299"/>
      <c r="B27" s="300"/>
      <c r="C27" s="300"/>
      <c r="D27" s="464" t="s">
        <v>164</v>
      </c>
      <c r="E27" s="465"/>
      <c r="F27" s="464">
        <v>2.5</v>
      </c>
      <c r="G27" s="465"/>
      <c r="H27" s="300"/>
      <c r="I27" s="300"/>
      <c r="J27" s="300"/>
    </row>
    <row r="28" spans="1:10" s="297" customFormat="1" ht="17.100000000000001" customHeight="1" x14ac:dyDescent="0.25">
      <c r="A28" s="299"/>
      <c r="B28" s="300"/>
      <c r="C28" s="300"/>
      <c r="D28" s="464" t="s">
        <v>165</v>
      </c>
      <c r="E28" s="465"/>
      <c r="F28" s="464">
        <v>2</v>
      </c>
      <c r="G28" s="465"/>
      <c r="H28" s="300"/>
      <c r="I28" s="300"/>
      <c r="J28" s="300"/>
    </row>
    <row r="29" spans="1:10" s="297" customFormat="1" ht="17.100000000000001" customHeight="1" x14ac:dyDescent="0.25">
      <c r="A29" s="299"/>
      <c r="B29" s="300"/>
      <c r="C29" s="300"/>
      <c r="D29" s="464" t="s">
        <v>166</v>
      </c>
      <c r="E29" s="465"/>
      <c r="F29" s="464">
        <v>1.5</v>
      </c>
      <c r="G29" s="465"/>
      <c r="H29" s="300"/>
      <c r="I29" s="300"/>
      <c r="J29" s="300"/>
    </row>
    <row r="30" spans="1:10" s="297" customFormat="1" ht="17.100000000000001" customHeight="1" x14ac:dyDescent="0.25">
      <c r="A30" s="299"/>
      <c r="B30" s="300"/>
      <c r="C30" s="300"/>
      <c r="D30" s="466" t="s">
        <v>167</v>
      </c>
      <c r="E30" s="466"/>
      <c r="F30" s="466">
        <v>1</v>
      </c>
      <c r="G30" s="466"/>
      <c r="H30" s="300"/>
      <c r="I30" s="300"/>
      <c r="J30" s="300"/>
    </row>
    <row r="31" spans="1:10" s="297" customFormat="1" ht="17.100000000000001" customHeight="1" x14ac:dyDescent="0.25">
      <c r="A31" s="299"/>
      <c r="B31" s="300"/>
      <c r="C31" s="300"/>
      <c r="D31" s="466" t="s">
        <v>168</v>
      </c>
      <c r="E31" s="466"/>
      <c r="F31" s="466">
        <v>0</v>
      </c>
      <c r="G31" s="466"/>
      <c r="H31" s="300"/>
      <c r="I31" s="300"/>
      <c r="J31" s="300"/>
    </row>
    <row r="32" spans="1:10" s="297" customFormat="1" ht="17.100000000000001" customHeight="1" x14ac:dyDescent="0.25">
      <c r="A32" s="303">
        <v>6</v>
      </c>
      <c r="B32" s="304" t="s">
        <v>169</v>
      </c>
      <c r="C32" s="304"/>
      <c r="D32" s="304"/>
      <c r="E32" s="304"/>
      <c r="F32" s="304"/>
      <c r="G32" s="304"/>
      <c r="H32" s="304"/>
      <c r="I32" s="304"/>
      <c r="J32" s="300"/>
    </row>
    <row r="33" spans="1:10" s="300" customFormat="1" ht="17.100000000000001" customHeight="1" x14ac:dyDescent="0.25">
      <c r="A33" s="463" t="s">
        <v>170</v>
      </c>
      <c r="B33" s="463"/>
      <c r="C33" s="463"/>
      <c r="D33" s="463"/>
      <c r="E33" s="463"/>
    </row>
    <row r="34" spans="1:10" s="300" customFormat="1" ht="17.100000000000001" customHeight="1" x14ac:dyDescent="0.25">
      <c r="A34" s="299">
        <v>1</v>
      </c>
      <c r="B34" s="300" t="s">
        <v>171</v>
      </c>
    </row>
    <row r="35" spans="1:10" s="300" customFormat="1" ht="17.100000000000001" customHeight="1" x14ac:dyDescent="0.25">
      <c r="A35" s="299"/>
      <c r="B35" s="300" t="s">
        <v>172</v>
      </c>
    </row>
    <row r="36" spans="1:10" s="300" customFormat="1" ht="17.100000000000001" customHeight="1" x14ac:dyDescent="0.25">
      <c r="A36" s="299">
        <v>2</v>
      </c>
      <c r="B36" s="300" t="s">
        <v>173</v>
      </c>
    </row>
    <row r="37" spans="1:10" s="300" customFormat="1" ht="17.100000000000001" customHeight="1" x14ac:dyDescent="0.25">
      <c r="A37" s="299">
        <v>3</v>
      </c>
      <c r="B37" s="305" t="s">
        <v>174</v>
      </c>
    </row>
    <row r="38" spans="1:10" s="300" customFormat="1" ht="17.100000000000001" customHeight="1" x14ac:dyDescent="0.25">
      <c r="A38" s="299">
        <v>4</v>
      </c>
      <c r="B38" s="300" t="s">
        <v>175</v>
      </c>
    </row>
    <row r="39" spans="1:10" s="300" customFormat="1" ht="17.100000000000001" customHeight="1" x14ac:dyDescent="0.25">
      <c r="A39" s="299"/>
      <c r="B39" s="306"/>
      <c r="C39" s="302" t="s">
        <v>105</v>
      </c>
      <c r="D39" s="464" t="s">
        <v>176</v>
      </c>
      <c r="E39" s="467"/>
      <c r="F39" s="467"/>
      <c r="G39" s="467"/>
      <c r="H39" s="467"/>
      <c r="I39" s="465"/>
    </row>
    <row r="40" spans="1:10" s="300" customFormat="1" ht="17.100000000000001" customHeight="1" x14ac:dyDescent="0.25">
      <c r="A40" s="299"/>
      <c r="B40" s="306"/>
      <c r="C40" s="302">
        <v>3</v>
      </c>
      <c r="D40" s="468" t="s">
        <v>177</v>
      </c>
      <c r="E40" s="468"/>
      <c r="F40" s="468" t="s">
        <v>178</v>
      </c>
      <c r="G40" s="468"/>
      <c r="H40" s="468"/>
      <c r="I40" s="468"/>
    </row>
    <row r="41" spans="1:10" s="300" customFormat="1" ht="17.100000000000001" customHeight="1" x14ac:dyDescent="0.25">
      <c r="A41" s="299"/>
      <c r="B41" s="306"/>
      <c r="C41" s="302">
        <v>2</v>
      </c>
      <c r="D41" s="468" t="s">
        <v>179</v>
      </c>
      <c r="E41" s="468"/>
      <c r="F41" s="468" t="s">
        <v>180</v>
      </c>
      <c r="G41" s="468"/>
      <c r="H41" s="468"/>
      <c r="I41" s="468"/>
    </row>
    <row r="42" spans="1:10" s="300" customFormat="1" ht="17.100000000000001" customHeight="1" x14ac:dyDescent="0.25">
      <c r="A42" s="299"/>
      <c r="B42" s="306"/>
      <c r="C42" s="302">
        <v>1</v>
      </c>
      <c r="D42" s="300" t="s">
        <v>181</v>
      </c>
      <c r="F42" s="468" t="s">
        <v>182</v>
      </c>
      <c r="G42" s="468"/>
      <c r="H42" s="468"/>
      <c r="I42" s="468"/>
    </row>
    <row r="43" spans="1:10" s="300" customFormat="1" ht="16.5" customHeight="1" x14ac:dyDescent="0.25">
      <c r="A43" s="299"/>
      <c r="B43" s="306"/>
      <c r="C43" s="302">
        <v>0</v>
      </c>
      <c r="D43" s="468" t="s">
        <v>183</v>
      </c>
      <c r="E43" s="468"/>
      <c r="F43" s="468" t="s">
        <v>184</v>
      </c>
      <c r="G43" s="468"/>
      <c r="H43" s="468"/>
      <c r="I43" s="468"/>
    </row>
    <row r="44" spans="1:10" ht="21" customHeight="1" x14ac:dyDescent="0.3">
      <c r="A44" s="299">
        <v>5</v>
      </c>
      <c r="B44" s="300" t="s">
        <v>185</v>
      </c>
      <c r="C44" s="300"/>
      <c r="D44" s="300"/>
      <c r="E44" s="300"/>
      <c r="F44" s="300"/>
      <c r="G44" s="300"/>
      <c r="H44" s="300"/>
      <c r="I44" s="300"/>
      <c r="J44" s="300"/>
    </row>
    <row r="45" spans="1:10" ht="17.100000000000001" customHeight="1" x14ac:dyDescent="0.3">
      <c r="A45" s="299">
        <v>6</v>
      </c>
      <c r="B45" s="300" t="s">
        <v>186</v>
      </c>
      <c r="C45" s="300"/>
      <c r="D45" s="300"/>
      <c r="E45" s="300"/>
      <c r="F45" s="300"/>
      <c r="G45" s="300"/>
      <c r="H45" s="300"/>
      <c r="I45" s="300"/>
      <c r="J45" s="300"/>
    </row>
    <row r="46" spans="1:10" ht="17.100000000000001" customHeight="1" x14ac:dyDescent="0.3">
      <c r="A46" s="299">
        <v>7</v>
      </c>
      <c r="B46" s="300" t="s">
        <v>187</v>
      </c>
      <c r="C46" s="300"/>
      <c r="D46" s="300"/>
      <c r="E46" s="300"/>
      <c r="F46" s="300"/>
      <c r="G46" s="300"/>
      <c r="H46" s="300"/>
      <c r="I46" s="300"/>
      <c r="J46" s="300"/>
    </row>
    <row r="47" spans="1:10" ht="17.100000000000001" customHeight="1" x14ac:dyDescent="0.3"/>
    <row r="48" spans="1:10" ht="17.100000000000001" customHeight="1" x14ac:dyDescent="0.3"/>
    <row r="49" ht="17.100000000000001" customHeight="1" x14ac:dyDescent="0.3"/>
    <row r="50" ht="17.100000000000001" customHeight="1" x14ac:dyDescent="0.3"/>
    <row r="51" ht="17.100000000000001" customHeight="1" x14ac:dyDescent="0.3"/>
    <row r="52" ht="17.100000000000001" customHeight="1" x14ac:dyDescent="0.3"/>
    <row r="53" ht="17.100000000000001" customHeight="1" x14ac:dyDescent="0.3"/>
    <row r="54" ht="17.100000000000001" customHeight="1" x14ac:dyDescent="0.3"/>
    <row r="55" ht="17.100000000000001" customHeight="1" x14ac:dyDescent="0.3"/>
    <row r="56" ht="17.100000000000001" customHeight="1" x14ac:dyDescent="0.3"/>
    <row r="57" ht="17.100000000000001" customHeight="1" x14ac:dyDescent="0.3"/>
    <row r="58" ht="17.100000000000001" customHeight="1" x14ac:dyDescent="0.3"/>
    <row r="59" ht="17.100000000000001" customHeight="1" x14ac:dyDescent="0.3"/>
    <row r="60" ht="17.100000000000001" customHeight="1" x14ac:dyDescent="0.3"/>
    <row r="61" ht="17.100000000000001" customHeight="1" x14ac:dyDescent="0.3"/>
    <row r="62" ht="17.100000000000001" customHeight="1" x14ac:dyDescent="0.3"/>
    <row r="63" ht="17.100000000000001" customHeight="1" x14ac:dyDescent="0.3"/>
    <row r="64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8" ht="17.100000000000001" customHeight="1" x14ac:dyDescent="0.3"/>
    <row r="69" ht="17.100000000000001" customHeight="1" x14ac:dyDescent="0.3"/>
    <row r="70" ht="17.100000000000001" customHeight="1" x14ac:dyDescent="0.3"/>
    <row r="71" ht="17.100000000000001" customHeight="1" x14ac:dyDescent="0.3"/>
    <row r="72" ht="17.100000000000001" customHeight="1" x14ac:dyDescent="0.3"/>
    <row r="73" ht="17.100000000000001" customHeight="1" x14ac:dyDescent="0.3"/>
    <row r="74" ht="17.100000000000001" customHeight="1" x14ac:dyDescent="0.3"/>
    <row r="75" ht="17.100000000000001" customHeight="1" x14ac:dyDescent="0.3"/>
    <row r="76" ht="17.100000000000001" customHeight="1" x14ac:dyDescent="0.3"/>
    <row r="77" ht="17.100000000000001" customHeight="1" x14ac:dyDescent="0.3"/>
    <row r="78" ht="17.100000000000001" customHeight="1" x14ac:dyDescent="0.3"/>
    <row r="79" ht="17.100000000000001" customHeight="1" x14ac:dyDescent="0.3"/>
    <row r="80" ht="17.100000000000001" customHeight="1" x14ac:dyDescent="0.3"/>
    <row r="81" ht="17.100000000000001" customHeight="1" x14ac:dyDescent="0.3"/>
    <row r="82" ht="17.100000000000001" customHeight="1" x14ac:dyDescent="0.3"/>
    <row r="83" ht="17.100000000000001" customHeight="1" x14ac:dyDescent="0.3"/>
    <row r="84" ht="17.100000000000001" customHeight="1" x14ac:dyDescent="0.3"/>
    <row r="85" ht="17.100000000000001" customHeight="1" x14ac:dyDescent="0.3"/>
  </sheetData>
  <mergeCells count="30">
    <mergeCell ref="F42:I42"/>
    <mergeCell ref="D43:E43"/>
    <mergeCell ref="F43:I43"/>
    <mergeCell ref="D39:I39"/>
    <mergeCell ref="D40:E40"/>
    <mergeCell ref="F40:I40"/>
    <mergeCell ref="D41:E41"/>
    <mergeCell ref="F41:I41"/>
    <mergeCell ref="D30:E30"/>
    <mergeCell ref="F30:G30"/>
    <mergeCell ref="D31:E31"/>
    <mergeCell ref="F31:G31"/>
    <mergeCell ref="A33:E33"/>
    <mergeCell ref="D27:E27"/>
    <mergeCell ref="F27:G27"/>
    <mergeCell ref="D28:E28"/>
    <mergeCell ref="F28:G28"/>
    <mergeCell ref="D29:E29"/>
    <mergeCell ref="F29:G29"/>
    <mergeCell ref="D24:E24"/>
    <mergeCell ref="F24:G24"/>
    <mergeCell ref="D25:E25"/>
    <mergeCell ref="F25:G25"/>
    <mergeCell ref="D26:E26"/>
    <mergeCell ref="F26:G26"/>
    <mergeCell ref="B1:J1"/>
    <mergeCell ref="A2:D2"/>
    <mergeCell ref="A11:E11"/>
    <mergeCell ref="D23:E23"/>
    <mergeCell ref="F23:G23"/>
  </mergeCells>
  <pageMargins left="0.26041666666666669" right="0" top="0.35433070866141736" bottom="0.35433070866141736" header="0.31496062992125984" footer="0.31496062992125984"/>
  <pageSetup paperSize="9" orientation="portrait" useFirstPageNumber="1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L44"/>
  <sheetViews>
    <sheetView view="pageBreakPreview" zoomScale="130" zoomScaleNormal="100" workbookViewId="0">
      <selection activeCell="D12" sqref="D12"/>
    </sheetView>
  </sheetViews>
  <sheetFormatPr defaultColWidth="9.125" defaultRowHeight="17.100000000000001" customHeight="1" x14ac:dyDescent="0.25"/>
  <cols>
    <col min="1" max="1" width="3.75" style="300" customWidth="1"/>
    <col min="2" max="2" width="10.375" style="300" customWidth="1"/>
    <col min="3" max="3" width="9.125" style="300" customWidth="1"/>
    <col min="4" max="4" width="12.25" style="300" customWidth="1"/>
    <col min="5" max="6" width="9.125" style="300" customWidth="1"/>
    <col min="7" max="7" width="12.875" style="300" customWidth="1"/>
    <col min="8" max="9" width="9.125" style="300" customWidth="1"/>
    <col min="10" max="10" width="3.75" style="300" customWidth="1"/>
    <col min="11" max="11" width="3.625" style="300" customWidth="1"/>
    <col min="12" max="12" width="9.125" style="300" customWidth="1"/>
    <col min="13" max="16384" width="9.125" style="300"/>
  </cols>
  <sheetData>
    <row r="1" spans="1:12" ht="17.100000000000001" customHeight="1" x14ac:dyDescent="0.3">
      <c r="A1" s="25"/>
      <c r="J1" s="25">
        <v>12</v>
      </c>
      <c r="L1" s="306"/>
    </row>
    <row r="2" spans="1:12" ht="17.100000000000001" customHeight="1" x14ac:dyDescent="0.25">
      <c r="A2" s="463" t="s">
        <v>188</v>
      </c>
      <c r="B2" s="463"/>
      <c r="C2" s="463"/>
      <c r="D2" s="463"/>
      <c r="E2" s="463"/>
      <c r="F2" s="463"/>
      <c r="G2" s="463"/>
    </row>
    <row r="3" spans="1:12" ht="17.100000000000001" customHeight="1" x14ac:dyDescent="0.25">
      <c r="A3" s="299">
        <v>1</v>
      </c>
      <c r="B3" s="300" t="s">
        <v>189</v>
      </c>
    </row>
    <row r="4" spans="1:12" ht="17.100000000000001" customHeight="1" x14ac:dyDescent="0.25">
      <c r="A4" s="299">
        <v>2</v>
      </c>
      <c r="B4" s="300" t="s">
        <v>190</v>
      </c>
    </row>
    <row r="5" spans="1:12" ht="17.100000000000001" customHeight="1" x14ac:dyDescent="0.25">
      <c r="A5" s="299"/>
      <c r="B5" s="300" t="s">
        <v>191</v>
      </c>
    </row>
    <row r="6" spans="1:12" ht="17.100000000000001" customHeight="1" x14ac:dyDescent="0.25">
      <c r="A6" s="299">
        <v>3</v>
      </c>
      <c r="B6" s="300" t="s">
        <v>192</v>
      </c>
    </row>
    <row r="7" spans="1:12" ht="17.100000000000001" customHeight="1" x14ac:dyDescent="0.25">
      <c r="A7" s="299">
        <v>4</v>
      </c>
      <c r="B7" s="300" t="s">
        <v>193</v>
      </c>
    </row>
    <row r="8" spans="1:12" ht="17.100000000000001" customHeight="1" x14ac:dyDescent="0.25">
      <c r="A8" s="299">
        <v>5</v>
      </c>
      <c r="B8" s="300" t="s">
        <v>175</v>
      </c>
    </row>
    <row r="9" spans="1:12" ht="17.100000000000001" customHeight="1" x14ac:dyDescent="0.25">
      <c r="A9" s="299"/>
      <c r="B9" s="306"/>
      <c r="C9" s="302" t="s">
        <v>105</v>
      </c>
      <c r="D9" s="464" t="s">
        <v>176</v>
      </c>
      <c r="E9" s="467"/>
      <c r="F9" s="467"/>
      <c r="G9" s="467"/>
      <c r="H9" s="467"/>
      <c r="I9" s="465"/>
    </row>
    <row r="10" spans="1:12" ht="17.100000000000001" customHeight="1" x14ac:dyDescent="0.25">
      <c r="A10" s="299"/>
      <c r="B10" s="306"/>
      <c r="C10" s="302">
        <v>3</v>
      </c>
      <c r="D10" s="468" t="s">
        <v>177</v>
      </c>
      <c r="E10" s="468"/>
      <c r="F10" s="468" t="s">
        <v>194</v>
      </c>
      <c r="G10" s="468"/>
      <c r="H10" s="468"/>
      <c r="I10" s="468"/>
    </row>
    <row r="11" spans="1:12" ht="17.100000000000001" customHeight="1" x14ac:dyDescent="0.25">
      <c r="A11" s="299"/>
      <c r="B11" s="306"/>
      <c r="C11" s="302">
        <v>2</v>
      </c>
      <c r="D11" s="468" t="s">
        <v>179</v>
      </c>
      <c r="E11" s="468"/>
      <c r="F11" s="468" t="s">
        <v>195</v>
      </c>
      <c r="G11" s="468"/>
      <c r="H11" s="468"/>
      <c r="I11" s="468"/>
    </row>
    <row r="12" spans="1:12" ht="17.100000000000001" customHeight="1" x14ac:dyDescent="0.25">
      <c r="A12" s="299"/>
      <c r="B12" s="306"/>
      <c r="C12" s="302">
        <v>1</v>
      </c>
      <c r="D12" s="300" t="s">
        <v>181</v>
      </c>
      <c r="F12" s="468" t="s">
        <v>196</v>
      </c>
      <c r="G12" s="468"/>
      <c r="H12" s="468"/>
      <c r="I12" s="468"/>
    </row>
    <row r="13" spans="1:12" ht="17.100000000000001" customHeight="1" x14ac:dyDescent="0.25">
      <c r="A13" s="299"/>
      <c r="B13" s="306"/>
      <c r="C13" s="302">
        <v>0</v>
      </c>
      <c r="D13" s="468" t="s">
        <v>183</v>
      </c>
      <c r="E13" s="468"/>
      <c r="F13" s="468" t="s">
        <v>197</v>
      </c>
      <c r="G13" s="468"/>
      <c r="H13" s="468"/>
      <c r="I13" s="468"/>
    </row>
    <row r="14" spans="1:12" ht="17.100000000000001" customHeight="1" x14ac:dyDescent="0.25">
      <c r="A14" s="299">
        <v>6</v>
      </c>
      <c r="B14" s="300" t="s">
        <v>198</v>
      </c>
    </row>
    <row r="15" spans="1:12" ht="17.100000000000001" customHeight="1" x14ac:dyDescent="0.25">
      <c r="A15" s="299">
        <v>7</v>
      </c>
      <c r="B15" s="300" t="s">
        <v>199</v>
      </c>
    </row>
    <row r="16" spans="1:12" ht="17.100000000000001" customHeight="1" x14ac:dyDescent="0.25">
      <c r="A16" s="299">
        <v>8</v>
      </c>
      <c r="B16" s="300" t="s">
        <v>200</v>
      </c>
    </row>
    <row r="17" spans="1:10" ht="26.25" customHeight="1" x14ac:dyDescent="0.25">
      <c r="A17" s="469" t="s">
        <v>201</v>
      </c>
      <c r="B17" s="469"/>
      <c r="C17" s="469"/>
      <c r="D17" s="469"/>
      <c r="E17" s="469"/>
      <c r="F17" s="469"/>
      <c r="G17" s="469"/>
      <c r="H17" s="469"/>
      <c r="I17" s="469"/>
      <c r="J17" s="469"/>
    </row>
    <row r="18" spans="1:10" ht="17.100000000000001" customHeight="1" x14ac:dyDescent="0.25">
      <c r="A18" s="299"/>
      <c r="B18" s="466" t="s">
        <v>202</v>
      </c>
      <c r="C18" s="466"/>
      <c r="D18" s="466" t="s">
        <v>203</v>
      </c>
      <c r="E18" s="466"/>
      <c r="F18" s="466"/>
      <c r="G18" s="466"/>
      <c r="H18" s="466"/>
      <c r="I18" s="466"/>
    </row>
    <row r="19" spans="1:10" ht="17.100000000000001" customHeight="1" x14ac:dyDescent="0.25">
      <c r="A19" s="299"/>
      <c r="B19" s="468" t="s">
        <v>204</v>
      </c>
      <c r="C19" s="468"/>
      <c r="D19" s="470" t="s">
        <v>205</v>
      </c>
      <c r="E19" s="470"/>
      <c r="F19" s="470"/>
      <c r="G19" s="470"/>
      <c r="H19" s="470"/>
      <c r="I19" s="470"/>
    </row>
    <row r="20" spans="1:10" ht="17.100000000000001" customHeight="1" x14ac:dyDescent="0.25">
      <c r="A20" s="299"/>
      <c r="B20" s="468"/>
      <c r="C20" s="468"/>
      <c r="D20" s="470" t="s">
        <v>206</v>
      </c>
      <c r="E20" s="470"/>
      <c r="F20" s="470"/>
      <c r="G20" s="470"/>
      <c r="H20" s="470"/>
      <c r="I20" s="470"/>
    </row>
    <row r="21" spans="1:10" ht="17.100000000000001" customHeight="1" x14ac:dyDescent="0.25">
      <c r="A21" s="299"/>
      <c r="B21" s="468"/>
      <c r="C21" s="468"/>
      <c r="D21" s="471" t="s">
        <v>207</v>
      </c>
      <c r="E21" s="472"/>
      <c r="F21" s="472"/>
      <c r="G21" s="472"/>
      <c r="H21" s="472"/>
      <c r="I21" s="473"/>
    </row>
    <row r="22" spans="1:10" ht="17.100000000000001" customHeight="1" x14ac:dyDescent="0.25">
      <c r="B22" s="468"/>
      <c r="C22" s="468"/>
      <c r="D22" s="471" t="s">
        <v>208</v>
      </c>
      <c r="E22" s="472"/>
      <c r="F22" s="472"/>
      <c r="G22" s="472"/>
      <c r="H22" s="472"/>
      <c r="I22" s="473"/>
    </row>
    <row r="23" spans="1:10" ht="17.100000000000001" customHeight="1" x14ac:dyDescent="0.25">
      <c r="B23" s="468" t="s">
        <v>209</v>
      </c>
      <c r="C23" s="468"/>
      <c r="D23" s="471" t="s">
        <v>210</v>
      </c>
      <c r="E23" s="472"/>
      <c r="F23" s="472"/>
      <c r="G23" s="472"/>
      <c r="H23" s="472"/>
      <c r="I23" s="473"/>
    </row>
    <row r="24" spans="1:10" ht="17.100000000000001" customHeight="1" x14ac:dyDescent="0.25">
      <c r="B24" s="468"/>
      <c r="C24" s="468"/>
      <c r="D24" s="471" t="s">
        <v>211</v>
      </c>
      <c r="E24" s="472"/>
      <c r="F24" s="472"/>
      <c r="G24" s="472"/>
      <c r="H24" s="472"/>
      <c r="I24" s="473"/>
    </row>
    <row r="25" spans="1:10" ht="17.100000000000001" customHeight="1" x14ac:dyDescent="0.25">
      <c r="B25" s="468" t="s">
        <v>212</v>
      </c>
      <c r="C25" s="468"/>
      <c r="D25" s="471" t="s">
        <v>213</v>
      </c>
      <c r="E25" s="472"/>
      <c r="F25" s="472"/>
      <c r="G25" s="472"/>
      <c r="H25" s="472"/>
      <c r="I25" s="473"/>
    </row>
    <row r="26" spans="1:10" ht="17.100000000000001" customHeight="1" x14ac:dyDescent="0.25">
      <c r="B26" s="468" t="s">
        <v>214</v>
      </c>
      <c r="C26" s="468"/>
      <c r="D26" s="471" t="s">
        <v>215</v>
      </c>
      <c r="E26" s="472"/>
      <c r="F26" s="472"/>
      <c r="G26" s="472"/>
      <c r="H26" s="472"/>
      <c r="I26" s="473"/>
    </row>
    <row r="27" spans="1:10" ht="17.100000000000001" customHeight="1" x14ac:dyDescent="0.25">
      <c r="B27" s="468"/>
      <c r="C27" s="468"/>
      <c r="D27" s="471" t="s">
        <v>216</v>
      </c>
      <c r="E27" s="472"/>
      <c r="F27" s="472"/>
      <c r="G27" s="472"/>
      <c r="H27" s="472"/>
      <c r="I27" s="473"/>
    </row>
    <row r="28" spans="1:10" ht="17.100000000000001" customHeight="1" x14ac:dyDescent="0.25">
      <c r="B28" s="468"/>
      <c r="C28" s="468"/>
      <c r="D28" s="471" t="s">
        <v>217</v>
      </c>
      <c r="E28" s="472"/>
      <c r="F28" s="472"/>
      <c r="G28" s="472"/>
      <c r="H28" s="472"/>
      <c r="I28" s="473"/>
    </row>
    <row r="29" spans="1:10" ht="17.100000000000001" customHeight="1" x14ac:dyDescent="0.25">
      <c r="B29" s="468" t="s">
        <v>218</v>
      </c>
      <c r="C29" s="468"/>
      <c r="D29" s="471" t="s">
        <v>219</v>
      </c>
      <c r="E29" s="472"/>
      <c r="F29" s="472"/>
      <c r="G29" s="472"/>
      <c r="H29" s="472"/>
      <c r="I29" s="473"/>
    </row>
    <row r="30" spans="1:10" ht="17.100000000000001" customHeight="1" x14ac:dyDescent="0.25">
      <c r="B30" s="468"/>
      <c r="C30" s="468"/>
      <c r="D30" s="471" t="s">
        <v>220</v>
      </c>
      <c r="E30" s="472"/>
      <c r="F30" s="472"/>
      <c r="G30" s="472"/>
      <c r="H30" s="472"/>
      <c r="I30" s="473"/>
    </row>
    <row r="31" spans="1:10" ht="17.100000000000001" customHeight="1" x14ac:dyDescent="0.25">
      <c r="B31" s="468" t="s">
        <v>221</v>
      </c>
      <c r="C31" s="468"/>
      <c r="D31" s="471" t="s">
        <v>222</v>
      </c>
      <c r="E31" s="472"/>
      <c r="F31" s="472"/>
      <c r="G31" s="472"/>
      <c r="H31" s="472"/>
      <c r="I31" s="473"/>
    </row>
    <row r="32" spans="1:10" ht="17.100000000000001" customHeight="1" x14ac:dyDescent="0.25">
      <c r="B32" s="468"/>
      <c r="C32" s="468"/>
      <c r="D32" s="471" t="s">
        <v>223</v>
      </c>
      <c r="E32" s="472"/>
      <c r="F32" s="472"/>
      <c r="G32" s="472"/>
      <c r="H32" s="472"/>
      <c r="I32" s="473"/>
    </row>
    <row r="33" spans="2:9" ht="17.100000000000001" customHeight="1" x14ac:dyDescent="0.25">
      <c r="B33" s="468" t="s">
        <v>224</v>
      </c>
      <c r="C33" s="468"/>
      <c r="D33" s="471" t="s">
        <v>225</v>
      </c>
      <c r="E33" s="472"/>
      <c r="F33" s="472"/>
      <c r="G33" s="472"/>
      <c r="H33" s="472"/>
      <c r="I33" s="473"/>
    </row>
    <row r="34" spans="2:9" ht="17.100000000000001" customHeight="1" x14ac:dyDescent="0.25">
      <c r="B34" s="468"/>
      <c r="C34" s="468"/>
      <c r="D34" s="471" t="s">
        <v>226</v>
      </c>
      <c r="E34" s="472"/>
      <c r="F34" s="472"/>
      <c r="G34" s="472"/>
      <c r="H34" s="472"/>
      <c r="I34" s="473"/>
    </row>
    <row r="35" spans="2:9" ht="17.100000000000001" customHeight="1" x14ac:dyDescent="0.25">
      <c r="B35" s="468"/>
      <c r="C35" s="468"/>
      <c r="D35" s="471" t="s">
        <v>227</v>
      </c>
      <c r="E35" s="472"/>
      <c r="F35" s="472"/>
      <c r="G35" s="472"/>
      <c r="H35" s="472"/>
      <c r="I35" s="473"/>
    </row>
    <row r="36" spans="2:9" ht="17.100000000000001" customHeight="1" x14ac:dyDescent="0.25">
      <c r="B36" s="468" t="s">
        <v>228</v>
      </c>
      <c r="C36" s="468"/>
      <c r="D36" s="471" t="s">
        <v>229</v>
      </c>
      <c r="E36" s="472"/>
      <c r="F36" s="472"/>
      <c r="G36" s="472"/>
      <c r="H36" s="472"/>
      <c r="I36" s="473"/>
    </row>
    <row r="37" spans="2:9" ht="17.100000000000001" customHeight="1" x14ac:dyDescent="0.25">
      <c r="B37" s="468"/>
      <c r="C37" s="468"/>
      <c r="D37" s="471" t="s">
        <v>230</v>
      </c>
      <c r="E37" s="472"/>
      <c r="F37" s="472"/>
      <c r="G37" s="472"/>
      <c r="H37" s="472"/>
      <c r="I37" s="473"/>
    </row>
    <row r="39" spans="2:9" ht="22.5" customHeight="1" x14ac:dyDescent="0.25">
      <c r="B39" s="307" t="s">
        <v>231</v>
      </c>
      <c r="C39" s="308"/>
    </row>
    <row r="40" spans="2:9" ht="17.100000000000001" customHeight="1" x14ac:dyDescent="0.25">
      <c r="B40" s="474" t="s">
        <v>232</v>
      </c>
      <c r="C40" s="474"/>
      <c r="D40" s="474"/>
      <c r="E40" s="474"/>
      <c r="F40" s="474"/>
      <c r="G40" s="474"/>
      <c r="H40" s="474"/>
      <c r="I40" s="474"/>
    </row>
    <row r="41" spans="2:9" ht="17.100000000000001" customHeight="1" x14ac:dyDescent="0.25">
      <c r="B41" s="474" t="s">
        <v>233</v>
      </c>
      <c r="C41" s="474"/>
      <c r="D41" s="474"/>
      <c r="E41" s="474"/>
      <c r="F41" s="474"/>
      <c r="G41" s="474"/>
      <c r="H41" s="474"/>
      <c r="I41" s="474"/>
    </row>
    <row r="42" spans="2:9" ht="17.100000000000001" customHeight="1" x14ac:dyDescent="0.25">
      <c r="B42" s="474" t="s">
        <v>234</v>
      </c>
      <c r="C42" s="474"/>
      <c r="D42" s="474"/>
      <c r="E42" s="474"/>
      <c r="F42" s="474"/>
      <c r="G42" s="474"/>
      <c r="H42" s="474"/>
      <c r="I42" s="474"/>
    </row>
    <row r="43" spans="2:9" ht="17.100000000000001" customHeight="1" x14ac:dyDescent="0.25">
      <c r="B43" s="474" t="s">
        <v>235</v>
      </c>
      <c r="C43" s="474"/>
      <c r="D43" s="474"/>
      <c r="E43" s="474"/>
      <c r="F43" s="474"/>
      <c r="G43" s="474"/>
      <c r="H43" s="474"/>
      <c r="I43" s="474"/>
    </row>
    <row r="44" spans="2:9" ht="17.100000000000001" customHeight="1" x14ac:dyDescent="0.25">
      <c r="B44" s="474" t="s">
        <v>236</v>
      </c>
      <c r="C44" s="474"/>
      <c r="D44" s="474"/>
      <c r="E44" s="474"/>
      <c r="F44" s="474"/>
      <c r="G44" s="474"/>
      <c r="H44" s="474"/>
      <c r="I44" s="474"/>
    </row>
  </sheetData>
  <mergeCells count="55">
    <mergeCell ref="B43:I43"/>
    <mergeCell ref="B44:I44"/>
    <mergeCell ref="B37:C37"/>
    <mergeCell ref="D37:I37"/>
    <mergeCell ref="B40:I40"/>
    <mergeCell ref="B41:I41"/>
    <mergeCell ref="B42:I42"/>
    <mergeCell ref="B34:C34"/>
    <mergeCell ref="D34:I34"/>
    <mergeCell ref="B35:C35"/>
    <mergeCell ref="D35:I35"/>
    <mergeCell ref="B36:C36"/>
    <mergeCell ref="D36:I36"/>
    <mergeCell ref="B31:C31"/>
    <mergeCell ref="D31:I31"/>
    <mergeCell ref="B32:C32"/>
    <mergeCell ref="D32:I32"/>
    <mergeCell ref="B33:C33"/>
    <mergeCell ref="D33:I33"/>
    <mergeCell ref="B28:C28"/>
    <mergeCell ref="D28:I28"/>
    <mergeCell ref="B29:C29"/>
    <mergeCell ref="D29:I29"/>
    <mergeCell ref="B30:C30"/>
    <mergeCell ref="D30:I30"/>
    <mergeCell ref="B25:C25"/>
    <mergeCell ref="D25:I25"/>
    <mergeCell ref="B26:C26"/>
    <mergeCell ref="D26:I26"/>
    <mergeCell ref="B27:C27"/>
    <mergeCell ref="D27:I27"/>
    <mergeCell ref="B22:C22"/>
    <mergeCell ref="D22:I22"/>
    <mergeCell ref="B23:C23"/>
    <mergeCell ref="D23:I23"/>
    <mergeCell ref="B24:C24"/>
    <mergeCell ref="D24:I24"/>
    <mergeCell ref="B19:C19"/>
    <mergeCell ref="D19:I19"/>
    <mergeCell ref="B20:C20"/>
    <mergeCell ref="D20:I20"/>
    <mergeCell ref="B21:C21"/>
    <mergeCell ref="D21:I21"/>
    <mergeCell ref="F12:I12"/>
    <mergeCell ref="D13:E13"/>
    <mergeCell ref="F13:I13"/>
    <mergeCell ref="A17:J17"/>
    <mergeCell ref="B18:C18"/>
    <mergeCell ref="D18:I18"/>
    <mergeCell ref="A2:G2"/>
    <mergeCell ref="D9:I9"/>
    <mergeCell ref="D10:E10"/>
    <mergeCell ref="F10:I10"/>
    <mergeCell ref="D11:E11"/>
    <mergeCell ref="F11:I11"/>
  </mergeCells>
  <pageMargins left="0.58333333333333337" right="0.11811023622047245" top="0.35433070866141736" bottom="0.35433070866141736" header="0.31496062992125984" footer="0.31496062992125984"/>
  <pageSetup paperSize="9" orientation="portrait" useFirstPageNumber="1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4"/>
  <sheetViews>
    <sheetView view="pageLayout" zoomScaleNormal="100" workbookViewId="0">
      <selection activeCell="D7" sqref="D7:D8"/>
    </sheetView>
  </sheetViews>
  <sheetFormatPr defaultRowHeight="17.25" customHeight="1" x14ac:dyDescent="0.35"/>
  <cols>
    <col min="1" max="1" width="0.375" style="309" customWidth="1"/>
    <col min="2" max="2" width="6" style="309" customWidth="1"/>
    <col min="3" max="3" width="7.625" style="309" customWidth="1"/>
    <col min="4" max="4" width="22.5" style="309" customWidth="1"/>
    <col min="5" max="5" width="6.625" style="309" customWidth="1"/>
    <col min="6" max="6" width="6.75" style="309" customWidth="1"/>
    <col min="7" max="8" width="7.75" style="309" customWidth="1"/>
    <col min="9" max="9" width="7.5" style="309" customWidth="1"/>
    <col min="10" max="10" width="0.75" style="309" customWidth="1"/>
    <col min="11" max="11" width="6" style="309" customWidth="1"/>
    <col min="12" max="12" width="5.75" style="309" customWidth="1"/>
    <col min="13" max="14" width="6.875" style="309" customWidth="1"/>
    <col min="15" max="15" width="9" style="309" customWidth="1"/>
    <col min="16" max="16384" width="9" style="309"/>
  </cols>
  <sheetData>
    <row r="1" spans="1:13" ht="17.25" customHeight="1" x14ac:dyDescent="0.35">
      <c r="A1" s="475" t="s">
        <v>237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7"/>
    </row>
    <row r="2" spans="1:13" ht="17.25" customHeight="1" x14ac:dyDescent="0.35">
      <c r="A2" s="478" t="s">
        <v>268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80"/>
    </row>
    <row r="3" spans="1:13" ht="17.25" customHeight="1" x14ac:dyDescent="0.35">
      <c r="A3" s="481" t="s">
        <v>238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3"/>
    </row>
    <row r="4" spans="1:13" ht="8.25" customHeight="1" x14ac:dyDescent="0.35">
      <c r="A4" s="310"/>
      <c r="B4" s="310"/>
      <c r="C4" s="310"/>
      <c r="D4" s="310"/>
      <c r="E4" s="310"/>
      <c r="F4" s="310"/>
      <c r="G4" s="310"/>
      <c r="H4" s="310"/>
      <c r="I4" s="310"/>
      <c r="J4" s="310"/>
      <c r="K4" s="310"/>
      <c r="L4" s="310"/>
      <c r="M4" s="310"/>
    </row>
    <row r="5" spans="1:13" ht="17.25" customHeight="1" x14ac:dyDescent="0.35">
      <c r="B5" s="309" t="s">
        <v>136</v>
      </c>
      <c r="C5" s="482" t="str">
        <f>'ปก (1)'!E10</f>
        <v>คอมพิวเตอร์</v>
      </c>
      <c r="D5" s="482"/>
      <c r="E5" s="311" t="s">
        <v>8</v>
      </c>
      <c r="F5" s="312" t="str">
        <f>'ปก (1)'!L10</f>
        <v>ว23201</v>
      </c>
      <c r="G5" s="311" t="s">
        <v>14</v>
      </c>
      <c r="H5" s="311"/>
      <c r="I5" s="482" t="str">
        <f>'ปก (1)'!E12</f>
        <v>นายวรวุฒิ มุงธิสาร</v>
      </c>
      <c r="J5" s="482"/>
      <c r="K5" s="482"/>
      <c r="L5" s="482"/>
      <c r="M5" s="482"/>
    </row>
    <row r="6" spans="1:13" ht="17.25" customHeight="1" x14ac:dyDescent="0.35">
      <c r="C6" s="310"/>
      <c r="D6" s="310"/>
      <c r="F6" s="313"/>
      <c r="H6" s="313"/>
      <c r="I6" s="313"/>
      <c r="J6" s="313"/>
    </row>
    <row r="7" spans="1:13" ht="17.25" customHeight="1" x14ac:dyDescent="0.35">
      <c r="B7" s="490" t="s">
        <v>46</v>
      </c>
      <c r="C7" s="492" t="s">
        <v>47</v>
      </c>
      <c r="D7" s="484" t="s">
        <v>239</v>
      </c>
      <c r="E7" s="314" t="s">
        <v>240</v>
      </c>
      <c r="F7" s="492" t="s">
        <v>241</v>
      </c>
      <c r="G7" s="484" t="s">
        <v>103</v>
      </c>
      <c r="H7" s="485"/>
      <c r="I7" s="486"/>
      <c r="J7" s="315"/>
      <c r="K7" s="487" t="s">
        <v>242</v>
      </c>
      <c r="L7" s="488"/>
      <c r="M7" s="489"/>
    </row>
    <row r="8" spans="1:13" ht="25.5" customHeight="1" x14ac:dyDescent="0.35">
      <c r="B8" s="491"/>
      <c r="C8" s="493"/>
      <c r="D8" s="494"/>
      <c r="E8" s="316">
        <v>100</v>
      </c>
      <c r="F8" s="493"/>
      <c r="G8" s="317" t="s">
        <v>243</v>
      </c>
      <c r="H8" s="318" t="s">
        <v>244</v>
      </c>
      <c r="I8" s="318" t="s">
        <v>245</v>
      </c>
      <c r="J8" s="319"/>
      <c r="K8" s="320" t="s">
        <v>246</v>
      </c>
      <c r="L8" s="321" t="s">
        <v>247</v>
      </c>
      <c r="M8" s="322" t="s">
        <v>92</v>
      </c>
    </row>
    <row r="9" spans="1:13" ht="17.25" customHeight="1" x14ac:dyDescent="0.35">
      <c r="B9" s="323">
        <v>1</v>
      </c>
      <c r="C9" s="324" t="str">
        <f>'เวลาเรียน (2)'!B6</f>
        <v>4833</v>
      </c>
      <c r="D9" s="325" t="str">
        <f>'เวลาเรียน (2)'!C6</f>
        <v>เด็กชายพงษ์ศิริ พิมโยธา</v>
      </c>
      <c r="E9" s="326">
        <f>'สรุปผลรวม (8)'!Q7</f>
        <v>87</v>
      </c>
      <c r="F9" s="327">
        <f>IF(E9&gt;79,4,IF(E9&gt;74,3.5,IF(E9&gt;69,3,IF(E9&gt;64,2.5,IF(E9&gt;59,2,IF(E9&gt;54,1.5,IF(E9&gt;49,1,IF(E9&lt;50,0))))))))</f>
        <v>4</v>
      </c>
      <c r="G9" s="328">
        <f>'คุณลักษณะ อ่าน สมรรถนะ (9)'!K5</f>
        <v>3</v>
      </c>
      <c r="H9" s="329">
        <f>'คุณลักษณะ อ่าน สมรรถนะ (9)'!R5</f>
        <v>3</v>
      </c>
      <c r="I9" s="329">
        <f>'คุณลักษณะ อ่าน สมรรถนะ (9)'!Y5</f>
        <v>3</v>
      </c>
      <c r="J9" s="330"/>
      <c r="K9" s="331">
        <v>8</v>
      </c>
      <c r="L9" s="332">
        <v>8</v>
      </c>
      <c r="M9" s="333">
        <v>16</v>
      </c>
    </row>
    <row r="10" spans="1:13" ht="17.25" customHeight="1" x14ac:dyDescent="0.35">
      <c r="B10" s="334">
        <v>2</v>
      </c>
      <c r="C10" s="335" t="str">
        <f>'เวลาเรียน (2)'!B7</f>
        <v>4832</v>
      </c>
      <c r="D10" s="336" t="str">
        <f>'เวลาเรียน (2)'!C7</f>
        <v>เด็กชายพงศ์พิเชษฐ์ มาสีปา</v>
      </c>
      <c r="E10" s="321">
        <f>'สรุปผลรวม (8)'!Q8</f>
        <v>65</v>
      </c>
      <c r="F10" s="321">
        <f>IF(E10&gt;79,4,IF(E10&gt;74,3.5,IF(E10&gt;69,3,IF(E10&gt;64,2.5,IF(E10&gt;59,2,IF(E10&gt;54,1.5,IF(E10&gt;49,1,IF(E10&lt;50,0))))))))</f>
        <v>2.5</v>
      </c>
      <c r="G10" s="328">
        <f>'คุณลักษณะ อ่าน สมรรถนะ (9)'!K6</f>
        <v>3</v>
      </c>
      <c r="H10" s="329">
        <f>'คุณลักษณะ อ่าน สมรรถนะ (9)'!R6</f>
        <v>2</v>
      </c>
      <c r="I10" s="329">
        <f>'คุณลักษณะ อ่าน สมรรถนะ (9)'!Y6</f>
        <v>2</v>
      </c>
      <c r="J10" s="330"/>
    </row>
    <row r="11" spans="1:13" ht="17.25" customHeight="1" x14ac:dyDescent="0.35">
      <c r="B11" s="334">
        <v>3</v>
      </c>
      <c r="C11" s="335" t="str">
        <f>'เวลาเรียน (2)'!B8</f>
        <v>4836</v>
      </c>
      <c r="D11" s="336" t="str">
        <f>'เวลาเรียน (2)'!C8</f>
        <v>เด็กชายรพีภัทร แสดคง</v>
      </c>
      <c r="E11" s="321">
        <f>'สรุปผลรวม (8)'!Q9</f>
        <v>91</v>
      </c>
      <c r="F11" s="321">
        <f t="shared" ref="F11:F20" si="0">IF(E11&gt;79,4,IF(E11&gt;74,3.5,IF(E11&gt;69,3,IF(E11&gt;64,2.5,IF(E11&gt;59,2,IF(E11&gt;54,1.5,IF(E11&gt;49,1,IF(E11&lt;50,0))))))))</f>
        <v>4</v>
      </c>
      <c r="G11" s="328">
        <f>'คุณลักษณะ อ่าน สมรรถนะ (9)'!K7</f>
        <v>3</v>
      </c>
      <c r="H11" s="329">
        <f>'คุณลักษณะ อ่าน สมรรถนะ (9)'!R7</f>
        <v>3</v>
      </c>
      <c r="I11" s="329">
        <f>'คุณลักษณะ อ่าน สมรรถนะ (9)'!Y7</f>
        <v>3</v>
      </c>
      <c r="J11" s="330"/>
      <c r="K11" s="495" t="s">
        <v>241</v>
      </c>
      <c r="L11" s="496"/>
      <c r="M11" s="497"/>
    </row>
    <row r="12" spans="1:13" ht="17.25" customHeight="1" x14ac:dyDescent="0.35">
      <c r="B12" s="334">
        <v>4</v>
      </c>
      <c r="C12" s="335" t="str">
        <f>'เวลาเรียน (2)'!B9</f>
        <v>4837</v>
      </c>
      <c r="D12" s="336" t="str">
        <f>'เวลาเรียน (2)'!C9</f>
        <v>เด็กชายวัชรากร โพธิ์ศรี</v>
      </c>
      <c r="E12" s="321">
        <f>'สรุปผลรวม (8)'!Q10</f>
        <v>85</v>
      </c>
      <c r="F12" s="321">
        <f t="shared" si="0"/>
        <v>4</v>
      </c>
      <c r="G12" s="328">
        <f>'คุณลักษณะ อ่าน สมรรถนะ (9)'!K8</f>
        <v>3</v>
      </c>
      <c r="H12" s="329">
        <f>'คุณลักษณะ อ่าน สมรรถนะ (9)'!R8</f>
        <v>3</v>
      </c>
      <c r="I12" s="329">
        <f>'คุณลักษณะ อ่าน สมรรถนะ (9)'!Y8</f>
        <v>3</v>
      </c>
      <c r="J12" s="330"/>
      <c r="K12" s="334" t="s">
        <v>248</v>
      </c>
      <c r="L12" s="337" t="s">
        <v>249</v>
      </c>
      <c r="M12" s="338" t="s">
        <v>250</v>
      </c>
    </row>
    <row r="13" spans="1:13" ht="17.25" customHeight="1" x14ac:dyDescent="0.35">
      <c r="B13" s="334">
        <v>5</v>
      </c>
      <c r="C13" s="335" t="str">
        <f>'เวลาเรียน (2)'!B10</f>
        <v>4897</v>
      </c>
      <c r="D13" s="336" t="str">
        <f>'เวลาเรียน (2)'!C10</f>
        <v>เด็กชายธนกฤต ดกเอียร์</v>
      </c>
      <c r="E13" s="321">
        <f>'สรุปผลรวม (8)'!Q11</f>
        <v>82</v>
      </c>
      <c r="F13" s="321">
        <f t="shared" si="0"/>
        <v>4</v>
      </c>
      <c r="G13" s="328">
        <f>'คุณลักษณะ อ่าน สมรรถนะ (9)'!K9</f>
        <v>3</v>
      </c>
      <c r="H13" s="329">
        <f>'คุณลักษณะ อ่าน สมรรถนะ (9)'!R9</f>
        <v>3</v>
      </c>
      <c r="I13" s="329">
        <f>'คุณลักษณะ อ่าน สมรรถนะ (9)'!Y9</f>
        <v>3</v>
      </c>
      <c r="J13" s="330"/>
      <c r="K13" s="334">
        <v>4</v>
      </c>
      <c r="L13" s="321">
        <f t="shared" ref="L13:L22" si="1">COUNTIF($F$9:$F$25,K13)</f>
        <v>11</v>
      </c>
      <c r="M13" s="339">
        <f>L13*100/16</f>
        <v>68.75</v>
      </c>
    </row>
    <row r="14" spans="1:13" ht="17.25" customHeight="1" x14ac:dyDescent="0.35">
      <c r="B14" s="334">
        <v>6</v>
      </c>
      <c r="C14" s="335" t="str">
        <f>'เวลาเรียน (2)'!B11</f>
        <v>4927</v>
      </c>
      <c r="D14" s="336" t="str">
        <f>'เวลาเรียน (2)'!C11</f>
        <v>เด็กชายขัตติยะ ไตรวงค์ย้อย</v>
      </c>
      <c r="E14" s="321">
        <f>'สรุปผลรวม (8)'!Q12</f>
        <v>65</v>
      </c>
      <c r="F14" s="321">
        <f t="shared" si="0"/>
        <v>2.5</v>
      </c>
      <c r="G14" s="328">
        <f>'คุณลักษณะ อ่าน สมรรถนะ (9)'!K10</f>
        <v>3</v>
      </c>
      <c r="H14" s="329">
        <f>'คุณลักษณะ อ่าน สมรรถนะ (9)'!R10</f>
        <v>2</v>
      </c>
      <c r="I14" s="329">
        <f>'คุณลักษณะ อ่าน สมรรถนะ (9)'!Y10</f>
        <v>2</v>
      </c>
      <c r="J14" s="330"/>
      <c r="K14" s="334">
        <v>3.5</v>
      </c>
      <c r="L14" s="321">
        <f t="shared" si="1"/>
        <v>2</v>
      </c>
      <c r="M14" s="339">
        <f>L14*100/16</f>
        <v>12.5</v>
      </c>
    </row>
    <row r="15" spans="1:13" ht="17.25" customHeight="1" x14ac:dyDescent="0.35">
      <c r="B15" s="334">
        <v>7</v>
      </c>
      <c r="C15" s="335" t="str">
        <f>'เวลาเรียน (2)'!B12</f>
        <v>4835</v>
      </c>
      <c r="D15" s="336" t="str">
        <f>'เวลาเรียน (2)'!C12</f>
        <v>เด็กชายภูวนัตถ์ บุญมาก</v>
      </c>
      <c r="E15" s="321">
        <f>'สรุปผลรวม (8)'!Q13</f>
        <v>80</v>
      </c>
      <c r="F15" s="321">
        <f t="shared" si="0"/>
        <v>4</v>
      </c>
      <c r="G15" s="328">
        <f>'คุณลักษณะ อ่าน สมรรถนะ (9)'!K11</f>
        <v>3</v>
      </c>
      <c r="H15" s="329">
        <f>'คุณลักษณะ อ่าน สมรรถนะ (9)'!R11</f>
        <v>3</v>
      </c>
      <c r="I15" s="329">
        <f>'คุณลักษณะ อ่าน สมรรถนะ (9)'!Y11</f>
        <v>3</v>
      </c>
      <c r="J15" s="330"/>
      <c r="K15" s="334">
        <v>3</v>
      </c>
      <c r="L15" s="321">
        <f t="shared" si="1"/>
        <v>1</v>
      </c>
      <c r="M15" s="339">
        <f t="shared" ref="M15:M22" si="2">L15*100/16</f>
        <v>6.25</v>
      </c>
    </row>
    <row r="16" spans="1:13" ht="17.25" customHeight="1" x14ac:dyDescent="0.35">
      <c r="B16" s="334">
        <v>8</v>
      </c>
      <c r="C16" s="335" t="str">
        <f>'เวลาเรียน (2)'!B13</f>
        <v>4842</v>
      </c>
      <c r="D16" s="336" t="str">
        <f>'เวลาเรียน (2)'!C13</f>
        <v>เด็กหญิงบงกช แสงนนท์</v>
      </c>
      <c r="E16" s="321">
        <f>'สรุปผลรวม (8)'!Q14</f>
        <v>93</v>
      </c>
      <c r="F16" s="321">
        <f t="shared" si="0"/>
        <v>4</v>
      </c>
      <c r="G16" s="328">
        <f>'คุณลักษณะ อ่าน สมรรถนะ (9)'!K12</f>
        <v>3</v>
      </c>
      <c r="H16" s="329">
        <f>'คุณลักษณะ อ่าน สมรรถนะ (9)'!R12</f>
        <v>3</v>
      </c>
      <c r="I16" s="329">
        <f>'คุณลักษณะ อ่าน สมรรถนะ (9)'!Y12</f>
        <v>3</v>
      </c>
      <c r="J16" s="330"/>
      <c r="K16" s="334">
        <v>2.5</v>
      </c>
      <c r="L16" s="321">
        <f t="shared" si="1"/>
        <v>2</v>
      </c>
      <c r="M16" s="339">
        <f t="shared" si="2"/>
        <v>12.5</v>
      </c>
    </row>
    <row r="17" spans="2:13" ht="17.25" customHeight="1" x14ac:dyDescent="0.35">
      <c r="B17" s="334">
        <v>9</v>
      </c>
      <c r="C17" s="340" t="str">
        <f>'เวลาเรียน (2)'!B14</f>
        <v>4838</v>
      </c>
      <c r="D17" s="336" t="str">
        <f>'เวลาเรียน (2)'!C14</f>
        <v>เด็กหญิงกุลฑีรา มังฉกรรจ์</v>
      </c>
      <c r="E17" s="321">
        <f>'สรุปผลรวม (8)'!Q15</f>
        <v>93</v>
      </c>
      <c r="F17" s="321">
        <f t="shared" si="0"/>
        <v>4</v>
      </c>
      <c r="G17" s="328">
        <f>'คุณลักษณะ อ่าน สมรรถนะ (9)'!K13</f>
        <v>3</v>
      </c>
      <c r="H17" s="329">
        <f>'คุณลักษณะ อ่าน สมรรถนะ (9)'!R13</f>
        <v>3</v>
      </c>
      <c r="I17" s="329">
        <f>'คุณลักษณะ อ่าน สมรรถนะ (9)'!Y13</f>
        <v>3</v>
      </c>
      <c r="J17" s="330"/>
      <c r="K17" s="334">
        <v>2</v>
      </c>
      <c r="L17" s="321">
        <f t="shared" si="1"/>
        <v>0</v>
      </c>
      <c r="M17" s="339">
        <f t="shared" si="2"/>
        <v>0</v>
      </c>
    </row>
    <row r="18" spans="2:13" ht="17.25" customHeight="1" x14ac:dyDescent="0.35">
      <c r="B18" s="334">
        <v>10</v>
      </c>
      <c r="C18" s="340" t="str">
        <f>'เวลาเรียน (2)'!B15</f>
        <v>4845</v>
      </c>
      <c r="D18" s="336" t="str">
        <f>'เวลาเรียน (2)'!C15</f>
        <v>เด็กหญิงสุชาวดี ไฮวัง</v>
      </c>
      <c r="E18" s="321">
        <f>'สรุปผลรวม (8)'!Q16</f>
        <v>92</v>
      </c>
      <c r="F18" s="321">
        <f t="shared" si="0"/>
        <v>4</v>
      </c>
      <c r="G18" s="328">
        <f>'คุณลักษณะ อ่าน สมรรถนะ (9)'!K14</f>
        <v>3</v>
      </c>
      <c r="H18" s="329">
        <f>'คุณลักษณะ อ่าน สมรรถนะ (9)'!R14</f>
        <v>3</v>
      </c>
      <c r="I18" s="329">
        <f>'คุณลักษณะ อ่าน สมรรถนะ (9)'!Y14</f>
        <v>3</v>
      </c>
      <c r="J18" s="330"/>
      <c r="K18" s="334">
        <v>1.5</v>
      </c>
      <c r="L18" s="321">
        <f t="shared" si="1"/>
        <v>0</v>
      </c>
      <c r="M18" s="339">
        <f t="shared" si="2"/>
        <v>0</v>
      </c>
    </row>
    <row r="19" spans="2:13" ht="17.25" customHeight="1" x14ac:dyDescent="0.35">
      <c r="B19" s="334">
        <v>11</v>
      </c>
      <c r="C19" s="340" t="str">
        <f>'เวลาเรียน (2)'!B16</f>
        <v>4846</v>
      </c>
      <c r="D19" s="336" t="str">
        <f>'เวลาเรียน (2)'!C16</f>
        <v>เด็กหญิงธนิดา แก้วมุงคุณ</v>
      </c>
      <c r="E19" s="321">
        <f>'สรุปผลรวม (8)'!Q17</f>
        <v>92</v>
      </c>
      <c r="F19" s="341">
        <f t="shared" si="0"/>
        <v>4</v>
      </c>
      <c r="G19" s="328">
        <f>'คุณลักษณะ อ่าน สมรรถนะ (9)'!K15</f>
        <v>3</v>
      </c>
      <c r="H19" s="329">
        <f>'คุณลักษณะ อ่าน สมรรถนะ (9)'!R15</f>
        <v>3</v>
      </c>
      <c r="I19" s="329">
        <f>'คุณลักษณะ อ่าน สมรรถนะ (9)'!Y15</f>
        <v>3</v>
      </c>
      <c r="J19" s="330"/>
      <c r="K19" s="334">
        <v>1</v>
      </c>
      <c r="L19" s="321">
        <f t="shared" si="1"/>
        <v>0</v>
      </c>
      <c r="M19" s="339">
        <f t="shared" si="2"/>
        <v>0</v>
      </c>
    </row>
    <row r="20" spans="2:13" ht="17.25" customHeight="1" x14ac:dyDescent="0.35">
      <c r="B20" s="334">
        <v>12</v>
      </c>
      <c r="C20" s="340" t="str">
        <f>'เวลาเรียน (2)'!B17</f>
        <v>4840</v>
      </c>
      <c r="D20" s="336" t="str">
        <f>'เวลาเรียน (2)'!C17</f>
        <v>เด็กหญิงธัญญารัตน์ ไชยเทพ</v>
      </c>
      <c r="E20" s="321">
        <f>'สรุปผลรวม (8)'!Q18</f>
        <v>75</v>
      </c>
      <c r="F20" s="321">
        <f t="shared" si="0"/>
        <v>3.5</v>
      </c>
      <c r="G20" s="328">
        <f>'คุณลักษณะ อ่าน สมรรถนะ (9)'!K16</f>
        <v>3</v>
      </c>
      <c r="H20" s="329">
        <f>'คุณลักษณะ อ่าน สมรรถนะ (9)'!R16</f>
        <v>3</v>
      </c>
      <c r="I20" s="329">
        <f>'คุณลักษณะ อ่าน สมรรถนะ (9)'!Y16</f>
        <v>3</v>
      </c>
      <c r="J20" s="330"/>
      <c r="K20" s="334">
        <v>0</v>
      </c>
      <c r="L20" s="321">
        <f t="shared" si="1"/>
        <v>0</v>
      </c>
      <c r="M20" s="339">
        <f t="shared" si="2"/>
        <v>0</v>
      </c>
    </row>
    <row r="21" spans="2:13" ht="17.25" customHeight="1" x14ac:dyDescent="0.35">
      <c r="B21" s="334">
        <v>13</v>
      </c>
      <c r="C21" s="340" t="str">
        <f>'เวลาเรียน (2)'!B18</f>
        <v>4841</v>
      </c>
      <c r="D21" s="336" t="str">
        <f>'เวลาเรียน (2)'!C18</f>
        <v>เด็กหญิงนภัสสร ประฮาดไชย</v>
      </c>
      <c r="E21" s="321">
        <f>'สรุปผลรวม (8)'!Q19</f>
        <v>87</v>
      </c>
      <c r="F21" s="321">
        <f t="shared" ref="F21:F24" si="3">IF(E21&gt;79,4,IF(E21&gt;74,3.5,IF(E21&gt;69,3,IF(E21&gt;64,2.5,IF(E21&gt;59,2,IF(E21&gt;54,1.5,IF(E21&gt;49,1,IF(E21&lt;50,0))))))))</f>
        <v>4</v>
      </c>
      <c r="G21" s="328">
        <f>'คุณลักษณะ อ่าน สมรรถนะ (9)'!K17</f>
        <v>3</v>
      </c>
      <c r="H21" s="329">
        <f>'คุณลักษณะ อ่าน สมรรถนะ (9)'!R17</f>
        <v>3</v>
      </c>
      <c r="I21" s="329">
        <f>'คุณลักษณะ อ่าน สมรรถนะ (9)'!Y17</f>
        <v>3</v>
      </c>
      <c r="J21" s="330"/>
      <c r="K21" s="334" t="s">
        <v>25</v>
      </c>
      <c r="L21" s="321">
        <f t="shared" si="1"/>
        <v>0</v>
      </c>
      <c r="M21" s="339">
        <f t="shared" si="2"/>
        <v>0</v>
      </c>
    </row>
    <row r="22" spans="2:13" ht="17.25" customHeight="1" x14ac:dyDescent="0.35">
      <c r="B22" s="334">
        <v>14</v>
      </c>
      <c r="C22" s="340" t="str">
        <f>'เวลาเรียน (2)'!B19</f>
        <v>4843</v>
      </c>
      <c r="D22" s="336" t="str">
        <f>'เวลาเรียน (2)'!C19</f>
        <v>เด็กหญิงมณีญานันท์ คำปัญโญ</v>
      </c>
      <c r="E22" s="321">
        <f>'สรุปผลรวม (8)'!Q20</f>
        <v>90</v>
      </c>
      <c r="F22" s="321">
        <f t="shared" si="3"/>
        <v>4</v>
      </c>
      <c r="G22" s="328">
        <f>'คุณลักษณะ อ่าน สมรรถนะ (9)'!K18</f>
        <v>3</v>
      </c>
      <c r="H22" s="329">
        <f>'คุณลักษณะ อ่าน สมรรถนะ (9)'!R18</f>
        <v>3</v>
      </c>
      <c r="I22" s="329">
        <f>'คุณลักษณะ อ่าน สมรรถนะ (9)'!Y18</f>
        <v>3</v>
      </c>
      <c r="J22" s="330"/>
      <c r="K22" s="342" t="s">
        <v>26</v>
      </c>
      <c r="L22" s="321">
        <f t="shared" si="1"/>
        <v>0</v>
      </c>
      <c r="M22" s="339">
        <f t="shared" si="2"/>
        <v>0</v>
      </c>
    </row>
    <row r="23" spans="2:13" ht="17.25" customHeight="1" x14ac:dyDescent="0.35">
      <c r="B23" s="334">
        <v>15</v>
      </c>
      <c r="C23" s="340" t="str">
        <f>'เวลาเรียน (2)'!B20</f>
        <v>5012</v>
      </c>
      <c r="D23" s="336" t="str">
        <f>'เวลาเรียน (2)'!C20</f>
        <v>เด็กหญิงธัญชนก อินทรภูมิ</v>
      </c>
      <c r="E23" s="321">
        <f>'สรุปผลรวม (8)'!Q21</f>
        <v>73</v>
      </c>
      <c r="F23" s="321">
        <f t="shared" si="3"/>
        <v>3</v>
      </c>
      <c r="G23" s="328">
        <f>'คุณลักษณะ อ่าน สมรรถนะ (9)'!K19</f>
        <v>3</v>
      </c>
      <c r="H23" s="329">
        <f>'คุณลักษณะ อ่าน สมรรถนะ (9)'!R19</f>
        <v>3</v>
      </c>
      <c r="I23" s="329">
        <f>'คุณลักษณะ อ่าน สมรรถนะ (9)'!Y19</f>
        <v>2</v>
      </c>
      <c r="J23" s="330"/>
      <c r="K23" s="331" t="s">
        <v>92</v>
      </c>
      <c r="L23" s="332">
        <f>SUM(L13:L22)</f>
        <v>16</v>
      </c>
      <c r="M23" s="343">
        <f>L23*100/16</f>
        <v>100</v>
      </c>
    </row>
    <row r="24" spans="2:13" ht="17.25" customHeight="1" x14ac:dyDescent="0.35">
      <c r="B24" s="334">
        <v>16</v>
      </c>
      <c r="C24" s="340" t="str">
        <f>'เวลาเรียน (2)'!B21</f>
        <v>5013</v>
      </c>
      <c r="D24" s="336" t="str">
        <f>'เวลาเรียน (2)'!C21</f>
        <v>เด็กชายนันทกร ปรางค์ทอง</v>
      </c>
      <c r="E24" s="321">
        <f>'สรุปผลรวม (8)'!Q22</f>
        <v>77</v>
      </c>
      <c r="F24" s="321">
        <f t="shared" si="3"/>
        <v>3.5</v>
      </c>
      <c r="G24" s="328">
        <f>'คุณลักษณะ อ่าน สมรรถนะ (9)'!K20</f>
        <v>3</v>
      </c>
      <c r="H24" s="329">
        <f>'คุณลักษณะ อ่าน สมรรถนะ (9)'!R20</f>
        <v>3</v>
      </c>
      <c r="I24" s="329">
        <f>'คุณลักษณะ อ่าน สมรรถนะ (9)'!Y20</f>
        <v>3</v>
      </c>
      <c r="J24" s="330"/>
    </row>
    <row r="25" spans="2:13" ht="17.25" customHeight="1" x14ac:dyDescent="0.35">
      <c r="B25" s="331"/>
      <c r="C25" s="344"/>
      <c r="D25" s="345"/>
      <c r="E25" s="332"/>
      <c r="F25" s="346"/>
      <c r="G25" s="347"/>
      <c r="H25" s="348"/>
      <c r="I25" s="348"/>
      <c r="J25" s="330"/>
      <c r="K25" s="487" t="s">
        <v>110</v>
      </c>
      <c r="L25" s="488"/>
      <c r="M25" s="489"/>
    </row>
    <row r="26" spans="2:13" ht="17.25" customHeight="1" x14ac:dyDescent="0.35">
      <c r="B26" s="498" t="s">
        <v>23</v>
      </c>
      <c r="C26" s="499"/>
      <c r="D26" s="499"/>
      <c r="E26" s="349">
        <f>SUM(E9:E25)</f>
        <v>1327</v>
      </c>
      <c r="F26" s="350">
        <f>AVERAGE(F9:F25)</f>
        <v>3.6875</v>
      </c>
      <c r="K26" s="334">
        <v>3</v>
      </c>
      <c r="L26" s="321">
        <f>COUNTIF($G$9:$G$25,K26)</f>
        <v>16</v>
      </c>
      <c r="M26" s="339">
        <f>L26*100/16</f>
        <v>100</v>
      </c>
    </row>
    <row r="27" spans="2:13" ht="17.25" customHeight="1" x14ac:dyDescent="0.35">
      <c r="B27" s="330"/>
      <c r="C27" s="330"/>
      <c r="D27" s="330"/>
      <c r="E27" s="330"/>
      <c r="F27" s="351"/>
      <c r="K27" s="334">
        <v>2</v>
      </c>
      <c r="L27" s="321">
        <f>COUNTIF($G$9:$G$25,K27)</f>
        <v>0</v>
      </c>
      <c r="M27" s="339">
        <f t="shared" ref="M27:M29" si="4">L27*100/16</f>
        <v>0</v>
      </c>
    </row>
    <row r="28" spans="2:13" ht="17.25" customHeight="1" x14ac:dyDescent="0.35">
      <c r="B28" s="330"/>
      <c r="C28" s="330"/>
      <c r="D28" s="330"/>
      <c r="E28" s="330"/>
      <c r="F28" s="351"/>
      <c r="J28" s="351"/>
      <c r="K28" s="334">
        <v>1</v>
      </c>
      <c r="L28" s="321">
        <f>COUNTIF($G$9:$G$25,K28)</f>
        <v>0</v>
      </c>
      <c r="M28" s="339">
        <f t="shared" si="4"/>
        <v>0</v>
      </c>
    </row>
    <row r="29" spans="2:13" ht="17.25" customHeight="1" x14ac:dyDescent="0.35">
      <c r="B29" s="330"/>
      <c r="C29" s="330"/>
      <c r="D29" s="330"/>
      <c r="E29" s="330"/>
      <c r="F29" s="351"/>
      <c r="J29" s="351"/>
      <c r="K29" s="334">
        <v>0</v>
      </c>
      <c r="L29" s="321">
        <f>COUNTIF($G$9:$G$25,K29)</f>
        <v>0</v>
      </c>
      <c r="M29" s="339">
        <f t="shared" si="4"/>
        <v>0</v>
      </c>
    </row>
    <row r="30" spans="2:13" ht="17.25" customHeight="1" x14ac:dyDescent="0.35">
      <c r="B30" s="311"/>
      <c r="C30" s="311"/>
      <c r="D30" s="311"/>
      <c r="E30" s="311"/>
      <c r="F30" s="311"/>
      <c r="J30" s="351"/>
      <c r="K30" s="331" t="s">
        <v>92</v>
      </c>
      <c r="L30" s="332">
        <f>SUM(L26:L29)</f>
        <v>16</v>
      </c>
      <c r="M30" s="343">
        <f>L30*100/16</f>
        <v>100</v>
      </c>
    </row>
    <row r="31" spans="2:13" ht="17.25" customHeight="1" x14ac:dyDescent="0.35">
      <c r="B31" s="311"/>
      <c r="D31" s="309" t="s">
        <v>251</v>
      </c>
      <c r="E31" s="311"/>
      <c r="F31" s="311"/>
      <c r="G31" s="311"/>
      <c r="H31" s="351"/>
      <c r="I31" s="351"/>
      <c r="J31" s="351"/>
      <c r="K31" s="330"/>
      <c r="L31" s="330"/>
      <c r="M31" s="330"/>
    </row>
    <row r="32" spans="2:13" ht="17.25" customHeight="1" x14ac:dyDescent="0.35">
      <c r="B32" s="311"/>
      <c r="D32" s="330" t="str">
        <f>"("&amp;I5&amp;")"</f>
        <v>(นายวรวุฒิ มุงธิสาร)</v>
      </c>
      <c r="E32" s="311"/>
      <c r="F32" s="311"/>
      <c r="G32" s="311"/>
      <c r="H32" s="351"/>
      <c r="I32" s="351"/>
      <c r="J32" s="351"/>
      <c r="K32" s="487" t="s">
        <v>252</v>
      </c>
      <c r="L32" s="488"/>
      <c r="M32" s="489"/>
    </row>
    <row r="33" spans="2:13" ht="17.25" customHeight="1" x14ac:dyDescent="0.35">
      <c r="B33" s="311"/>
      <c r="C33" s="311"/>
      <c r="D33" s="330" t="s">
        <v>253</v>
      </c>
      <c r="E33" s="311"/>
      <c r="F33" s="311"/>
      <c r="G33" s="311"/>
      <c r="H33" s="351"/>
      <c r="I33" s="351"/>
      <c r="J33" s="351"/>
      <c r="K33" s="334">
        <v>3</v>
      </c>
      <c r="L33" s="321">
        <f>COUNTIF($H$9:$H$25,K33)</f>
        <v>14</v>
      </c>
      <c r="M33" s="339">
        <f>L33*100/16</f>
        <v>87.5</v>
      </c>
    </row>
    <row r="34" spans="2:13" ht="17.25" customHeight="1" x14ac:dyDescent="0.35">
      <c r="B34" s="311"/>
      <c r="D34" s="309" t="s">
        <v>254</v>
      </c>
      <c r="E34" s="311"/>
      <c r="F34" s="311"/>
      <c r="G34" s="311"/>
      <c r="H34" s="351"/>
      <c r="I34" s="351"/>
      <c r="J34" s="351"/>
      <c r="K34" s="334">
        <v>2</v>
      </c>
      <c r="L34" s="321">
        <f t="shared" ref="L34:L36" si="5">COUNTIF($H$9:$H$25,K34)</f>
        <v>2</v>
      </c>
      <c r="M34" s="339">
        <f t="shared" ref="M34:M36" si="6">L34*100/16</f>
        <v>12.5</v>
      </c>
    </row>
    <row r="35" spans="2:13" ht="17.25" customHeight="1" x14ac:dyDescent="0.35">
      <c r="B35" s="311"/>
      <c r="D35" s="309" t="s">
        <v>255</v>
      </c>
      <c r="E35" s="311"/>
      <c r="F35" s="311"/>
      <c r="G35" s="311"/>
      <c r="H35" s="351"/>
      <c r="I35" s="351"/>
      <c r="J35" s="351"/>
      <c r="K35" s="334">
        <v>1</v>
      </c>
      <c r="L35" s="321">
        <f t="shared" si="5"/>
        <v>0</v>
      </c>
      <c r="M35" s="339">
        <f t="shared" si="6"/>
        <v>0</v>
      </c>
    </row>
    <row r="36" spans="2:13" ht="17.25" customHeight="1" x14ac:dyDescent="0.35">
      <c r="B36" s="311"/>
      <c r="C36" s="311"/>
      <c r="D36" s="330" t="s">
        <v>253</v>
      </c>
      <c r="E36" s="311"/>
      <c r="F36" s="311"/>
      <c r="G36" s="311"/>
      <c r="H36" s="351"/>
      <c r="I36" s="351"/>
      <c r="J36" s="351"/>
      <c r="K36" s="334">
        <v>0</v>
      </c>
      <c r="L36" s="321">
        <f t="shared" si="5"/>
        <v>0</v>
      </c>
      <c r="M36" s="339">
        <f t="shared" si="6"/>
        <v>0</v>
      </c>
    </row>
    <row r="37" spans="2:13" ht="17.25" customHeight="1" x14ac:dyDescent="0.35">
      <c r="B37" s="311"/>
      <c r="D37" s="309" t="s">
        <v>256</v>
      </c>
      <c r="E37" s="311"/>
      <c r="F37" s="311"/>
      <c r="G37" s="311"/>
      <c r="H37" s="351"/>
      <c r="I37" s="351"/>
      <c r="K37" s="331" t="s">
        <v>92</v>
      </c>
      <c r="L37" s="332">
        <f>SUM(L33:L36)</f>
        <v>16</v>
      </c>
      <c r="M37" s="343">
        <f>L37*100/16</f>
        <v>100</v>
      </c>
    </row>
    <row r="38" spans="2:13" ht="17.25" customHeight="1" x14ac:dyDescent="0.35">
      <c r="B38" s="311"/>
      <c r="D38" s="309" t="s">
        <v>257</v>
      </c>
      <c r="E38" s="311"/>
      <c r="F38" s="311"/>
      <c r="G38" s="311"/>
      <c r="H38" s="351"/>
      <c r="I38" s="351"/>
    </row>
    <row r="39" spans="2:13" ht="24" customHeight="1" x14ac:dyDescent="0.35">
      <c r="D39" s="330" t="s">
        <v>253</v>
      </c>
      <c r="G39" s="311"/>
      <c r="H39" s="351"/>
      <c r="I39" s="351"/>
      <c r="K39" s="487" t="s">
        <v>112</v>
      </c>
      <c r="L39" s="488"/>
      <c r="M39" s="489"/>
    </row>
    <row r="40" spans="2:13" ht="17.25" customHeight="1" x14ac:dyDescent="0.35">
      <c r="K40" s="334">
        <v>3</v>
      </c>
      <c r="L40" s="321">
        <f>COUNTIF($I$9:$I$25,K40)</f>
        <v>13</v>
      </c>
      <c r="M40" s="339">
        <f>L40*100/16</f>
        <v>81.25</v>
      </c>
    </row>
    <row r="41" spans="2:13" ht="17.25" customHeight="1" x14ac:dyDescent="0.35">
      <c r="K41" s="334">
        <v>2</v>
      </c>
      <c r="L41" s="321">
        <f>COUNTIF($I$9:$I$25,K41)</f>
        <v>3</v>
      </c>
      <c r="M41" s="339">
        <f t="shared" ref="M41:M43" si="7">L41*100/16</f>
        <v>18.75</v>
      </c>
    </row>
    <row r="42" spans="2:13" ht="18" customHeight="1" x14ac:dyDescent="0.35">
      <c r="K42" s="334">
        <v>1</v>
      </c>
      <c r="L42" s="321">
        <f>COUNTIF($I$9:$I$25,K42)</f>
        <v>0</v>
      </c>
      <c r="M42" s="339">
        <f t="shared" si="7"/>
        <v>0</v>
      </c>
    </row>
    <row r="43" spans="2:13" ht="17.25" customHeight="1" x14ac:dyDescent="0.35">
      <c r="K43" s="334">
        <v>0</v>
      </c>
      <c r="L43" s="321">
        <f>COUNTIF($I$9:$I$25,K43)</f>
        <v>0</v>
      </c>
      <c r="M43" s="339">
        <f t="shared" si="7"/>
        <v>0</v>
      </c>
    </row>
    <row r="44" spans="2:13" ht="17.25" customHeight="1" x14ac:dyDescent="0.35">
      <c r="K44" s="331" t="s">
        <v>92</v>
      </c>
      <c r="L44" s="332">
        <f>SUM(L40:L43)</f>
        <v>16</v>
      </c>
      <c r="M44" s="343">
        <f>L44*100/16</f>
        <v>100</v>
      </c>
    </row>
  </sheetData>
  <mergeCells count="16">
    <mergeCell ref="K11:M11"/>
    <mergeCell ref="K25:M25"/>
    <mergeCell ref="B26:D26"/>
    <mergeCell ref="K32:M32"/>
    <mergeCell ref="K39:M39"/>
    <mergeCell ref="G7:I7"/>
    <mergeCell ref="K7:M7"/>
    <mergeCell ref="B7:B8"/>
    <mergeCell ref="C7:C8"/>
    <mergeCell ref="D7:D8"/>
    <mergeCell ref="F7:F8"/>
    <mergeCell ref="A1:M1"/>
    <mergeCell ref="A2:M2"/>
    <mergeCell ref="A3:M3"/>
    <mergeCell ref="C5:D5"/>
    <mergeCell ref="I5:M5"/>
  </mergeCells>
  <pageMargins left="0.32291666666666669" right="1.0416666666666666E-2" top="0.42708333333333331" bottom="0.32291666666666669" header="0.3" footer="0.3"/>
  <pageSetup paperSize="9" orientation="portrait" useFirstPageNumber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ปก (1)</vt:lpstr>
      <vt:lpstr>เวลาเรียน (2)</vt:lpstr>
      <vt:lpstr>เวลาเรียน (3)</vt:lpstr>
      <vt:lpstr>เวลาเรียน (4)</vt:lpstr>
      <vt:lpstr>หน่วย 1,4 (5)</vt:lpstr>
      <vt:lpstr>หน่วย 5,8 (6)</vt:lpstr>
      <vt:lpstr>หน่วย 9,12 (7)</vt:lpstr>
      <vt:lpstr>สรุปผลรวม (8)</vt:lpstr>
      <vt:lpstr>คุณลักษณะ อ่าน สมรรถนะ (9)</vt:lpstr>
      <vt:lpstr>ผลการเรียนรู้ (10)</vt:lpstr>
      <vt:lpstr>คำอธิบายการใช้ (11)</vt:lpstr>
      <vt:lpstr>คำอธิบายการใช้ (12)</vt:lpstr>
      <vt:lpstr>ผลการเรียน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2025-09-01T08:49:34Z</cp:lastPrinted>
  <dcterms:created xsi:type="dcterms:W3CDTF">2017-05-11T21:16:50Z</dcterms:created>
  <dcterms:modified xsi:type="dcterms:W3CDTF">2026-03-25T07:44:07Z</dcterms:modified>
</cp:coreProperties>
</file>